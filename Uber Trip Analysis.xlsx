
<file path=[Content_Types].xml><?xml version="1.0" encoding="utf-8"?>
<Types xmlns="http://schemas.openxmlformats.org/package/2006/content-types">
  <Default Extension="emf" ContentType="image/x-emf"/>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hova\Analytical project\"/>
    </mc:Choice>
  </mc:AlternateContent>
  <xr:revisionPtr revIDLastSave="0" documentId="13_ncr:1_{E269F2FE-1730-46A0-8C96-DFAF5A758FD7}" xr6:coauthVersionLast="47" xr6:coauthVersionMax="47" xr10:uidLastSave="{00000000-0000-0000-0000-000000000000}"/>
  <bookViews>
    <workbookView xWindow="-108" yWindow="-108" windowWidth="23256" windowHeight="12576" xr2:uid="{AB50EA45-489C-4CE4-B4A9-574D195A8941}"/>
  </bookViews>
  <sheets>
    <sheet name="Sheet2" sheetId="3" r:id="rId1"/>
    <sheet name="uber_trip" sheetId="2" r:id="rId2"/>
  </sheets>
  <definedNames>
    <definedName name="ExternalData_1" localSheetId="1" hidden="1">uber_trip!$A$1:$L$5001</definedName>
    <definedName name="Slicer_Pickup_City">#N/A</definedName>
    <definedName name="Slicer_Pickup_City1">#N/A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2" l="1"/>
  <c r="O5" i="2"/>
  <c r="O6" i="2"/>
  <c r="O7" i="2"/>
  <c r="O3" i="2"/>
  <c r="O2" i="2"/>
  <c r="O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32A6C1-C29B-4870-B340-09B97FB3A29B}" keepAlive="1" name="Query - uber_trip_analysis_5000_rows" description="Connection to the 'uber_trip_analysis_5000_rows' query in the workbook." type="5" refreshedVersion="8" background="1" saveData="1">
    <dbPr connection="Provider=Microsoft.Mashup.OleDb.1;Data Source=$Workbook$;Location=uber_trip_analysis_5000_rows;Extended Properties=&quot;&quot;" command="SELECT * FROM [uber_trip_analysis_5000_rows]"/>
  </connection>
</connections>
</file>

<file path=xl/sharedStrings.xml><?xml version="1.0" encoding="utf-8"?>
<sst xmlns="http://schemas.openxmlformats.org/spreadsheetml/2006/main" count="25098" uniqueCount="5051">
  <si>
    <t>Trip_ID</t>
  </si>
  <si>
    <t>Date</t>
  </si>
  <si>
    <t>Pickup_City</t>
  </si>
  <si>
    <t>Drop_City</t>
  </si>
  <si>
    <t>Distance_km</t>
  </si>
  <si>
    <t>Duration_min</t>
  </si>
  <si>
    <t>Base_Fare</t>
  </si>
  <si>
    <t>Surge_Multiplier</t>
  </si>
  <si>
    <t>Total_Fare</t>
  </si>
  <si>
    <t>Customer_Rating</t>
  </si>
  <si>
    <t>Vehicle_Type</t>
  </si>
  <si>
    <t>Payment_Method</t>
  </si>
  <si>
    <t>TRIP00001</t>
  </si>
  <si>
    <t>Kolkata</t>
  </si>
  <si>
    <t>Bangalore</t>
  </si>
  <si>
    <t>UberPool</t>
  </si>
  <si>
    <t>Card</t>
  </si>
  <si>
    <t>TRIP00002</t>
  </si>
  <si>
    <t>UberXL</t>
  </si>
  <si>
    <t>Cash</t>
  </si>
  <si>
    <t>TRIP00003</t>
  </si>
  <si>
    <t>Delhi</t>
  </si>
  <si>
    <t>Chennai</t>
  </si>
  <si>
    <t>TRIP00004</t>
  </si>
  <si>
    <t>TRIP00005</t>
  </si>
  <si>
    <t>Mumbai</t>
  </si>
  <si>
    <t>Wallet</t>
  </si>
  <si>
    <t>TRIP00006</t>
  </si>
  <si>
    <t>UPI</t>
  </si>
  <si>
    <t>TRIP00007</t>
  </si>
  <si>
    <t>UberAuto</t>
  </si>
  <si>
    <t>TRIP00008</t>
  </si>
  <si>
    <t>TRIP00009</t>
  </si>
  <si>
    <t>UberGo</t>
  </si>
  <si>
    <t>TRIP00010</t>
  </si>
  <si>
    <t>TRIP00011</t>
  </si>
  <si>
    <t>UberX</t>
  </si>
  <si>
    <t>TRIP00012</t>
  </si>
  <si>
    <t>TRIP00013</t>
  </si>
  <si>
    <t>TRIP00014</t>
  </si>
  <si>
    <t>TRIP00015</t>
  </si>
  <si>
    <t>TRIP00016</t>
  </si>
  <si>
    <t>TRIP00017</t>
  </si>
  <si>
    <t>TRIP00018</t>
  </si>
  <si>
    <t>TRIP00019</t>
  </si>
  <si>
    <t>TRIP00020</t>
  </si>
  <si>
    <t>TRIP00021</t>
  </si>
  <si>
    <t>TRIP00022</t>
  </si>
  <si>
    <t>TRIP00023</t>
  </si>
  <si>
    <t>TRIP00024</t>
  </si>
  <si>
    <t>TRIP00025</t>
  </si>
  <si>
    <t>TRIP00026</t>
  </si>
  <si>
    <t>TRIP00027</t>
  </si>
  <si>
    <t>TRIP00028</t>
  </si>
  <si>
    <t>TRIP00029</t>
  </si>
  <si>
    <t>TRIP00030</t>
  </si>
  <si>
    <t>TRIP00031</t>
  </si>
  <si>
    <t>TRIP00032</t>
  </si>
  <si>
    <t>TRIP00033</t>
  </si>
  <si>
    <t>TRIP00034</t>
  </si>
  <si>
    <t>TRIP00035</t>
  </si>
  <si>
    <t>TRIP00036</t>
  </si>
  <si>
    <t>TRIP00037</t>
  </si>
  <si>
    <t>TRIP00038</t>
  </si>
  <si>
    <t>TRIP00039</t>
  </si>
  <si>
    <t>TRIP00040</t>
  </si>
  <si>
    <t>TRIP00041</t>
  </si>
  <si>
    <t>TRIP00042</t>
  </si>
  <si>
    <t>TRIP00043</t>
  </si>
  <si>
    <t>TRIP00044</t>
  </si>
  <si>
    <t>TRIP00045</t>
  </si>
  <si>
    <t>TRIP00046</t>
  </si>
  <si>
    <t>TRIP00047</t>
  </si>
  <si>
    <t>TRIP00048</t>
  </si>
  <si>
    <t>TRIP00049</t>
  </si>
  <si>
    <t>TRIP00050</t>
  </si>
  <si>
    <t>TRIP00051</t>
  </si>
  <si>
    <t>TRIP00052</t>
  </si>
  <si>
    <t>TRIP00053</t>
  </si>
  <si>
    <t>TRIP00054</t>
  </si>
  <si>
    <t>TRIP00055</t>
  </si>
  <si>
    <t>TRIP00056</t>
  </si>
  <si>
    <t>TRIP00057</t>
  </si>
  <si>
    <t>TRIP00058</t>
  </si>
  <si>
    <t>TRIP00059</t>
  </si>
  <si>
    <t>TRIP00060</t>
  </si>
  <si>
    <t>TRIP00061</t>
  </si>
  <si>
    <t>TRIP00062</t>
  </si>
  <si>
    <t>TRIP00063</t>
  </si>
  <si>
    <t>TRIP00064</t>
  </si>
  <si>
    <t>TRIP00065</t>
  </si>
  <si>
    <t>TRIP00066</t>
  </si>
  <si>
    <t>TRIP00067</t>
  </si>
  <si>
    <t>TRIP00068</t>
  </si>
  <si>
    <t>TRIP00069</t>
  </si>
  <si>
    <t>TRIP00070</t>
  </si>
  <si>
    <t>TRIP00071</t>
  </si>
  <si>
    <t>TRIP00072</t>
  </si>
  <si>
    <t>TRIP00073</t>
  </si>
  <si>
    <t>TRIP00074</t>
  </si>
  <si>
    <t>TRIP00075</t>
  </si>
  <si>
    <t>TRIP00076</t>
  </si>
  <si>
    <t>TRIP00077</t>
  </si>
  <si>
    <t>TRIP00078</t>
  </si>
  <si>
    <t>TRIP00079</t>
  </si>
  <si>
    <t>TRIP00080</t>
  </si>
  <si>
    <t>TRIP00081</t>
  </si>
  <si>
    <t>TRIP00082</t>
  </si>
  <si>
    <t>TRIP00083</t>
  </si>
  <si>
    <t>TRIP00084</t>
  </si>
  <si>
    <t>TRIP00085</t>
  </si>
  <si>
    <t>TRIP00086</t>
  </si>
  <si>
    <t>TRIP00087</t>
  </si>
  <si>
    <t>TRIP00088</t>
  </si>
  <si>
    <t>TRIP00089</t>
  </si>
  <si>
    <t>TRIP00090</t>
  </si>
  <si>
    <t>TRIP00091</t>
  </si>
  <si>
    <t>TRIP00092</t>
  </si>
  <si>
    <t>TRIP00093</t>
  </si>
  <si>
    <t>TRIP00094</t>
  </si>
  <si>
    <t>TRIP00095</t>
  </si>
  <si>
    <t>TRIP00096</t>
  </si>
  <si>
    <t>TRIP00097</t>
  </si>
  <si>
    <t>TRIP00098</t>
  </si>
  <si>
    <t>TRIP00099</t>
  </si>
  <si>
    <t>TRIP00100</t>
  </si>
  <si>
    <t>TRIP00101</t>
  </si>
  <si>
    <t>TRIP00102</t>
  </si>
  <si>
    <t>TRIP00103</t>
  </si>
  <si>
    <t>TRIP00104</t>
  </si>
  <si>
    <t>TRIP00105</t>
  </si>
  <si>
    <t>TRIP00106</t>
  </si>
  <si>
    <t>TRIP00107</t>
  </si>
  <si>
    <t>TRIP00108</t>
  </si>
  <si>
    <t>TRIP00109</t>
  </si>
  <si>
    <t>TRIP00110</t>
  </si>
  <si>
    <t>TRIP00111</t>
  </si>
  <si>
    <t>TRIP00112</t>
  </si>
  <si>
    <t>TRIP00113</t>
  </si>
  <si>
    <t>TRIP00114</t>
  </si>
  <si>
    <t>TRIP00115</t>
  </si>
  <si>
    <t>TRIP00116</t>
  </si>
  <si>
    <t>TRIP00117</t>
  </si>
  <si>
    <t>TRIP00118</t>
  </si>
  <si>
    <t>TRIP00119</t>
  </si>
  <si>
    <t>TRIP00120</t>
  </si>
  <si>
    <t>TRIP00121</t>
  </si>
  <si>
    <t>TRIP00122</t>
  </si>
  <si>
    <t>TRIP00123</t>
  </si>
  <si>
    <t>TRIP00124</t>
  </si>
  <si>
    <t>TRIP00125</t>
  </si>
  <si>
    <t>TRIP00126</t>
  </si>
  <si>
    <t>TRIP00127</t>
  </si>
  <si>
    <t>TRIP00128</t>
  </si>
  <si>
    <t>TRIP00129</t>
  </si>
  <si>
    <t>TRIP00130</t>
  </si>
  <si>
    <t>TRIP00131</t>
  </si>
  <si>
    <t>TRIP00132</t>
  </si>
  <si>
    <t>TRIP00133</t>
  </si>
  <si>
    <t>TRIP00134</t>
  </si>
  <si>
    <t>TRIP00135</t>
  </si>
  <si>
    <t>TRIP00136</t>
  </si>
  <si>
    <t>TRIP00137</t>
  </si>
  <si>
    <t>TRIP00138</t>
  </si>
  <si>
    <t>TRIP00139</t>
  </si>
  <si>
    <t>TRIP00140</t>
  </si>
  <si>
    <t>TRIP00141</t>
  </si>
  <si>
    <t>TRIP00142</t>
  </si>
  <si>
    <t>TRIP00143</t>
  </si>
  <si>
    <t>TRIP00144</t>
  </si>
  <si>
    <t>TRIP00145</t>
  </si>
  <si>
    <t>TRIP00146</t>
  </si>
  <si>
    <t>TRIP00147</t>
  </si>
  <si>
    <t>TRIP00148</t>
  </si>
  <si>
    <t>TRIP00149</t>
  </si>
  <si>
    <t>TRIP00150</t>
  </si>
  <si>
    <t>TRIP00151</t>
  </si>
  <si>
    <t>TRIP00152</t>
  </si>
  <si>
    <t>TRIP00153</t>
  </si>
  <si>
    <t>TRIP00154</t>
  </si>
  <si>
    <t>TRIP00155</t>
  </si>
  <si>
    <t>TRIP00156</t>
  </si>
  <si>
    <t>TRIP00157</t>
  </si>
  <si>
    <t>TRIP00158</t>
  </si>
  <si>
    <t>TRIP00159</t>
  </si>
  <si>
    <t>TRIP00160</t>
  </si>
  <si>
    <t>TRIP00161</t>
  </si>
  <si>
    <t>TRIP00162</t>
  </si>
  <si>
    <t>TRIP00163</t>
  </si>
  <si>
    <t>TRIP00164</t>
  </si>
  <si>
    <t>TRIP00165</t>
  </si>
  <si>
    <t>TRIP00166</t>
  </si>
  <si>
    <t>TRIP00167</t>
  </si>
  <si>
    <t>TRIP00168</t>
  </si>
  <si>
    <t>TRIP00169</t>
  </si>
  <si>
    <t>TRIP00170</t>
  </si>
  <si>
    <t>TRIP00171</t>
  </si>
  <si>
    <t>TRIP00172</t>
  </si>
  <si>
    <t>TRIP00173</t>
  </si>
  <si>
    <t>TRIP00174</t>
  </si>
  <si>
    <t>TRIP00175</t>
  </si>
  <si>
    <t>TRIP00176</t>
  </si>
  <si>
    <t>TRIP00177</t>
  </si>
  <si>
    <t>TRIP00178</t>
  </si>
  <si>
    <t>TRIP00179</t>
  </si>
  <si>
    <t>TRIP00180</t>
  </si>
  <si>
    <t>TRIP00181</t>
  </si>
  <si>
    <t>TRIP00182</t>
  </si>
  <si>
    <t>TRIP00183</t>
  </si>
  <si>
    <t>TRIP00184</t>
  </si>
  <si>
    <t>TRIP00185</t>
  </si>
  <si>
    <t>TRIP00186</t>
  </si>
  <si>
    <t>TRIP00187</t>
  </si>
  <si>
    <t>TRIP00188</t>
  </si>
  <si>
    <t>TRIP00189</t>
  </si>
  <si>
    <t>TRIP00190</t>
  </si>
  <si>
    <t>TRIP00191</t>
  </si>
  <si>
    <t>TRIP00192</t>
  </si>
  <si>
    <t>TRIP00193</t>
  </si>
  <si>
    <t>TRIP00194</t>
  </si>
  <si>
    <t>TRIP00195</t>
  </si>
  <si>
    <t>TRIP00196</t>
  </si>
  <si>
    <t>TRIP00197</t>
  </si>
  <si>
    <t>TRIP00198</t>
  </si>
  <si>
    <t>TRIP00199</t>
  </si>
  <si>
    <t>TRIP00200</t>
  </si>
  <si>
    <t>TRIP00201</t>
  </si>
  <si>
    <t>TRIP00202</t>
  </si>
  <si>
    <t>TRIP00203</t>
  </si>
  <si>
    <t>TRIP00204</t>
  </si>
  <si>
    <t>TRIP00205</t>
  </si>
  <si>
    <t>TRIP00206</t>
  </si>
  <si>
    <t>TRIP00207</t>
  </si>
  <si>
    <t>TRIP00208</t>
  </si>
  <si>
    <t>TRIP00209</t>
  </si>
  <si>
    <t>TRIP00210</t>
  </si>
  <si>
    <t>TRIP00211</t>
  </si>
  <si>
    <t>TRIP00212</t>
  </si>
  <si>
    <t>TRIP00213</t>
  </si>
  <si>
    <t>TRIP00214</t>
  </si>
  <si>
    <t>TRIP00215</t>
  </si>
  <si>
    <t>TRIP00216</t>
  </si>
  <si>
    <t>TRIP00217</t>
  </si>
  <si>
    <t>TRIP00218</t>
  </si>
  <si>
    <t>TRIP00219</t>
  </si>
  <si>
    <t>TRIP00220</t>
  </si>
  <si>
    <t>TRIP00221</t>
  </si>
  <si>
    <t>TRIP00222</t>
  </si>
  <si>
    <t>TRIP00223</t>
  </si>
  <si>
    <t>TRIP00224</t>
  </si>
  <si>
    <t>TRIP00225</t>
  </si>
  <si>
    <t>TRIP00226</t>
  </si>
  <si>
    <t>TRIP00227</t>
  </si>
  <si>
    <t>TRIP00228</t>
  </si>
  <si>
    <t>TRIP00229</t>
  </si>
  <si>
    <t>TRIP00230</t>
  </si>
  <si>
    <t>TRIP00231</t>
  </si>
  <si>
    <t>TRIP00232</t>
  </si>
  <si>
    <t>TRIP00233</t>
  </si>
  <si>
    <t>TRIP00234</t>
  </si>
  <si>
    <t>TRIP00235</t>
  </si>
  <si>
    <t>TRIP00236</t>
  </si>
  <si>
    <t>TRIP00237</t>
  </si>
  <si>
    <t>TRIP00238</t>
  </si>
  <si>
    <t>TRIP00239</t>
  </si>
  <si>
    <t>TRIP00240</t>
  </si>
  <si>
    <t>TRIP00241</t>
  </si>
  <si>
    <t>TRIP00242</t>
  </si>
  <si>
    <t>TRIP00243</t>
  </si>
  <si>
    <t>TRIP00244</t>
  </si>
  <si>
    <t>TRIP00245</t>
  </si>
  <si>
    <t>TRIP00246</t>
  </si>
  <si>
    <t>TRIP00247</t>
  </si>
  <si>
    <t>TRIP00248</t>
  </si>
  <si>
    <t>TRIP00249</t>
  </si>
  <si>
    <t>TRIP00250</t>
  </si>
  <si>
    <t>TRIP00251</t>
  </si>
  <si>
    <t>TRIP00252</t>
  </si>
  <si>
    <t>TRIP00253</t>
  </si>
  <si>
    <t>TRIP00254</t>
  </si>
  <si>
    <t>TRIP00255</t>
  </si>
  <si>
    <t>TRIP00256</t>
  </si>
  <si>
    <t>TRIP00257</t>
  </si>
  <si>
    <t>TRIP00258</t>
  </si>
  <si>
    <t>TRIP00259</t>
  </si>
  <si>
    <t>TRIP00260</t>
  </si>
  <si>
    <t>TRIP00261</t>
  </si>
  <si>
    <t>TRIP00262</t>
  </si>
  <si>
    <t>TRIP00263</t>
  </si>
  <si>
    <t>TRIP00264</t>
  </si>
  <si>
    <t>TRIP00265</t>
  </si>
  <si>
    <t>TRIP00266</t>
  </si>
  <si>
    <t>TRIP00267</t>
  </si>
  <si>
    <t>TRIP00268</t>
  </si>
  <si>
    <t>TRIP00269</t>
  </si>
  <si>
    <t>TRIP00270</t>
  </si>
  <si>
    <t>TRIP00271</t>
  </si>
  <si>
    <t>TRIP00272</t>
  </si>
  <si>
    <t>TRIP00273</t>
  </si>
  <si>
    <t>TRIP00274</t>
  </si>
  <si>
    <t>TRIP00275</t>
  </si>
  <si>
    <t>TRIP00276</t>
  </si>
  <si>
    <t>TRIP00277</t>
  </si>
  <si>
    <t>TRIP00278</t>
  </si>
  <si>
    <t>TRIP00279</t>
  </si>
  <si>
    <t>TRIP00280</t>
  </si>
  <si>
    <t>TRIP00281</t>
  </si>
  <si>
    <t>TRIP00282</t>
  </si>
  <si>
    <t>TRIP00283</t>
  </si>
  <si>
    <t>TRIP00284</t>
  </si>
  <si>
    <t>TRIP00285</t>
  </si>
  <si>
    <t>TRIP00286</t>
  </si>
  <si>
    <t>TRIP00287</t>
  </si>
  <si>
    <t>TRIP00288</t>
  </si>
  <si>
    <t>TRIP00289</t>
  </si>
  <si>
    <t>TRIP00290</t>
  </si>
  <si>
    <t>TRIP00291</t>
  </si>
  <si>
    <t>TRIP00292</t>
  </si>
  <si>
    <t>TRIP00293</t>
  </si>
  <si>
    <t>TRIP00294</t>
  </si>
  <si>
    <t>TRIP00295</t>
  </si>
  <si>
    <t>TRIP00296</t>
  </si>
  <si>
    <t>TRIP00297</t>
  </si>
  <si>
    <t>TRIP00298</t>
  </si>
  <si>
    <t>TRIP00299</t>
  </si>
  <si>
    <t>TRIP00300</t>
  </si>
  <si>
    <t>TRIP00301</t>
  </si>
  <si>
    <t>TRIP00302</t>
  </si>
  <si>
    <t>TRIP00303</t>
  </si>
  <si>
    <t>TRIP00304</t>
  </si>
  <si>
    <t>TRIP00305</t>
  </si>
  <si>
    <t>TRIP00306</t>
  </si>
  <si>
    <t>TRIP00307</t>
  </si>
  <si>
    <t>TRIP00308</t>
  </si>
  <si>
    <t>TRIP00309</t>
  </si>
  <si>
    <t>TRIP00310</t>
  </si>
  <si>
    <t>TRIP00311</t>
  </si>
  <si>
    <t>TRIP00312</t>
  </si>
  <si>
    <t>TRIP00313</t>
  </si>
  <si>
    <t>TRIP00314</t>
  </si>
  <si>
    <t>TRIP00315</t>
  </si>
  <si>
    <t>TRIP00316</t>
  </si>
  <si>
    <t>TRIP00317</t>
  </si>
  <si>
    <t>TRIP00318</t>
  </si>
  <si>
    <t>TRIP00319</t>
  </si>
  <si>
    <t>TRIP00320</t>
  </si>
  <si>
    <t>TRIP00321</t>
  </si>
  <si>
    <t>TRIP00322</t>
  </si>
  <si>
    <t>TRIP00323</t>
  </si>
  <si>
    <t>TRIP00324</t>
  </si>
  <si>
    <t>TRIP00325</t>
  </si>
  <si>
    <t>TRIP00326</t>
  </si>
  <si>
    <t>TRIP00327</t>
  </si>
  <si>
    <t>TRIP00328</t>
  </si>
  <si>
    <t>TRIP00329</t>
  </si>
  <si>
    <t>TRIP00330</t>
  </si>
  <si>
    <t>TRIP00331</t>
  </si>
  <si>
    <t>TRIP00332</t>
  </si>
  <si>
    <t>TRIP00333</t>
  </si>
  <si>
    <t>TRIP00334</t>
  </si>
  <si>
    <t>TRIP00335</t>
  </si>
  <si>
    <t>TRIP00336</t>
  </si>
  <si>
    <t>TRIP00337</t>
  </si>
  <si>
    <t>TRIP00338</t>
  </si>
  <si>
    <t>TRIP00339</t>
  </si>
  <si>
    <t>TRIP00340</t>
  </si>
  <si>
    <t>TRIP00341</t>
  </si>
  <si>
    <t>TRIP00342</t>
  </si>
  <si>
    <t>TRIP00343</t>
  </si>
  <si>
    <t>TRIP00344</t>
  </si>
  <si>
    <t>TRIP00345</t>
  </si>
  <si>
    <t>TRIP00346</t>
  </si>
  <si>
    <t>TRIP00347</t>
  </si>
  <si>
    <t>TRIP00348</t>
  </si>
  <si>
    <t>TRIP00349</t>
  </si>
  <si>
    <t>TRIP00350</t>
  </si>
  <si>
    <t>TRIP00351</t>
  </si>
  <si>
    <t>TRIP00352</t>
  </si>
  <si>
    <t>TRIP00353</t>
  </si>
  <si>
    <t>TRIP00354</t>
  </si>
  <si>
    <t>TRIP00355</t>
  </si>
  <si>
    <t>TRIP00356</t>
  </si>
  <si>
    <t>TRIP00357</t>
  </si>
  <si>
    <t>TRIP00358</t>
  </si>
  <si>
    <t>TRIP00359</t>
  </si>
  <si>
    <t>TRIP00360</t>
  </si>
  <si>
    <t>TRIP00361</t>
  </si>
  <si>
    <t>TRIP00362</t>
  </si>
  <si>
    <t>TRIP00363</t>
  </si>
  <si>
    <t>TRIP00364</t>
  </si>
  <si>
    <t>TRIP00365</t>
  </si>
  <si>
    <t>TRIP00366</t>
  </si>
  <si>
    <t>TRIP00367</t>
  </si>
  <si>
    <t>TRIP00368</t>
  </si>
  <si>
    <t>TRIP00369</t>
  </si>
  <si>
    <t>TRIP00370</t>
  </si>
  <si>
    <t>TRIP00371</t>
  </si>
  <si>
    <t>TRIP00372</t>
  </si>
  <si>
    <t>TRIP00373</t>
  </si>
  <si>
    <t>TRIP00374</t>
  </si>
  <si>
    <t>TRIP00375</t>
  </si>
  <si>
    <t>TRIP00376</t>
  </si>
  <si>
    <t>TRIP00377</t>
  </si>
  <si>
    <t>TRIP00378</t>
  </si>
  <si>
    <t>TRIP00379</t>
  </si>
  <si>
    <t>TRIP00380</t>
  </si>
  <si>
    <t>TRIP00381</t>
  </si>
  <si>
    <t>TRIP00382</t>
  </si>
  <si>
    <t>TRIP00383</t>
  </si>
  <si>
    <t>TRIP00384</t>
  </si>
  <si>
    <t>TRIP00385</t>
  </si>
  <si>
    <t>TRIP00386</t>
  </si>
  <si>
    <t>TRIP00387</t>
  </si>
  <si>
    <t>TRIP00388</t>
  </si>
  <si>
    <t>TRIP00389</t>
  </si>
  <si>
    <t>TRIP00390</t>
  </si>
  <si>
    <t>TRIP00391</t>
  </si>
  <si>
    <t>TRIP00392</t>
  </si>
  <si>
    <t>TRIP00393</t>
  </si>
  <si>
    <t>TRIP00394</t>
  </si>
  <si>
    <t>TRIP00395</t>
  </si>
  <si>
    <t>TRIP00396</t>
  </si>
  <si>
    <t>TRIP00397</t>
  </si>
  <si>
    <t>TRIP00398</t>
  </si>
  <si>
    <t>TRIP00399</t>
  </si>
  <si>
    <t>TRIP00400</t>
  </si>
  <si>
    <t>TRIP00401</t>
  </si>
  <si>
    <t>TRIP00402</t>
  </si>
  <si>
    <t>TRIP00403</t>
  </si>
  <si>
    <t>TRIP00404</t>
  </si>
  <si>
    <t>TRIP00405</t>
  </si>
  <si>
    <t>TRIP00406</t>
  </si>
  <si>
    <t>TRIP00407</t>
  </si>
  <si>
    <t>TRIP00408</t>
  </si>
  <si>
    <t>TRIP00409</t>
  </si>
  <si>
    <t>TRIP00410</t>
  </si>
  <si>
    <t>TRIP00411</t>
  </si>
  <si>
    <t>TRIP00412</t>
  </si>
  <si>
    <t>TRIP00413</t>
  </si>
  <si>
    <t>TRIP00414</t>
  </si>
  <si>
    <t>TRIP00415</t>
  </si>
  <si>
    <t>TRIP00416</t>
  </si>
  <si>
    <t>TRIP00417</t>
  </si>
  <si>
    <t>TRIP00418</t>
  </si>
  <si>
    <t>TRIP00419</t>
  </si>
  <si>
    <t>TRIP00420</t>
  </si>
  <si>
    <t>TRIP00421</t>
  </si>
  <si>
    <t>TRIP00422</t>
  </si>
  <si>
    <t>TRIP00423</t>
  </si>
  <si>
    <t>TRIP00424</t>
  </si>
  <si>
    <t>TRIP00425</t>
  </si>
  <si>
    <t>TRIP00426</t>
  </si>
  <si>
    <t>TRIP00427</t>
  </si>
  <si>
    <t>TRIP00428</t>
  </si>
  <si>
    <t>TRIP00429</t>
  </si>
  <si>
    <t>TRIP00430</t>
  </si>
  <si>
    <t>TRIP00431</t>
  </si>
  <si>
    <t>TRIP00432</t>
  </si>
  <si>
    <t>TRIP00433</t>
  </si>
  <si>
    <t>TRIP00434</t>
  </si>
  <si>
    <t>TRIP00435</t>
  </si>
  <si>
    <t>TRIP00436</t>
  </si>
  <si>
    <t>TRIP00437</t>
  </si>
  <si>
    <t>TRIP00438</t>
  </si>
  <si>
    <t>TRIP00439</t>
  </si>
  <si>
    <t>TRIP00440</t>
  </si>
  <si>
    <t>TRIP00441</t>
  </si>
  <si>
    <t>TRIP00442</t>
  </si>
  <si>
    <t>TRIP00443</t>
  </si>
  <si>
    <t>TRIP00444</t>
  </si>
  <si>
    <t>TRIP00445</t>
  </si>
  <si>
    <t>TRIP00446</t>
  </si>
  <si>
    <t>TRIP00447</t>
  </si>
  <si>
    <t>TRIP00448</t>
  </si>
  <si>
    <t>TRIP00449</t>
  </si>
  <si>
    <t>TRIP00450</t>
  </si>
  <si>
    <t>TRIP00451</t>
  </si>
  <si>
    <t>TRIP00452</t>
  </si>
  <si>
    <t>TRIP00453</t>
  </si>
  <si>
    <t>TRIP00454</t>
  </si>
  <si>
    <t>TRIP00455</t>
  </si>
  <si>
    <t>TRIP00456</t>
  </si>
  <si>
    <t>TRIP00457</t>
  </si>
  <si>
    <t>TRIP00458</t>
  </si>
  <si>
    <t>TRIP00459</t>
  </si>
  <si>
    <t>TRIP00460</t>
  </si>
  <si>
    <t>TRIP00461</t>
  </si>
  <si>
    <t>TRIP00462</t>
  </si>
  <si>
    <t>TRIP00463</t>
  </si>
  <si>
    <t>TRIP00464</t>
  </si>
  <si>
    <t>TRIP00465</t>
  </si>
  <si>
    <t>TRIP00466</t>
  </si>
  <si>
    <t>TRIP00467</t>
  </si>
  <si>
    <t>TRIP00468</t>
  </si>
  <si>
    <t>TRIP00469</t>
  </si>
  <si>
    <t>TRIP00470</t>
  </si>
  <si>
    <t>TRIP00471</t>
  </si>
  <si>
    <t>TRIP00472</t>
  </si>
  <si>
    <t>TRIP00473</t>
  </si>
  <si>
    <t>TRIP00474</t>
  </si>
  <si>
    <t>TRIP00475</t>
  </si>
  <si>
    <t>TRIP00476</t>
  </si>
  <si>
    <t>TRIP00477</t>
  </si>
  <si>
    <t>TRIP00478</t>
  </si>
  <si>
    <t>TRIP00479</t>
  </si>
  <si>
    <t>TRIP00480</t>
  </si>
  <si>
    <t>TRIP00481</t>
  </si>
  <si>
    <t>TRIP00482</t>
  </si>
  <si>
    <t>TRIP00483</t>
  </si>
  <si>
    <t>TRIP00484</t>
  </si>
  <si>
    <t>TRIP00485</t>
  </si>
  <si>
    <t>TRIP00486</t>
  </si>
  <si>
    <t>TRIP00487</t>
  </si>
  <si>
    <t>TRIP00488</t>
  </si>
  <si>
    <t>TRIP00489</t>
  </si>
  <si>
    <t>TRIP00490</t>
  </si>
  <si>
    <t>TRIP00491</t>
  </si>
  <si>
    <t>TRIP00492</t>
  </si>
  <si>
    <t>TRIP00493</t>
  </si>
  <si>
    <t>TRIP00494</t>
  </si>
  <si>
    <t>TRIP00495</t>
  </si>
  <si>
    <t>TRIP00496</t>
  </si>
  <si>
    <t>TRIP00497</t>
  </si>
  <si>
    <t>TRIP00498</t>
  </si>
  <si>
    <t>TRIP00499</t>
  </si>
  <si>
    <t>TRIP00500</t>
  </si>
  <si>
    <t>TRIP00501</t>
  </si>
  <si>
    <t>TRIP00502</t>
  </si>
  <si>
    <t>TRIP00503</t>
  </si>
  <si>
    <t>TRIP00504</t>
  </si>
  <si>
    <t>TRIP00505</t>
  </si>
  <si>
    <t>TRIP00506</t>
  </si>
  <si>
    <t>TRIP00507</t>
  </si>
  <si>
    <t>TRIP00508</t>
  </si>
  <si>
    <t>TRIP00509</t>
  </si>
  <si>
    <t>TRIP00510</t>
  </si>
  <si>
    <t>TRIP00511</t>
  </si>
  <si>
    <t>TRIP00512</t>
  </si>
  <si>
    <t>TRIP00513</t>
  </si>
  <si>
    <t>TRIP00514</t>
  </si>
  <si>
    <t>TRIP00515</t>
  </si>
  <si>
    <t>TRIP00516</t>
  </si>
  <si>
    <t>TRIP00517</t>
  </si>
  <si>
    <t>TRIP00518</t>
  </si>
  <si>
    <t>TRIP00519</t>
  </si>
  <si>
    <t>TRIP00520</t>
  </si>
  <si>
    <t>TRIP00521</t>
  </si>
  <si>
    <t>TRIP00522</t>
  </si>
  <si>
    <t>TRIP00523</t>
  </si>
  <si>
    <t>TRIP00524</t>
  </si>
  <si>
    <t>TRIP00525</t>
  </si>
  <si>
    <t>TRIP00526</t>
  </si>
  <si>
    <t>TRIP00527</t>
  </si>
  <si>
    <t>TRIP00528</t>
  </si>
  <si>
    <t>TRIP00529</t>
  </si>
  <si>
    <t>TRIP00530</t>
  </si>
  <si>
    <t>TRIP00531</t>
  </si>
  <si>
    <t>TRIP00532</t>
  </si>
  <si>
    <t>TRIP00533</t>
  </si>
  <si>
    <t>TRIP00534</t>
  </si>
  <si>
    <t>TRIP00535</t>
  </si>
  <si>
    <t>TRIP00536</t>
  </si>
  <si>
    <t>TRIP00537</t>
  </si>
  <si>
    <t>TRIP00538</t>
  </si>
  <si>
    <t>TRIP00539</t>
  </si>
  <si>
    <t>TRIP00540</t>
  </si>
  <si>
    <t>TRIP00541</t>
  </si>
  <si>
    <t>TRIP00542</t>
  </si>
  <si>
    <t>TRIP00543</t>
  </si>
  <si>
    <t>TRIP00544</t>
  </si>
  <si>
    <t>TRIP00545</t>
  </si>
  <si>
    <t>TRIP00546</t>
  </si>
  <si>
    <t>TRIP00547</t>
  </si>
  <si>
    <t>TRIP00548</t>
  </si>
  <si>
    <t>TRIP00549</t>
  </si>
  <si>
    <t>TRIP00550</t>
  </si>
  <si>
    <t>TRIP00551</t>
  </si>
  <si>
    <t>TRIP00552</t>
  </si>
  <si>
    <t>TRIP00553</t>
  </si>
  <si>
    <t>TRIP00554</t>
  </si>
  <si>
    <t>TRIP00555</t>
  </si>
  <si>
    <t>TRIP00556</t>
  </si>
  <si>
    <t>TRIP00557</t>
  </si>
  <si>
    <t>TRIP00558</t>
  </si>
  <si>
    <t>TRIP00559</t>
  </si>
  <si>
    <t>TRIP00560</t>
  </si>
  <si>
    <t>TRIP00561</t>
  </si>
  <si>
    <t>TRIP00562</t>
  </si>
  <si>
    <t>TRIP00563</t>
  </si>
  <si>
    <t>TRIP00564</t>
  </si>
  <si>
    <t>TRIP00565</t>
  </si>
  <si>
    <t>TRIP00566</t>
  </si>
  <si>
    <t>TRIP00567</t>
  </si>
  <si>
    <t>TRIP00568</t>
  </si>
  <si>
    <t>TRIP00569</t>
  </si>
  <si>
    <t>TRIP00570</t>
  </si>
  <si>
    <t>TRIP00571</t>
  </si>
  <si>
    <t>TRIP00572</t>
  </si>
  <si>
    <t>TRIP00573</t>
  </si>
  <si>
    <t>TRIP00574</t>
  </si>
  <si>
    <t>TRIP00575</t>
  </si>
  <si>
    <t>TRIP00576</t>
  </si>
  <si>
    <t>TRIP00577</t>
  </si>
  <si>
    <t>TRIP00578</t>
  </si>
  <si>
    <t>TRIP00579</t>
  </si>
  <si>
    <t>TRIP00580</t>
  </si>
  <si>
    <t>TRIP00581</t>
  </si>
  <si>
    <t>TRIP00582</t>
  </si>
  <si>
    <t>TRIP00583</t>
  </si>
  <si>
    <t>TRIP00584</t>
  </si>
  <si>
    <t>TRIP00585</t>
  </si>
  <si>
    <t>TRIP00586</t>
  </si>
  <si>
    <t>TRIP00587</t>
  </si>
  <si>
    <t>TRIP00588</t>
  </si>
  <si>
    <t>TRIP00589</t>
  </si>
  <si>
    <t>TRIP00590</t>
  </si>
  <si>
    <t>TRIP00591</t>
  </si>
  <si>
    <t>TRIP00592</t>
  </si>
  <si>
    <t>TRIP00593</t>
  </si>
  <si>
    <t>TRIP00594</t>
  </si>
  <si>
    <t>TRIP00595</t>
  </si>
  <si>
    <t>TRIP00596</t>
  </si>
  <si>
    <t>TRIP00597</t>
  </si>
  <si>
    <t>TRIP00598</t>
  </si>
  <si>
    <t>TRIP00599</t>
  </si>
  <si>
    <t>TRIP00600</t>
  </si>
  <si>
    <t>TRIP00601</t>
  </si>
  <si>
    <t>TRIP00602</t>
  </si>
  <si>
    <t>TRIP00603</t>
  </si>
  <si>
    <t>TRIP00604</t>
  </si>
  <si>
    <t>TRIP00605</t>
  </si>
  <si>
    <t>TRIP00606</t>
  </si>
  <si>
    <t>TRIP00607</t>
  </si>
  <si>
    <t>TRIP00608</t>
  </si>
  <si>
    <t>TRIP00609</t>
  </si>
  <si>
    <t>TRIP00610</t>
  </si>
  <si>
    <t>TRIP00611</t>
  </si>
  <si>
    <t>TRIP00612</t>
  </si>
  <si>
    <t>TRIP00613</t>
  </si>
  <si>
    <t>TRIP00614</t>
  </si>
  <si>
    <t>TRIP00615</t>
  </si>
  <si>
    <t>TRIP00616</t>
  </si>
  <si>
    <t>TRIP00617</t>
  </si>
  <si>
    <t>TRIP00618</t>
  </si>
  <si>
    <t>TRIP00619</t>
  </si>
  <si>
    <t>TRIP00620</t>
  </si>
  <si>
    <t>TRIP00621</t>
  </si>
  <si>
    <t>TRIP00622</t>
  </si>
  <si>
    <t>TRIP00623</t>
  </si>
  <si>
    <t>TRIP00624</t>
  </si>
  <si>
    <t>TRIP00625</t>
  </si>
  <si>
    <t>TRIP00626</t>
  </si>
  <si>
    <t>TRIP00627</t>
  </si>
  <si>
    <t>TRIP00628</t>
  </si>
  <si>
    <t>TRIP00629</t>
  </si>
  <si>
    <t>TRIP00630</t>
  </si>
  <si>
    <t>TRIP00631</t>
  </si>
  <si>
    <t>TRIP00632</t>
  </si>
  <si>
    <t>TRIP00633</t>
  </si>
  <si>
    <t>TRIP00634</t>
  </si>
  <si>
    <t>TRIP00635</t>
  </si>
  <si>
    <t>TRIP00636</t>
  </si>
  <si>
    <t>TRIP00637</t>
  </si>
  <si>
    <t>TRIP00638</t>
  </si>
  <si>
    <t>TRIP00639</t>
  </si>
  <si>
    <t>TRIP00640</t>
  </si>
  <si>
    <t>TRIP00641</t>
  </si>
  <si>
    <t>TRIP00642</t>
  </si>
  <si>
    <t>TRIP00643</t>
  </si>
  <si>
    <t>TRIP00644</t>
  </si>
  <si>
    <t>TRIP00645</t>
  </si>
  <si>
    <t>TRIP00646</t>
  </si>
  <si>
    <t>TRIP00647</t>
  </si>
  <si>
    <t>TRIP00648</t>
  </si>
  <si>
    <t>TRIP00649</t>
  </si>
  <si>
    <t>TRIP00650</t>
  </si>
  <si>
    <t>TRIP00651</t>
  </si>
  <si>
    <t>TRIP00652</t>
  </si>
  <si>
    <t>TRIP00653</t>
  </si>
  <si>
    <t>TRIP00654</t>
  </si>
  <si>
    <t>TRIP00655</t>
  </si>
  <si>
    <t>TRIP00656</t>
  </si>
  <si>
    <t>TRIP00657</t>
  </si>
  <si>
    <t>TRIP00658</t>
  </si>
  <si>
    <t>TRIP00659</t>
  </si>
  <si>
    <t>TRIP00660</t>
  </si>
  <si>
    <t>TRIP00661</t>
  </si>
  <si>
    <t>TRIP00662</t>
  </si>
  <si>
    <t>TRIP00663</t>
  </si>
  <si>
    <t>TRIP00664</t>
  </si>
  <si>
    <t>TRIP00665</t>
  </si>
  <si>
    <t>TRIP00666</t>
  </si>
  <si>
    <t>TRIP00667</t>
  </si>
  <si>
    <t>TRIP00668</t>
  </si>
  <si>
    <t>TRIP00669</t>
  </si>
  <si>
    <t>TRIP00670</t>
  </si>
  <si>
    <t>TRIP00671</t>
  </si>
  <si>
    <t>TRIP00672</t>
  </si>
  <si>
    <t>TRIP00673</t>
  </si>
  <si>
    <t>TRIP00674</t>
  </si>
  <si>
    <t>TRIP00675</t>
  </si>
  <si>
    <t>TRIP00676</t>
  </si>
  <si>
    <t>TRIP00677</t>
  </si>
  <si>
    <t>TRIP00678</t>
  </si>
  <si>
    <t>TRIP00679</t>
  </si>
  <si>
    <t>TRIP00680</t>
  </si>
  <si>
    <t>TRIP00681</t>
  </si>
  <si>
    <t>TRIP00682</t>
  </si>
  <si>
    <t>TRIP00683</t>
  </si>
  <si>
    <t>TRIP00684</t>
  </si>
  <si>
    <t>TRIP00685</t>
  </si>
  <si>
    <t>TRIP00686</t>
  </si>
  <si>
    <t>TRIP00687</t>
  </si>
  <si>
    <t>TRIP00688</t>
  </si>
  <si>
    <t>TRIP00689</t>
  </si>
  <si>
    <t>TRIP00690</t>
  </si>
  <si>
    <t>TRIP00691</t>
  </si>
  <si>
    <t>TRIP00692</t>
  </si>
  <si>
    <t>TRIP00693</t>
  </si>
  <si>
    <t>TRIP00694</t>
  </si>
  <si>
    <t>TRIP00695</t>
  </si>
  <si>
    <t>TRIP00696</t>
  </si>
  <si>
    <t>TRIP00697</t>
  </si>
  <si>
    <t>TRIP00698</t>
  </si>
  <si>
    <t>TRIP00699</t>
  </si>
  <si>
    <t>TRIP00700</t>
  </si>
  <si>
    <t>TRIP00701</t>
  </si>
  <si>
    <t>TRIP00702</t>
  </si>
  <si>
    <t>TRIP00703</t>
  </si>
  <si>
    <t>TRIP00704</t>
  </si>
  <si>
    <t>TRIP00705</t>
  </si>
  <si>
    <t>TRIP00706</t>
  </si>
  <si>
    <t>TRIP00707</t>
  </si>
  <si>
    <t>TRIP00708</t>
  </si>
  <si>
    <t>TRIP00709</t>
  </si>
  <si>
    <t>TRIP00710</t>
  </si>
  <si>
    <t>TRIP00711</t>
  </si>
  <si>
    <t>TRIP00712</t>
  </si>
  <si>
    <t>TRIP00713</t>
  </si>
  <si>
    <t>TRIP00714</t>
  </si>
  <si>
    <t>TRIP00715</t>
  </si>
  <si>
    <t>TRIP00716</t>
  </si>
  <si>
    <t>TRIP00717</t>
  </si>
  <si>
    <t>TRIP00718</t>
  </si>
  <si>
    <t>TRIP00719</t>
  </si>
  <si>
    <t>TRIP00720</t>
  </si>
  <si>
    <t>TRIP00721</t>
  </si>
  <si>
    <t>TRIP00722</t>
  </si>
  <si>
    <t>TRIP00723</t>
  </si>
  <si>
    <t>TRIP00724</t>
  </si>
  <si>
    <t>TRIP00725</t>
  </si>
  <si>
    <t>TRIP00726</t>
  </si>
  <si>
    <t>TRIP00727</t>
  </si>
  <si>
    <t>TRIP00728</t>
  </si>
  <si>
    <t>TRIP00729</t>
  </si>
  <si>
    <t>TRIP00730</t>
  </si>
  <si>
    <t>TRIP00731</t>
  </si>
  <si>
    <t>TRIP00732</t>
  </si>
  <si>
    <t>TRIP00733</t>
  </si>
  <si>
    <t>TRIP00734</t>
  </si>
  <si>
    <t>TRIP00735</t>
  </si>
  <si>
    <t>TRIP00736</t>
  </si>
  <si>
    <t>TRIP00737</t>
  </si>
  <si>
    <t>TRIP00738</t>
  </si>
  <si>
    <t>TRIP00739</t>
  </si>
  <si>
    <t>TRIP00740</t>
  </si>
  <si>
    <t>TRIP00741</t>
  </si>
  <si>
    <t>TRIP00742</t>
  </si>
  <si>
    <t>TRIP00743</t>
  </si>
  <si>
    <t>TRIP00744</t>
  </si>
  <si>
    <t>TRIP00745</t>
  </si>
  <si>
    <t>TRIP00746</t>
  </si>
  <si>
    <t>TRIP00747</t>
  </si>
  <si>
    <t>TRIP00748</t>
  </si>
  <si>
    <t>TRIP00749</t>
  </si>
  <si>
    <t>TRIP00750</t>
  </si>
  <si>
    <t>TRIP00751</t>
  </si>
  <si>
    <t>TRIP00752</t>
  </si>
  <si>
    <t>TRIP00753</t>
  </si>
  <si>
    <t>TRIP00754</t>
  </si>
  <si>
    <t>TRIP00755</t>
  </si>
  <si>
    <t>TRIP00756</t>
  </si>
  <si>
    <t>TRIP00757</t>
  </si>
  <si>
    <t>TRIP00758</t>
  </si>
  <si>
    <t>TRIP00759</t>
  </si>
  <si>
    <t>TRIP00760</t>
  </si>
  <si>
    <t>TRIP00761</t>
  </si>
  <si>
    <t>TRIP00762</t>
  </si>
  <si>
    <t>TRIP00763</t>
  </si>
  <si>
    <t>TRIP00764</t>
  </si>
  <si>
    <t>TRIP00765</t>
  </si>
  <si>
    <t>TRIP00766</t>
  </si>
  <si>
    <t>TRIP00767</t>
  </si>
  <si>
    <t>TRIP00768</t>
  </si>
  <si>
    <t>TRIP00769</t>
  </si>
  <si>
    <t>TRIP00770</t>
  </si>
  <si>
    <t>TRIP00771</t>
  </si>
  <si>
    <t>TRIP00772</t>
  </si>
  <si>
    <t>TRIP00773</t>
  </si>
  <si>
    <t>TRIP00774</t>
  </si>
  <si>
    <t>TRIP00775</t>
  </si>
  <si>
    <t>TRIP00776</t>
  </si>
  <si>
    <t>TRIP00777</t>
  </si>
  <si>
    <t>TRIP00778</t>
  </si>
  <si>
    <t>TRIP00779</t>
  </si>
  <si>
    <t>TRIP00780</t>
  </si>
  <si>
    <t>TRIP00781</t>
  </si>
  <si>
    <t>TRIP00782</t>
  </si>
  <si>
    <t>TRIP00783</t>
  </si>
  <si>
    <t>TRIP00784</t>
  </si>
  <si>
    <t>TRIP00785</t>
  </si>
  <si>
    <t>TRIP00786</t>
  </si>
  <si>
    <t>TRIP00787</t>
  </si>
  <si>
    <t>TRIP00788</t>
  </si>
  <si>
    <t>TRIP00789</t>
  </si>
  <si>
    <t>TRIP00790</t>
  </si>
  <si>
    <t>TRIP00791</t>
  </si>
  <si>
    <t>TRIP00792</t>
  </si>
  <si>
    <t>TRIP00793</t>
  </si>
  <si>
    <t>TRIP00794</t>
  </si>
  <si>
    <t>TRIP00795</t>
  </si>
  <si>
    <t>TRIP00796</t>
  </si>
  <si>
    <t>TRIP00797</t>
  </si>
  <si>
    <t>TRIP00798</t>
  </si>
  <si>
    <t>TRIP00799</t>
  </si>
  <si>
    <t>TRIP00800</t>
  </si>
  <si>
    <t>TRIP00801</t>
  </si>
  <si>
    <t>TRIP00802</t>
  </si>
  <si>
    <t>TRIP00803</t>
  </si>
  <si>
    <t>TRIP00804</t>
  </si>
  <si>
    <t>TRIP00805</t>
  </si>
  <si>
    <t>TRIP00806</t>
  </si>
  <si>
    <t>TRIP00807</t>
  </si>
  <si>
    <t>TRIP00808</t>
  </si>
  <si>
    <t>TRIP00809</t>
  </si>
  <si>
    <t>TRIP00810</t>
  </si>
  <si>
    <t>TRIP00811</t>
  </si>
  <si>
    <t>TRIP00812</t>
  </si>
  <si>
    <t>TRIP00813</t>
  </si>
  <si>
    <t>TRIP00814</t>
  </si>
  <si>
    <t>TRIP00815</t>
  </si>
  <si>
    <t>TRIP00816</t>
  </si>
  <si>
    <t>TRIP00817</t>
  </si>
  <si>
    <t>TRIP00818</t>
  </si>
  <si>
    <t>TRIP00819</t>
  </si>
  <si>
    <t>TRIP00820</t>
  </si>
  <si>
    <t>TRIP00821</t>
  </si>
  <si>
    <t>TRIP00822</t>
  </si>
  <si>
    <t>TRIP00823</t>
  </si>
  <si>
    <t>TRIP00824</t>
  </si>
  <si>
    <t>TRIP00825</t>
  </si>
  <si>
    <t>TRIP00826</t>
  </si>
  <si>
    <t>TRIP00827</t>
  </si>
  <si>
    <t>TRIP00828</t>
  </si>
  <si>
    <t>TRIP00829</t>
  </si>
  <si>
    <t>TRIP00830</t>
  </si>
  <si>
    <t>TRIP00831</t>
  </si>
  <si>
    <t>TRIP00832</t>
  </si>
  <si>
    <t>TRIP00833</t>
  </si>
  <si>
    <t>TRIP00834</t>
  </si>
  <si>
    <t>TRIP00835</t>
  </si>
  <si>
    <t>TRIP00836</t>
  </si>
  <si>
    <t>TRIP00837</t>
  </si>
  <si>
    <t>TRIP00838</t>
  </si>
  <si>
    <t>TRIP00839</t>
  </si>
  <si>
    <t>TRIP00840</t>
  </si>
  <si>
    <t>TRIP00841</t>
  </si>
  <si>
    <t>TRIP00842</t>
  </si>
  <si>
    <t>TRIP00843</t>
  </si>
  <si>
    <t>TRIP00844</t>
  </si>
  <si>
    <t>TRIP00845</t>
  </si>
  <si>
    <t>TRIP00846</t>
  </si>
  <si>
    <t>TRIP00847</t>
  </si>
  <si>
    <t>TRIP00848</t>
  </si>
  <si>
    <t>TRIP00849</t>
  </si>
  <si>
    <t>TRIP00850</t>
  </si>
  <si>
    <t>TRIP00851</t>
  </si>
  <si>
    <t>TRIP00852</t>
  </si>
  <si>
    <t>TRIP00853</t>
  </si>
  <si>
    <t>TRIP00854</t>
  </si>
  <si>
    <t>TRIP00855</t>
  </si>
  <si>
    <t>TRIP00856</t>
  </si>
  <si>
    <t>TRIP00857</t>
  </si>
  <si>
    <t>TRIP00858</t>
  </si>
  <si>
    <t>TRIP00859</t>
  </si>
  <si>
    <t>TRIP00860</t>
  </si>
  <si>
    <t>TRIP00861</t>
  </si>
  <si>
    <t>TRIP00862</t>
  </si>
  <si>
    <t>TRIP00863</t>
  </si>
  <si>
    <t>TRIP00864</t>
  </si>
  <si>
    <t>TRIP00865</t>
  </si>
  <si>
    <t>TRIP00866</t>
  </si>
  <si>
    <t>TRIP00867</t>
  </si>
  <si>
    <t>TRIP00868</t>
  </si>
  <si>
    <t>TRIP00869</t>
  </si>
  <si>
    <t>TRIP00870</t>
  </si>
  <si>
    <t>TRIP00871</t>
  </si>
  <si>
    <t>TRIP00872</t>
  </si>
  <si>
    <t>TRIP00873</t>
  </si>
  <si>
    <t>TRIP00874</t>
  </si>
  <si>
    <t>TRIP00875</t>
  </si>
  <si>
    <t>TRIP00876</t>
  </si>
  <si>
    <t>TRIP00877</t>
  </si>
  <si>
    <t>TRIP00878</t>
  </si>
  <si>
    <t>TRIP00879</t>
  </si>
  <si>
    <t>TRIP00880</t>
  </si>
  <si>
    <t>TRIP00881</t>
  </si>
  <si>
    <t>TRIP00882</t>
  </si>
  <si>
    <t>TRIP00883</t>
  </si>
  <si>
    <t>TRIP00884</t>
  </si>
  <si>
    <t>TRIP00885</t>
  </si>
  <si>
    <t>TRIP00886</t>
  </si>
  <si>
    <t>TRIP00887</t>
  </si>
  <si>
    <t>TRIP00888</t>
  </si>
  <si>
    <t>TRIP00889</t>
  </si>
  <si>
    <t>TRIP00890</t>
  </si>
  <si>
    <t>TRIP00891</t>
  </si>
  <si>
    <t>TRIP00892</t>
  </si>
  <si>
    <t>TRIP00893</t>
  </si>
  <si>
    <t>TRIP00894</t>
  </si>
  <si>
    <t>TRIP00895</t>
  </si>
  <si>
    <t>TRIP00896</t>
  </si>
  <si>
    <t>TRIP00897</t>
  </si>
  <si>
    <t>TRIP00898</t>
  </si>
  <si>
    <t>TRIP00899</t>
  </si>
  <si>
    <t>TRIP00900</t>
  </si>
  <si>
    <t>TRIP00901</t>
  </si>
  <si>
    <t>TRIP00902</t>
  </si>
  <si>
    <t>TRIP00903</t>
  </si>
  <si>
    <t>TRIP00904</t>
  </si>
  <si>
    <t>TRIP00905</t>
  </si>
  <si>
    <t>TRIP00906</t>
  </si>
  <si>
    <t>TRIP00907</t>
  </si>
  <si>
    <t>TRIP00908</t>
  </si>
  <si>
    <t>TRIP00909</t>
  </si>
  <si>
    <t>TRIP00910</t>
  </si>
  <si>
    <t>TRIP00911</t>
  </si>
  <si>
    <t>TRIP00912</t>
  </si>
  <si>
    <t>TRIP00913</t>
  </si>
  <si>
    <t>TRIP00914</t>
  </si>
  <si>
    <t>TRIP00915</t>
  </si>
  <si>
    <t>TRIP00916</t>
  </si>
  <si>
    <t>TRIP00917</t>
  </si>
  <si>
    <t>TRIP00918</t>
  </si>
  <si>
    <t>TRIP00919</t>
  </si>
  <si>
    <t>TRIP00920</t>
  </si>
  <si>
    <t>TRIP00921</t>
  </si>
  <si>
    <t>TRIP00922</t>
  </si>
  <si>
    <t>TRIP00923</t>
  </si>
  <si>
    <t>TRIP00924</t>
  </si>
  <si>
    <t>TRIP00925</t>
  </si>
  <si>
    <t>TRIP00926</t>
  </si>
  <si>
    <t>TRIP00927</t>
  </si>
  <si>
    <t>TRIP00928</t>
  </si>
  <si>
    <t>TRIP00929</t>
  </si>
  <si>
    <t>TRIP00930</t>
  </si>
  <si>
    <t>TRIP00931</t>
  </si>
  <si>
    <t>TRIP00932</t>
  </si>
  <si>
    <t>TRIP00933</t>
  </si>
  <si>
    <t>TRIP00934</t>
  </si>
  <si>
    <t>TRIP00935</t>
  </si>
  <si>
    <t>TRIP00936</t>
  </si>
  <si>
    <t>TRIP00937</t>
  </si>
  <si>
    <t>TRIP00938</t>
  </si>
  <si>
    <t>TRIP00939</t>
  </si>
  <si>
    <t>TRIP00940</t>
  </si>
  <si>
    <t>TRIP00941</t>
  </si>
  <si>
    <t>TRIP00942</t>
  </si>
  <si>
    <t>TRIP00943</t>
  </si>
  <si>
    <t>TRIP00944</t>
  </si>
  <si>
    <t>TRIP00945</t>
  </si>
  <si>
    <t>TRIP00946</t>
  </si>
  <si>
    <t>TRIP00947</t>
  </si>
  <si>
    <t>TRIP00948</t>
  </si>
  <si>
    <t>TRIP00949</t>
  </si>
  <si>
    <t>TRIP00950</t>
  </si>
  <si>
    <t>TRIP00951</t>
  </si>
  <si>
    <t>TRIP00952</t>
  </si>
  <si>
    <t>TRIP00953</t>
  </si>
  <si>
    <t>TRIP00954</t>
  </si>
  <si>
    <t>TRIP00955</t>
  </si>
  <si>
    <t>TRIP00956</t>
  </si>
  <si>
    <t>TRIP00957</t>
  </si>
  <si>
    <t>TRIP00958</t>
  </si>
  <si>
    <t>TRIP00959</t>
  </si>
  <si>
    <t>TRIP00960</t>
  </si>
  <si>
    <t>TRIP00961</t>
  </si>
  <si>
    <t>TRIP00962</t>
  </si>
  <si>
    <t>TRIP00963</t>
  </si>
  <si>
    <t>TRIP00964</t>
  </si>
  <si>
    <t>TRIP00965</t>
  </si>
  <si>
    <t>TRIP00966</t>
  </si>
  <si>
    <t>TRIP00967</t>
  </si>
  <si>
    <t>TRIP00968</t>
  </si>
  <si>
    <t>TRIP00969</t>
  </si>
  <si>
    <t>TRIP00970</t>
  </si>
  <si>
    <t>TRIP00971</t>
  </si>
  <si>
    <t>TRIP00972</t>
  </si>
  <si>
    <t>TRIP00973</t>
  </si>
  <si>
    <t>TRIP00974</t>
  </si>
  <si>
    <t>TRIP00975</t>
  </si>
  <si>
    <t>TRIP00976</t>
  </si>
  <si>
    <t>TRIP00977</t>
  </si>
  <si>
    <t>TRIP00978</t>
  </si>
  <si>
    <t>TRIP00979</t>
  </si>
  <si>
    <t>TRIP00980</t>
  </si>
  <si>
    <t>TRIP00981</t>
  </si>
  <si>
    <t>TRIP00982</t>
  </si>
  <si>
    <t>TRIP00983</t>
  </si>
  <si>
    <t>TRIP00984</t>
  </si>
  <si>
    <t>TRIP00985</t>
  </si>
  <si>
    <t>TRIP00986</t>
  </si>
  <si>
    <t>TRIP00987</t>
  </si>
  <si>
    <t>TRIP00988</t>
  </si>
  <si>
    <t>TRIP00989</t>
  </si>
  <si>
    <t>TRIP00990</t>
  </si>
  <si>
    <t>TRIP00991</t>
  </si>
  <si>
    <t>TRIP00992</t>
  </si>
  <si>
    <t>TRIP00993</t>
  </si>
  <si>
    <t>TRIP00994</t>
  </si>
  <si>
    <t>TRIP00995</t>
  </si>
  <si>
    <t>TRIP00996</t>
  </si>
  <si>
    <t>TRIP00997</t>
  </si>
  <si>
    <t>TRIP00998</t>
  </si>
  <si>
    <t>TRIP00999</t>
  </si>
  <si>
    <t>TRIP01000</t>
  </si>
  <si>
    <t>TRIP01001</t>
  </si>
  <si>
    <t>TRIP01002</t>
  </si>
  <si>
    <t>TRIP01003</t>
  </si>
  <si>
    <t>TRIP01004</t>
  </si>
  <si>
    <t>TRIP01005</t>
  </si>
  <si>
    <t>TRIP01006</t>
  </si>
  <si>
    <t>TRIP01007</t>
  </si>
  <si>
    <t>TRIP01008</t>
  </si>
  <si>
    <t>TRIP01009</t>
  </si>
  <si>
    <t>TRIP01010</t>
  </si>
  <si>
    <t>TRIP01011</t>
  </si>
  <si>
    <t>TRIP01012</t>
  </si>
  <si>
    <t>TRIP01013</t>
  </si>
  <si>
    <t>TRIP01014</t>
  </si>
  <si>
    <t>TRIP01015</t>
  </si>
  <si>
    <t>TRIP01016</t>
  </si>
  <si>
    <t>TRIP01017</t>
  </si>
  <si>
    <t>TRIP01018</t>
  </si>
  <si>
    <t>TRIP01019</t>
  </si>
  <si>
    <t>TRIP01020</t>
  </si>
  <si>
    <t>TRIP01021</t>
  </si>
  <si>
    <t>TRIP01022</t>
  </si>
  <si>
    <t>TRIP01023</t>
  </si>
  <si>
    <t>TRIP01024</t>
  </si>
  <si>
    <t>TRIP01025</t>
  </si>
  <si>
    <t>TRIP01026</t>
  </si>
  <si>
    <t>TRIP01027</t>
  </si>
  <si>
    <t>TRIP01028</t>
  </si>
  <si>
    <t>TRIP01029</t>
  </si>
  <si>
    <t>TRIP01030</t>
  </si>
  <si>
    <t>TRIP01031</t>
  </si>
  <si>
    <t>TRIP01032</t>
  </si>
  <si>
    <t>TRIP01033</t>
  </si>
  <si>
    <t>TRIP01034</t>
  </si>
  <si>
    <t>TRIP01035</t>
  </si>
  <si>
    <t>TRIP01036</t>
  </si>
  <si>
    <t>TRIP01037</t>
  </si>
  <si>
    <t>TRIP01038</t>
  </si>
  <si>
    <t>TRIP01039</t>
  </si>
  <si>
    <t>TRIP01040</t>
  </si>
  <si>
    <t>TRIP01041</t>
  </si>
  <si>
    <t>TRIP01042</t>
  </si>
  <si>
    <t>TRIP01043</t>
  </si>
  <si>
    <t>TRIP01044</t>
  </si>
  <si>
    <t>TRIP01045</t>
  </si>
  <si>
    <t>TRIP01046</t>
  </si>
  <si>
    <t>TRIP01047</t>
  </si>
  <si>
    <t>TRIP01048</t>
  </si>
  <si>
    <t>TRIP01049</t>
  </si>
  <si>
    <t>TRIP01050</t>
  </si>
  <si>
    <t>TRIP01051</t>
  </si>
  <si>
    <t>TRIP01052</t>
  </si>
  <si>
    <t>TRIP01053</t>
  </si>
  <si>
    <t>TRIP01054</t>
  </si>
  <si>
    <t>TRIP01055</t>
  </si>
  <si>
    <t>TRIP01056</t>
  </si>
  <si>
    <t>TRIP01057</t>
  </si>
  <si>
    <t>TRIP01058</t>
  </si>
  <si>
    <t>TRIP01059</t>
  </si>
  <si>
    <t>TRIP01060</t>
  </si>
  <si>
    <t>TRIP01061</t>
  </si>
  <si>
    <t>TRIP01062</t>
  </si>
  <si>
    <t>TRIP01063</t>
  </si>
  <si>
    <t>TRIP01064</t>
  </si>
  <si>
    <t>TRIP01065</t>
  </si>
  <si>
    <t>TRIP01066</t>
  </si>
  <si>
    <t>TRIP01067</t>
  </si>
  <si>
    <t>TRIP01068</t>
  </si>
  <si>
    <t>TRIP01069</t>
  </si>
  <si>
    <t>TRIP01070</t>
  </si>
  <si>
    <t>TRIP01071</t>
  </si>
  <si>
    <t>TRIP01072</t>
  </si>
  <si>
    <t>TRIP01073</t>
  </si>
  <si>
    <t>TRIP01074</t>
  </si>
  <si>
    <t>TRIP01075</t>
  </si>
  <si>
    <t>TRIP01076</t>
  </si>
  <si>
    <t>TRIP01077</t>
  </si>
  <si>
    <t>TRIP01078</t>
  </si>
  <si>
    <t>TRIP01079</t>
  </si>
  <si>
    <t>TRIP01080</t>
  </si>
  <si>
    <t>TRIP01081</t>
  </si>
  <si>
    <t>TRIP01082</t>
  </si>
  <si>
    <t>TRIP01083</t>
  </si>
  <si>
    <t>TRIP01084</t>
  </si>
  <si>
    <t>TRIP01085</t>
  </si>
  <si>
    <t>TRIP01086</t>
  </si>
  <si>
    <t>TRIP01087</t>
  </si>
  <si>
    <t>TRIP01088</t>
  </si>
  <si>
    <t>TRIP01089</t>
  </si>
  <si>
    <t>TRIP01090</t>
  </si>
  <si>
    <t>TRIP01091</t>
  </si>
  <si>
    <t>TRIP01092</t>
  </si>
  <si>
    <t>TRIP01093</t>
  </si>
  <si>
    <t>TRIP01094</t>
  </si>
  <si>
    <t>TRIP01095</t>
  </si>
  <si>
    <t>TRIP01096</t>
  </si>
  <si>
    <t>TRIP01097</t>
  </si>
  <si>
    <t>TRIP01098</t>
  </si>
  <si>
    <t>TRIP01099</t>
  </si>
  <si>
    <t>TRIP01100</t>
  </si>
  <si>
    <t>TRIP01101</t>
  </si>
  <si>
    <t>TRIP01102</t>
  </si>
  <si>
    <t>TRIP01103</t>
  </si>
  <si>
    <t>TRIP01104</t>
  </si>
  <si>
    <t>TRIP01105</t>
  </si>
  <si>
    <t>TRIP01106</t>
  </si>
  <si>
    <t>TRIP01107</t>
  </si>
  <si>
    <t>TRIP01108</t>
  </si>
  <si>
    <t>TRIP01109</t>
  </si>
  <si>
    <t>TRIP01110</t>
  </si>
  <si>
    <t>TRIP01111</t>
  </si>
  <si>
    <t>TRIP01112</t>
  </si>
  <si>
    <t>TRIP01113</t>
  </si>
  <si>
    <t>TRIP01114</t>
  </si>
  <si>
    <t>TRIP01115</t>
  </si>
  <si>
    <t>TRIP01116</t>
  </si>
  <si>
    <t>TRIP01117</t>
  </si>
  <si>
    <t>TRIP01118</t>
  </si>
  <si>
    <t>TRIP01119</t>
  </si>
  <si>
    <t>TRIP01120</t>
  </si>
  <si>
    <t>TRIP01121</t>
  </si>
  <si>
    <t>TRIP01122</t>
  </si>
  <si>
    <t>TRIP01123</t>
  </si>
  <si>
    <t>TRIP01124</t>
  </si>
  <si>
    <t>TRIP01125</t>
  </si>
  <si>
    <t>TRIP01126</t>
  </si>
  <si>
    <t>TRIP01127</t>
  </si>
  <si>
    <t>TRIP01128</t>
  </si>
  <si>
    <t>TRIP01129</t>
  </si>
  <si>
    <t>TRIP01130</t>
  </si>
  <si>
    <t>TRIP01131</t>
  </si>
  <si>
    <t>TRIP01132</t>
  </si>
  <si>
    <t>TRIP01133</t>
  </si>
  <si>
    <t>TRIP01134</t>
  </si>
  <si>
    <t>TRIP01135</t>
  </si>
  <si>
    <t>TRIP01136</t>
  </si>
  <si>
    <t>TRIP01137</t>
  </si>
  <si>
    <t>TRIP01138</t>
  </si>
  <si>
    <t>TRIP01139</t>
  </si>
  <si>
    <t>TRIP01140</t>
  </si>
  <si>
    <t>TRIP01141</t>
  </si>
  <si>
    <t>TRIP01142</t>
  </si>
  <si>
    <t>TRIP01143</t>
  </si>
  <si>
    <t>TRIP01144</t>
  </si>
  <si>
    <t>TRIP01145</t>
  </si>
  <si>
    <t>TRIP01146</t>
  </si>
  <si>
    <t>TRIP01147</t>
  </si>
  <si>
    <t>TRIP01148</t>
  </si>
  <si>
    <t>TRIP01149</t>
  </si>
  <si>
    <t>TRIP01150</t>
  </si>
  <si>
    <t>TRIP01151</t>
  </si>
  <si>
    <t>TRIP01152</t>
  </si>
  <si>
    <t>TRIP01153</t>
  </si>
  <si>
    <t>TRIP01154</t>
  </si>
  <si>
    <t>TRIP01155</t>
  </si>
  <si>
    <t>TRIP01156</t>
  </si>
  <si>
    <t>TRIP01157</t>
  </si>
  <si>
    <t>TRIP01158</t>
  </si>
  <si>
    <t>TRIP01159</t>
  </si>
  <si>
    <t>TRIP01160</t>
  </si>
  <si>
    <t>TRIP01161</t>
  </si>
  <si>
    <t>TRIP01162</t>
  </si>
  <si>
    <t>TRIP01163</t>
  </si>
  <si>
    <t>TRIP01164</t>
  </si>
  <si>
    <t>TRIP01165</t>
  </si>
  <si>
    <t>TRIP01166</t>
  </si>
  <si>
    <t>TRIP01167</t>
  </si>
  <si>
    <t>TRIP01168</t>
  </si>
  <si>
    <t>TRIP01169</t>
  </si>
  <si>
    <t>TRIP01170</t>
  </si>
  <si>
    <t>TRIP01171</t>
  </si>
  <si>
    <t>TRIP01172</t>
  </si>
  <si>
    <t>TRIP01173</t>
  </si>
  <si>
    <t>TRIP01174</t>
  </si>
  <si>
    <t>TRIP01175</t>
  </si>
  <si>
    <t>TRIP01176</t>
  </si>
  <si>
    <t>TRIP01177</t>
  </si>
  <si>
    <t>TRIP01178</t>
  </si>
  <si>
    <t>TRIP01179</t>
  </si>
  <si>
    <t>TRIP01180</t>
  </si>
  <si>
    <t>TRIP01181</t>
  </si>
  <si>
    <t>TRIP01182</t>
  </si>
  <si>
    <t>TRIP01183</t>
  </si>
  <si>
    <t>TRIP01184</t>
  </si>
  <si>
    <t>TRIP01185</t>
  </si>
  <si>
    <t>TRIP01186</t>
  </si>
  <si>
    <t>TRIP01187</t>
  </si>
  <si>
    <t>TRIP01188</t>
  </si>
  <si>
    <t>TRIP01189</t>
  </si>
  <si>
    <t>TRIP01190</t>
  </si>
  <si>
    <t>TRIP01191</t>
  </si>
  <si>
    <t>TRIP01192</t>
  </si>
  <si>
    <t>TRIP01193</t>
  </si>
  <si>
    <t>TRIP01194</t>
  </si>
  <si>
    <t>TRIP01195</t>
  </si>
  <si>
    <t>TRIP01196</t>
  </si>
  <si>
    <t>TRIP01197</t>
  </si>
  <si>
    <t>TRIP01198</t>
  </si>
  <si>
    <t>TRIP01199</t>
  </si>
  <si>
    <t>TRIP01200</t>
  </si>
  <si>
    <t>TRIP01201</t>
  </si>
  <si>
    <t>TRIP01202</t>
  </si>
  <si>
    <t>TRIP01203</t>
  </si>
  <si>
    <t>TRIP01204</t>
  </si>
  <si>
    <t>TRIP01205</t>
  </si>
  <si>
    <t>TRIP01206</t>
  </si>
  <si>
    <t>TRIP01207</t>
  </si>
  <si>
    <t>TRIP01208</t>
  </si>
  <si>
    <t>TRIP01209</t>
  </si>
  <si>
    <t>TRIP01210</t>
  </si>
  <si>
    <t>TRIP01211</t>
  </si>
  <si>
    <t>TRIP01212</t>
  </si>
  <si>
    <t>TRIP01213</t>
  </si>
  <si>
    <t>TRIP01214</t>
  </si>
  <si>
    <t>TRIP01215</t>
  </si>
  <si>
    <t>TRIP01216</t>
  </si>
  <si>
    <t>TRIP01217</t>
  </si>
  <si>
    <t>TRIP01218</t>
  </si>
  <si>
    <t>TRIP01219</t>
  </si>
  <si>
    <t>TRIP01220</t>
  </si>
  <si>
    <t>TRIP01221</t>
  </si>
  <si>
    <t>TRIP01222</t>
  </si>
  <si>
    <t>TRIP01223</t>
  </si>
  <si>
    <t>TRIP01224</t>
  </si>
  <si>
    <t>TRIP01225</t>
  </si>
  <si>
    <t>TRIP01226</t>
  </si>
  <si>
    <t>TRIP01227</t>
  </si>
  <si>
    <t>TRIP01228</t>
  </si>
  <si>
    <t>TRIP01229</t>
  </si>
  <si>
    <t>TRIP01230</t>
  </si>
  <si>
    <t>TRIP01231</t>
  </si>
  <si>
    <t>TRIP01232</t>
  </si>
  <si>
    <t>TRIP01233</t>
  </si>
  <si>
    <t>TRIP01234</t>
  </si>
  <si>
    <t>TRIP01235</t>
  </si>
  <si>
    <t>TRIP01236</t>
  </si>
  <si>
    <t>TRIP01237</t>
  </si>
  <si>
    <t>TRIP01238</t>
  </si>
  <si>
    <t>TRIP01239</t>
  </si>
  <si>
    <t>TRIP01240</t>
  </si>
  <si>
    <t>TRIP01241</t>
  </si>
  <si>
    <t>TRIP01242</t>
  </si>
  <si>
    <t>TRIP01243</t>
  </si>
  <si>
    <t>TRIP01244</t>
  </si>
  <si>
    <t>TRIP01245</t>
  </si>
  <si>
    <t>TRIP01246</t>
  </si>
  <si>
    <t>TRIP01247</t>
  </si>
  <si>
    <t>TRIP01248</t>
  </si>
  <si>
    <t>TRIP01249</t>
  </si>
  <si>
    <t>TRIP01250</t>
  </si>
  <si>
    <t>TRIP01251</t>
  </si>
  <si>
    <t>TRIP01252</t>
  </si>
  <si>
    <t>TRIP01253</t>
  </si>
  <si>
    <t>TRIP01254</t>
  </si>
  <si>
    <t>TRIP01255</t>
  </si>
  <si>
    <t>TRIP01256</t>
  </si>
  <si>
    <t>TRIP01257</t>
  </si>
  <si>
    <t>TRIP01258</t>
  </si>
  <si>
    <t>TRIP01259</t>
  </si>
  <si>
    <t>TRIP01260</t>
  </si>
  <si>
    <t>TRIP01261</t>
  </si>
  <si>
    <t>TRIP01262</t>
  </si>
  <si>
    <t>TRIP01263</t>
  </si>
  <si>
    <t>TRIP01264</t>
  </si>
  <si>
    <t>TRIP01265</t>
  </si>
  <si>
    <t>TRIP01266</t>
  </si>
  <si>
    <t>TRIP01267</t>
  </si>
  <si>
    <t>TRIP01268</t>
  </si>
  <si>
    <t>TRIP01269</t>
  </si>
  <si>
    <t>TRIP01270</t>
  </si>
  <si>
    <t>TRIP01271</t>
  </si>
  <si>
    <t>TRIP01272</t>
  </si>
  <si>
    <t>TRIP01273</t>
  </si>
  <si>
    <t>TRIP01274</t>
  </si>
  <si>
    <t>TRIP01275</t>
  </si>
  <si>
    <t>TRIP01276</t>
  </si>
  <si>
    <t>TRIP01277</t>
  </si>
  <si>
    <t>TRIP01278</t>
  </si>
  <si>
    <t>TRIP01279</t>
  </si>
  <si>
    <t>TRIP01280</t>
  </si>
  <si>
    <t>TRIP01281</t>
  </si>
  <si>
    <t>TRIP01282</t>
  </si>
  <si>
    <t>TRIP01283</t>
  </si>
  <si>
    <t>TRIP01284</t>
  </si>
  <si>
    <t>TRIP01285</t>
  </si>
  <si>
    <t>TRIP01286</t>
  </si>
  <si>
    <t>TRIP01287</t>
  </si>
  <si>
    <t>TRIP01288</t>
  </si>
  <si>
    <t>TRIP01289</t>
  </si>
  <si>
    <t>TRIP01290</t>
  </si>
  <si>
    <t>TRIP01291</t>
  </si>
  <si>
    <t>TRIP01292</t>
  </si>
  <si>
    <t>TRIP01293</t>
  </si>
  <si>
    <t>TRIP01294</t>
  </si>
  <si>
    <t>TRIP01295</t>
  </si>
  <si>
    <t>TRIP01296</t>
  </si>
  <si>
    <t>TRIP01297</t>
  </si>
  <si>
    <t>TRIP01298</t>
  </si>
  <si>
    <t>TRIP01299</t>
  </si>
  <si>
    <t>TRIP01300</t>
  </si>
  <si>
    <t>TRIP01301</t>
  </si>
  <si>
    <t>TRIP01302</t>
  </si>
  <si>
    <t>TRIP01303</t>
  </si>
  <si>
    <t>TRIP01304</t>
  </si>
  <si>
    <t>TRIP01305</t>
  </si>
  <si>
    <t>TRIP01306</t>
  </si>
  <si>
    <t>TRIP01307</t>
  </si>
  <si>
    <t>TRIP01308</t>
  </si>
  <si>
    <t>TRIP01309</t>
  </si>
  <si>
    <t>TRIP01310</t>
  </si>
  <si>
    <t>TRIP01311</t>
  </si>
  <si>
    <t>TRIP01312</t>
  </si>
  <si>
    <t>TRIP01313</t>
  </si>
  <si>
    <t>TRIP01314</t>
  </si>
  <si>
    <t>TRIP01315</t>
  </si>
  <si>
    <t>TRIP01316</t>
  </si>
  <si>
    <t>TRIP01317</t>
  </si>
  <si>
    <t>TRIP01318</t>
  </si>
  <si>
    <t>TRIP01319</t>
  </si>
  <si>
    <t>TRIP01320</t>
  </si>
  <si>
    <t>TRIP01321</t>
  </si>
  <si>
    <t>TRIP01322</t>
  </si>
  <si>
    <t>TRIP01323</t>
  </si>
  <si>
    <t>TRIP01324</t>
  </si>
  <si>
    <t>TRIP01325</t>
  </si>
  <si>
    <t>TRIP01326</t>
  </si>
  <si>
    <t>TRIP01327</t>
  </si>
  <si>
    <t>TRIP01328</t>
  </si>
  <si>
    <t>TRIP01329</t>
  </si>
  <si>
    <t>TRIP01330</t>
  </si>
  <si>
    <t>TRIP01331</t>
  </si>
  <si>
    <t>TRIP01332</t>
  </si>
  <si>
    <t>TRIP01333</t>
  </si>
  <si>
    <t>TRIP01334</t>
  </si>
  <si>
    <t>TRIP01335</t>
  </si>
  <si>
    <t>TRIP01336</t>
  </si>
  <si>
    <t>TRIP01337</t>
  </si>
  <si>
    <t>TRIP01338</t>
  </si>
  <si>
    <t>TRIP01339</t>
  </si>
  <si>
    <t>TRIP01340</t>
  </si>
  <si>
    <t>TRIP01341</t>
  </si>
  <si>
    <t>TRIP01342</t>
  </si>
  <si>
    <t>TRIP01343</t>
  </si>
  <si>
    <t>TRIP01344</t>
  </si>
  <si>
    <t>TRIP01345</t>
  </si>
  <si>
    <t>TRIP01346</t>
  </si>
  <si>
    <t>TRIP01347</t>
  </si>
  <si>
    <t>TRIP01348</t>
  </si>
  <si>
    <t>TRIP01349</t>
  </si>
  <si>
    <t>TRIP01350</t>
  </si>
  <si>
    <t>TRIP01351</t>
  </si>
  <si>
    <t>TRIP01352</t>
  </si>
  <si>
    <t>TRIP01353</t>
  </si>
  <si>
    <t>TRIP01354</t>
  </si>
  <si>
    <t>TRIP01355</t>
  </si>
  <si>
    <t>TRIP01356</t>
  </si>
  <si>
    <t>TRIP01357</t>
  </si>
  <si>
    <t>TRIP01358</t>
  </si>
  <si>
    <t>TRIP01359</t>
  </si>
  <si>
    <t>TRIP01360</t>
  </si>
  <si>
    <t>TRIP01361</t>
  </si>
  <si>
    <t>TRIP01362</t>
  </si>
  <si>
    <t>TRIP01363</t>
  </si>
  <si>
    <t>TRIP01364</t>
  </si>
  <si>
    <t>TRIP01365</t>
  </si>
  <si>
    <t>TRIP01366</t>
  </si>
  <si>
    <t>TRIP01367</t>
  </si>
  <si>
    <t>TRIP01368</t>
  </si>
  <si>
    <t>TRIP01369</t>
  </si>
  <si>
    <t>TRIP01370</t>
  </si>
  <si>
    <t>TRIP01371</t>
  </si>
  <si>
    <t>TRIP01372</t>
  </si>
  <si>
    <t>TRIP01373</t>
  </si>
  <si>
    <t>TRIP01374</t>
  </si>
  <si>
    <t>TRIP01375</t>
  </si>
  <si>
    <t>TRIP01376</t>
  </si>
  <si>
    <t>TRIP01377</t>
  </si>
  <si>
    <t>TRIP01378</t>
  </si>
  <si>
    <t>TRIP01379</t>
  </si>
  <si>
    <t>TRIP01380</t>
  </si>
  <si>
    <t>TRIP01381</t>
  </si>
  <si>
    <t>TRIP01382</t>
  </si>
  <si>
    <t>TRIP01383</t>
  </si>
  <si>
    <t>TRIP01384</t>
  </si>
  <si>
    <t>TRIP01385</t>
  </si>
  <si>
    <t>TRIP01386</t>
  </si>
  <si>
    <t>TRIP01387</t>
  </si>
  <si>
    <t>TRIP01388</t>
  </si>
  <si>
    <t>TRIP01389</t>
  </si>
  <si>
    <t>TRIP01390</t>
  </si>
  <si>
    <t>TRIP01391</t>
  </si>
  <si>
    <t>TRIP01392</t>
  </si>
  <si>
    <t>TRIP01393</t>
  </si>
  <si>
    <t>TRIP01394</t>
  </si>
  <si>
    <t>TRIP01395</t>
  </si>
  <si>
    <t>TRIP01396</t>
  </si>
  <si>
    <t>TRIP01397</t>
  </si>
  <si>
    <t>TRIP01398</t>
  </si>
  <si>
    <t>TRIP01399</t>
  </si>
  <si>
    <t>TRIP01400</t>
  </si>
  <si>
    <t>TRIP01401</t>
  </si>
  <si>
    <t>TRIP01402</t>
  </si>
  <si>
    <t>TRIP01403</t>
  </si>
  <si>
    <t>TRIP01404</t>
  </si>
  <si>
    <t>TRIP01405</t>
  </si>
  <si>
    <t>TRIP01406</t>
  </si>
  <si>
    <t>TRIP01407</t>
  </si>
  <si>
    <t>TRIP01408</t>
  </si>
  <si>
    <t>TRIP01409</t>
  </si>
  <si>
    <t>TRIP01410</t>
  </si>
  <si>
    <t>TRIP01411</t>
  </si>
  <si>
    <t>TRIP01412</t>
  </si>
  <si>
    <t>TRIP01413</t>
  </si>
  <si>
    <t>TRIP01414</t>
  </si>
  <si>
    <t>TRIP01415</t>
  </si>
  <si>
    <t>TRIP01416</t>
  </si>
  <si>
    <t>TRIP01417</t>
  </si>
  <si>
    <t>TRIP01418</t>
  </si>
  <si>
    <t>TRIP01419</t>
  </si>
  <si>
    <t>TRIP01420</t>
  </si>
  <si>
    <t>TRIP01421</t>
  </si>
  <si>
    <t>TRIP01422</t>
  </si>
  <si>
    <t>TRIP01423</t>
  </si>
  <si>
    <t>TRIP01424</t>
  </si>
  <si>
    <t>TRIP01425</t>
  </si>
  <si>
    <t>TRIP01426</t>
  </si>
  <si>
    <t>TRIP01427</t>
  </si>
  <si>
    <t>TRIP01428</t>
  </si>
  <si>
    <t>TRIP01429</t>
  </si>
  <si>
    <t>TRIP01430</t>
  </si>
  <si>
    <t>TRIP01431</t>
  </si>
  <si>
    <t>TRIP01432</t>
  </si>
  <si>
    <t>TRIP01433</t>
  </si>
  <si>
    <t>TRIP01434</t>
  </si>
  <si>
    <t>TRIP01435</t>
  </si>
  <si>
    <t>TRIP01436</t>
  </si>
  <si>
    <t>TRIP01437</t>
  </si>
  <si>
    <t>TRIP01438</t>
  </si>
  <si>
    <t>TRIP01439</t>
  </si>
  <si>
    <t>TRIP01440</t>
  </si>
  <si>
    <t>TRIP01441</t>
  </si>
  <si>
    <t>TRIP01442</t>
  </si>
  <si>
    <t>TRIP01443</t>
  </si>
  <si>
    <t>TRIP01444</t>
  </si>
  <si>
    <t>TRIP01445</t>
  </si>
  <si>
    <t>TRIP01446</t>
  </si>
  <si>
    <t>TRIP01447</t>
  </si>
  <si>
    <t>TRIP01448</t>
  </si>
  <si>
    <t>TRIP01449</t>
  </si>
  <si>
    <t>TRIP01450</t>
  </si>
  <si>
    <t>TRIP01451</t>
  </si>
  <si>
    <t>TRIP01452</t>
  </si>
  <si>
    <t>TRIP01453</t>
  </si>
  <si>
    <t>TRIP01454</t>
  </si>
  <si>
    <t>TRIP01455</t>
  </si>
  <si>
    <t>TRIP01456</t>
  </si>
  <si>
    <t>TRIP01457</t>
  </si>
  <si>
    <t>TRIP01458</t>
  </si>
  <si>
    <t>TRIP01459</t>
  </si>
  <si>
    <t>TRIP01460</t>
  </si>
  <si>
    <t>TRIP01461</t>
  </si>
  <si>
    <t>TRIP01462</t>
  </si>
  <si>
    <t>TRIP01463</t>
  </si>
  <si>
    <t>TRIP01464</t>
  </si>
  <si>
    <t>TRIP01465</t>
  </si>
  <si>
    <t>TRIP01466</t>
  </si>
  <si>
    <t>TRIP01467</t>
  </si>
  <si>
    <t>TRIP01468</t>
  </si>
  <si>
    <t>TRIP01469</t>
  </si>
  <si>
    <t>TRIP01470</t>
  </si>
  <si>
    <t>TRIP01471</t>
  </si>
  <si>
    <t>TRIP01472</t>
  </si>
  <si>
    <t>TRIP01473</t>
  </si>
  <si>
    <t>TRIP01474</t>
  </si>
  <si>
    <t>TRIP01475</t>
  </si>
  <si>
    <t>TRIP01476</t>
  </si>
  <si>
    <t>TRIP01477</t>
  </si>
  <si>
    <t>TRIP01478</t>
  </si>
  <si>
    <t>TRIP01479</t>
  </si>
  <si>
    <t>TRIP01480</t>
  </si>
  <si>
    <t>TRIP01481</t>
  </si>
  <si>
    <t>TRIP01482</t>
  </si>
  <si>
    <t>TRIP01483</t>
  </si>
  <si>
    <t>TRIP01484</t>
  </si>
  <si>
    <t>TRIP01485</t>
  </si>
  <si>
    <t>TRIP01486</t>
  </si>
  <si>
    <t>TRIP01487</t>
  </si>
  <si>
    <t>TRIP01488</t>
  </si>
  <si>
    <t>TRIP01489</t>
  </si>
  <si>
    <t>TRIP01490</t>
  </si>
  <si>
    <t>TRIP01491</t>
  </si>
  <si>
    <t>TRIP01492</t>
  </si>
  <si>
    <t>TRIP01493</t>
  </si>
  <si>
    <t>TRIP01494</t>
  </si>
  <si>
    <t>TRIP01495</t>
  </si>
  <si>
    <t>TRIP01496</t>
  </si>
  <si>
    <t>TRIP01497</t>
  </si>
  <si>
    <t>TRIP01498</t>
  </si>
  <si>
    <t>TRIP01499</t>
  </si>
  <si>
    <t>TRIP01500</t>
  </si>
  <si>
    <t>TRIP01501</t>
  </si>
  <si>
    <t>TRIP01502</t>
  </si>
  <si>
    <t>TRIP01503</t>
  </si>
  <si>
    <t>TRIP01504</t>
  </si>
  <si>
    <t>TRIP01505</t>
  </si>
  <si>
    <t>TRIP01506</t>
  </si>
  <si>
    <t>TRIP01507</t>
  </si>
  <si>
    <t>TRIP01508</t>
  </si>
  <si>
    <t>TRIP01509</t>
  </si>
  <si>
    <t>TRIP01510</t>
  </si>
  <si>
    <t>TRIP01511</t>
  </si>
  <si>
    <t>TRIP01512</t>
  </si>
  <si>
    <t>TRIP01513</t>
  </si>
  <si>
    <t>TRIP01514</t>
  </si>
  <si>
    <t>TRIP01515</t>
  </si>
  <si>
    <t>TRIP01516</t>
  </si>
  <si>
    <t>TRIP01517</t>
  </si>
  <si>
    <t>TRIP01518</t>
  </si>
  <si>
    <t>TRIP01519</t>
  </si>
  <si>
    <t>TRIP01520</t>
  </si>
  <si>
    <t>TRIP01521</t>
  </si>
  <si>
    <t>TRIP01522</t>
  </si>
  <si>
    <t>TRIP01523</t>
  </si>
  <si>
    <t>TRIP01524</t>
  </si>
  <si>
    <t>TRIP01525</t>
  </si>
  <si>
    <t>TRIP01526</t>
  </si>
  <si>
    <t>TRIP01527</t>
  </si>
  <si>
    <t>TRIP01528</t>
  </si>
  <si>
    <t>TRIP01529</t>
  </si>
  <si>
    <t>TRIP01530</t>
  </si>
  <si>
    <t>TRIP01531</t>
  </si>
  <si>
    <t>TRIP01532</t>
  </si>
  <si>
    <t>TRIP01533</t>
  </si>
  <si>
    <t>TRIP01534</t>
  </si>
  <si>
    <t>TRIP01535</t>
  </si>
  <si>
    <t>TRIP01536</t>
  </si>
  <si>
    <t>TRIP01537</t>
  </si>
  <si>
    <t>TRIP01538</t>
  </si>
  <si>
    <t>TRIP01539</t>
  </si>
  <si>
    <t>TRIP01540</t>
  </si>
  <si>
    <t>TRIP01541</t>
  </si>
  <si>
    <t>TRIP01542</t>
  </si>
  <si>
    <t>TRIP01543</t>
  </si>
  <si>
    <t>TRIP01544</t>
  </si>
  <si>
    <t>TRIP01545</t>
  </si>
  <si>
    <t>TRIP01546</t>
  </si>
  <si>
    <t>TRIP01547</t>
  </si>
  <si>
    <t>TRIP01548</t>
  </si>
  <si>
    <t>TRIP01549</t>
  </si>
  <si>
    <t>TRIP01550</t>
  </si>
  <si>
    <t>TRIP01551</t>
  </si>
  <si>
    <t>TRIP01552</t>
  </si>
  <si>
    <t>TRIP01553</t>
  </si>
  <si>
    <t>TRIP01554</t>
  </si>
  <si>
    <t>TRIP01555</t>
  </si>
  <si>
    <t>TRIP01556</t>
  </si>
  <si>
    <t>TRIP01557</t>
  </si>
  <si>
    <t>TRIP01558</t>
  </si>
  <si>
    <t>TRIP01559</t>
  </si>
  <si>
    <t>TRIP01560</t>
  </si>
  <si>
    <t>TRIP01561</t>
  </si>
  <si>
    <t>TRIP01562</t>
  </si>
  <si>
    <t>TRIP01563</t>
  </si>
  <si>
    <t>TRIP01564</t>
  </si>
  <si>
    <t>TRIP01565</t>
  </si>
  <si>
    <t>TRIP01566</t>
  </si>
  <si>
    <t>TRIP01567</t>
  </si>
  <si>
    <t>TRIP01568</t>
  </si>
  <si>
    <t>TRIP01569</t>
  </si>
  <si>
    <t>TRIP01570</t>
  </si>
  <si>
    <t>TRIP01571</t>
  </si>
  <si>
    <t>TRIP01572</t>
  </si>
  <si>
    <t>TRIP01573</t>
  </si>
  <si>
    <t>TRIP01574</t>
  </si>
  <si>
    <t>TRIP01575</t>
  </si>
  <si>
    <t>TRIP01576</t>
  </si>
  <si>
    <t>TRIP01577</t>
  </si>
  <si>
    <t>TRIP01578</t>
  </si>
  <si>
    <t>TRIP01579</t>
  </si>
  <si>
    <t>TRIP01580</t>
  </si>
  <si>
    <t>TRIP01581</t>
  </si>
  <si>
    <t>TRIP01582</t>
  </si>
  <si>
    <t>TRIP01583</t>
  </si>
  <si>
    <t>TRIP01584</t>
  </si>
  <si>
    <t>TRIP01585</t>
  </si>
  <si>
    <t>TRIP01586</t>
  </si>
  <si>
    <t>TRIP01587</t>
  </si>
  <si>
    <t>TRIP01588</t>
  </si>
  <si>
    <t>TRIP01589</t>
  </si>
  <si>
    <t>TRIP01590</t>
  </si>
  <si>
    <t>TRIP01591</t>
  </si>
  <si>
    <t>TRIP01592</t>
  </si>
  <si>
    <t>TRIP01593</t>
  </si>
  <si>
    <t>TRIP01594</t>
  </si>
  <si>
    <t>TRIP01595</t>
  </si>
  <si>
    <t>TRIP01596</t>
  </si>
  <si>
    <t>TRIP01597</t>
  </si>
  <si>
    <t>TRIP01598</t>
  </si>
  <si>
    <t>TRIP01599</t>
  </si>
  <si>
    <t>TRIP01600</t>
  </si>
  <si>
    <t>TRIP01601</t>
  </si>
  <si>
    <t>TRIP01602</t>
  </si>
  <si>
    <t>TRIP01603</t>
  </si>
  <si>
    <t>TRIP01604</t>
  </si>
  <si>
    <t>TRIP01605</t>
  </si>
  <si>
    <t>TRIP01606</t>
  </si>
  <si>
    <t>TRIP01607</t>
  </si>
  <si>
    <t>TRIP01608</t>
  </si>
  <si>
    <t>TRIP01609</t>
  </si>
  <si>
    <t>TRIP01610</t>
  </si>
  <si>
    <t>TRIP01611</t>
  </si>
  <si>
    <t>TRIP01612</t>
  </si>
  <si>
    <t>TRIP01613</t>
  </si>
  <si>
    <t>TRIP01614</t>
  </si>
  <si>
    <t>TRIP01615</t>
  </si>
  <si>
    <t>TRIP01616</t>
  </si>
  <si>
    <t>TRIP01617</t>
  </si>
  <si>
    <t>TRIP01618</t>
  </si>
  <si>
    <t>TRIP01619</t>
  </si>
  <si>
    <t>TRIP01620</t>
  </si>
  <si>
    <t>TRIP01621</t>
  </si>
  <si>
    <t>TRIP01622</t>
  </si>
  <si>
    <t>TRIP01623</t>
  </si>
  <si>
    <t>TRIP01624</t>
  </si>
  <si>
    <t>TRIP01625</t>
  </si>
  <si>
    <t>TRIP01626</t>
  </si>
  <si>
    <t>TRIP01627</t>
  </si>
  <si>
    <t>TRIP01628</t>
  </si>
  <si>
    <t>TRIP01629</t>
  </si>
  <si>
    <t>TRIP01630</t>
  </si>
  <si>
    <t>TRIP01631</t>
  </si>
  <si>
    <t>TRIP01632</t>
  </si>
  <si>
    <t>TRIP01633</t>
  </si>
  <si>
    <t>TRIP01634</t>
  </si>
  <si>
    <t>TRIP01635</t>
  </si>
  <si>
    <t>TRIP01636</t>
  </si>
  <si>
    <t>TRIP01637</t>
  </si>
  <si>
    <t>TRIP01638</t>
  </si>
  <si>
    <t>TRIP01639</t>
  </si>
  <si>
    <t>TRIP01640</t>
  </si>
  <si>
    <t>TRIP01641</t>
  </si>
  <si>
    <t>TRIP01642</t>
  </si>
  <si>
    <t>TRIP01643</t>
  </si>
  <si>
    <t>TRIP01644</t>
  </si>
  <si>
    <t>TRIP01645</t>
  </si>
  <si>
    <t>TRIP01646</t>
  </si>
  <si>
    <t>TRIP01647</t>
  </si>
  <si>
    <t>TRIP01648</t>
  </si>
  <si>
    <t>TRIP01649</t>
  </si>
  <si>
    <t>TRIP01650</t>
  </si>
  <si>
    <t>TRIP01651</t>
  </si>
  <si>
    <t>TRIP01652</t>
  </si>
  <si>
    <t>TRIP01653</t>
  </si>
  <si>
    <t>TRIP01654</t>
  </si>
  <si>
    <t>TRIP01655</t>
  </si>
  <si>
    <t>TRIP01656</t>
  </si>
  <si>
    <t>TRIP01657</t>
  </si>
  <si>
    <t>TRIP01658</t>
  </si>
  <si>
    <t>TRIP01659</t>
  </si>
  <si>
    <t>TRIP01660</t>
  </si>
  <si>
    <t>TRIP01661</t>
  </si>
  <si>
    <t>TRIP01662</t>
  </si>
  <si>
    <t>TRIP01663</t>
  </si>
  <si>
    <t>TRIP01664</t>
  </si>
  <si>
    <t>TRIP01665</t>
  </si>
  <si>
    <t>TRIP01666</t>
  </si>
  <si>
    <t>TRIP01667</t>
  </si>
  <si>
    <t>TRIP01668</t>
  </si>
  <si>
    <t>TRIP01669</t>
  </si>
  <si>
    <t>TRIP01670</t>
  </si>
  <si>
    <t>TRIP01671</t>
  </si>
  <si>
    <t>TRIP01672</t>
  </si>
  <si>
    <t>TRIP01673</t>
  </si>
  <si>
    <t>TRIP01674</t>
  </si>
  <si>
    <t>TRIP01675</t>
  </si>
  <si>
    <t>TRIP01676</t>
  </si>
  <si>
    <t>TRIP01677</t>
  </si>
  <si>
    <t>TRIP01678</t>
  </si>
  <si>
    <t>TRIP01679</t>
  </si>
  <si>
    <t>TRIP01680</t>
  </si>
  <si>
    <t>TRIP01681</t>
  </si>
  <si>
    <t>TRIP01682</t>
  </si>
  <si>
    <t>TRIP01683</t>
  </si>
  <si>
    <t>TRIP01684</t>
  </si>
  <si>
    <t>TRIP01685</t>
  </si>
  <si>
    <t>TRIP01686</t>
  </si>
  <si>
    <t>TRIP01687</t>
  </si>
  <si>
    <t>TRIP01688</t>
  </si>
  <si>
    <t>TRIP01689</t>
  </si>
  <si>
    <t>TRIP01690</t>
  </si>
  <si>
    <t>TRIP01691</t>
  </si>
  <si>
    <t>TRIP01692</t>
  </si>
  <si>
    <t>TRIP01693</t>
  </si>
  <si>
    <t>TRIP01694</t>
  </si>
  <si>
    <t>TRIP01695</t>
  </si>
  <si>
    <t>TRIP01696</t>
  </si>
  <si>
    <t>TRIP01697</t>
  </si>
  <si>
    <t>TRIP01698</t>
  </si>
  <si>
    <t>TRIP01699</t>
  </si>
  <si>
    <t>TRIP01700</t>
  </si>
  <si>
    <t>TRIP01701</t>
  </si>
  <si>
    <t>TRIP01702</t>
  </si>
  <si>
    <t>TRIP01703</t>
  </si>
  <si>
    <t>TRIP01704</t>
  </si>
  <si>
    <t>TRIP01705</t>
  </si>
  <si>
    <t>TRIP01706</t>
  </si>
  <si>
    <t>TRIP01707</t>
  </si>
  <si>
    <t>TRIP01708</t>
  </si>
  <si>
    <t>TRIP01709</t>
  </si>
  <si>
    <t>TRIP01710</t>
  </si>
  <si>
    <t>TRIP01711</t>
  </si>
  <si>
    <t>TRIP01712</t>
  </si>
  <si>
    <t>TRIP01713</t>
  </si>
  <si>
    <t>TRIP01714</t>
  </si>
  <si>
    <t>TRIP01715</t>
  </si>
  <si>
    <t>TRIP01716</t>
  </si>
  <si>
    <t>TRIP01717</t>
  </si>
  <si>
    <t>TRIP01718</t>
  </si>
  <si>
    <t>TRIP01719</t>
  </si>
  <si>
    <t>TRIP01720</t>
  </si>
  <si>
    <t>TRIP01721</t>
  </si>
  <si>
    <t>TRIP01722</t>
  </si>
  <si>
    <t>TRIP01723</t>
  </si>
  <si>
    <t>TRIP01724</t>
  </si>
  <si>
    <t>TRIP01725</t>
  </si>
  <si>
    <t>TRIP01726</t>
  </si>
  <si>
    <t>TRIP01727</t>
  </si>
  <si>
    <t>TRIP01728</t>
  </si>
  <si>
    <t>TRIP01729</t>
  </si>
  <si>
    <t>TRIP01730</t>
  </si>
  <si>
    <t>TRIP01731</t>
  </si>
  <si>
    <t>TRIP01732</t>
  </si>
  <si>
    <t>TRIP01733</t>
  </si>
  <si>
    <t>TRIP01734</t>
  </si>
  <si>
    <t>TRIP01735</t>
  </si>
  <si>
    <t>TRIP01736</t>
  </si>
  <si>
    <t>TRIP01737</t>
  </si>
  <si>
    <t>TRIP01738</t>
  </si>
  <si>
    <t>TRIP01739</t>
  </si>
  <si>
    <t>TRIP01740</t>
  </si>
  <si>
    <t>TRIP01741</t>
  </si>
  <si>
    <t>TRIP01742</t>
  </si>
  <si>
    <t>TRIP01743</t>
  </si>
  <si>
    <t>TRIP01744</t>
  </si>
  <si>
    <t>TRIP01745</t>
  </si>
  <si>
    <t>TRIP01746</t>
  </si>
  <si>
    <t>TRIP01747</t>
  </si>
  <si>
    <t>TRIP01748</t>
  </si>
  <si>
    <t>TRIP01749</t>
  </si>
  <si>
    <t>TRIP01750</t>
  </si>
  <si>
    <t>TRIP01751</t>
  </si>
  <si>
    <t>TRIP01752</t>
  </si>
  <si>
    <t>TRIP01753</t>
  </si>
  <si>
    <t>TRIP01754</t>
  </si>
  <si>
    <t>TRIP01755</t>
  </si>
  <si>
    <t>TRIP01756</t>
  </si>
  <si>
    <t>TRIP01757</t>
  </si>
  <si>
    <t>TRIP01758</t>
  </si>
  <si>
    <t>TRIP01759</t>
  </si>
  <si>
    <t>TRIP01760</t>
  </si>
  <si>
    <t>TRIP01761</t>
  </si>
  <si>
    <t>TRIP01762</t>
  </si>
  <si>
    <t>TRIP01763</t>
  </si>
  <si>
    <t>TRIP01764</t>
  </si>
  <si>
    <t>TRIP01765</t>
  </si>
  <si>
    <t>TRIP01766</t>
  </si>
  <si>
    <t>TRIP01767</t>
  </si>
  <si>
    <t>TRIP01768</t>
  </si>
  <si>
    <t>TRIP01769</t>
  </si>
  <si>
    <t>TRIP01770</t>
  </si>
  <si>
    <t>TRIP01771</t>
  </si>
  <si>
    <t>TRIP01772</t>
  </si>
  <si>
    <t>TRIP01773</t>
  </si>
  <si>
    <t>TRIP01774</t>
  </si>
  <si>
    <t>TRIP01775</t>
  </si>
  <si>
    <t>TRIP01776</t>
  </si>
  <si>
    <t>TRIP01777</t>
  </si>
  <si>
    <t>TRIP01778</t>
  </si>
  <si>
    <t>TRIP01779</t>
  </si>
  <si>
    <t>TRIP01780</t>
  </si>
  <si>
    <t>TRIP01781</t>
  </si>
  <si>
    <t>TRIP01782</t>
  </si>
  <si>
    <t>TRIP01783</t>
  </si>
  <si>
    <t>TRIP01784</t>
  </si>
  <si>
    <t>TRIP01785</t>
  </si>
  <si>
    <t>TRIP01786</t>
  </si>
  <si>
    <t>TRIP01787</t>
  </si>
  <si>
    <t>TRIP01788</t>
  </si>
  <si>
    <t>TRIP01789</t>
  </si>
  <si>
    <t>TRIP01790</t>
  </si>
  <si>
    <t>TRIP01791</t>
  </si>
  <si>
    <t>TRIP01792</t>
  </si>
  <si>
    <t>TRIP01793</t>
  </si>
  <si>
    <t>TRIP01794</t>
  </si>
  <si>
    <t>TRIP01795</t>
  </si>
  <si>
    <t>TRIP01796</t>
  </si>
  <si>
    <t>TRIP01797</t>
  </si>
  <si>
    <t>TRIP01798</t>
  </si>
  <si>
    <t>TRIP01799</t>
  </si>
  <si>
    <t>TRIP01800</t>
  </si>
  <si>
    <t>TRIP01801</t>
  </si>
  <si>
    <t>TRIP01802</t>
  </si>
  <si>
    <t>TRIP01803</t>
  </si>
  <si>
    <t>TRIP01804</t>
  </si>
  <si>
    <t>TRIP01805</t>
  </si>
  <si>
    <t>TRIP01806</t>
  </si>
  <si>
    <t>TRIP01807</t>
  </si>
  <si>
    <t>TRIP01808</t>
  </si>
  <si>
    <t>TRIP01809</t>
  </si>
  <si>
    <t>TRIP01810</t>
  </si>
  <si>
    <t>TRIP01811</t>
  </si>
  <si>
    <t>TRIP01812</t>
  </si>
  <si>
    <t>TRIP01813</t>
  </si>
  <si>
    <t>TRIP01814</t>
  </si>
  <si>
    <t>TRIP01815</t>
  </si>
  <si>
    <t>TRIP01816</t>
  </si>
  <si>
    <t>TRIP01817</t>
  </si>
  <si>
    <t>TRIP01818</t>
  </si>
  <si>
    <t>TRIP01819</t>
  </si>
  <si>
    <t>TRIP01820</t>
  </si>
  <si>
    <t>TRIP01821</t>
  </si>
  <si>
    <t>TRIP01822</t>
  </si>
  <si>
    <t>TRIP01823</t>
  </si>
  <si>
    <t>TRIP01824</t>
  </si>
  <si>
    <t>TRIP01825</t>
  </si>
  <si>
    <t>TRIP01826</t>
  </si>
  <si>
    <t>TRIP01827</t>
  </si>
  <si>
    <t>TRIP01828</t>
  </si>
  <si>
    <t>TRIP01829</t>
  </si>
  <si>
    <t>TRIP01830</t>
  </si>
  <si>
    <t>TRIP01831</t>
  </si>
  <si>
    <t>TRIP01832</t>
  </si>
  <si>
    <t>TRIP01833</t>
  </si>
  <si>
    <t>TRIP01834</t>
  </si>
  <si>
    <t>TRIP01835</t>
  </si>
  <si>
    <t>TRIP01836</t>
  </si>
  <si>
    <t>TRIP01837</t>
  </si>
  <si>
    <t>TRIP01838</t>
  </si>
  <si>
    <t>TRIP01839</t>
  </si>
  <si>
    <t>TRIP01840</t>
  </si>
  <si>
    <t>TRIP01841</t>
  </si>
  <si>
    <t>TRIP01842</t>
  </si>
  <si>
    <t>TRIP01843</t>
  </si>
  <si>
    <t>TRIP01844</t>
  </si>
  <si>
    <t>TRIP01845</t>
  </si>
  <si>
    <t>TRIP01846</t>
  </si>
  <si>
    <t>TRIP01847</t>
  </si>
  <si>
    <t>TRIP01848</t>
  </si>
  <si>
    <t>TRIP01849</t>
  </si>
  <si>
    <t>TRIP01850</t>
  </si>
  <si>
    <t>TRIP01851</t>
  </si>
  <si>
    <t>TRIP01852</t>
  </si>
  <si>
    <t>TRIP01853</t>
  </si>
  <si>
    <t>TRIP01854</t>
  </si>
  <si>
    <t>TRIP01855</t>
  </si>
  <si>
    <t>TRIP01856</t>
  </si>
  <si>
    <t>TRIP01857</t>
  </si>
  <si>
    <t>TRIP01858</t>
  </si>
  <si>
    <t>TRIP01859</t>
  </si>
  <si>
    <t>TRIP01860</t>
  </si>
  <si>
    <t>TRIP01861</t>
  </si>
  <si>
    <t>TRIP01862</t>
  </si>
  <si>
    <t>TRIP01863</t>
  </si>
  <si>
    <t>TRIP01864</t>
  </si>
  <si>
    <t>TRIP01865</t>
  </si>
  <si>
    <t>TRIP01866</t>
  </si>
  <si>
    <t>TRIP01867</t>
  </si>
  <si>
    <t>TRIP01868</t>
  </si>
  <si>
    <t>TRIP01869</t>
  </si>
  <si>
    <t>TRIP01870</t>
  </si>
  <si>
    <t>TRIP01871</t>
  </si>
  <si>
    <t>TRIP01872</t>
  </si>
  <si>
    <t>TRIP01873</t>
  </si>
  <si>
    <t>TRIP01874</t>
  </si>
  <si>
    <t>TRIP01875</t>
  </si>
  <si>
    <t>TRIP01876</t>
  </si>
  <si>
    <t>TRIP01877</t>
  </si>
  <si>
    <t>TRIP01878</t>
  </si>
  <si>
    <t>TRIP01879</t>
  </si>
  <si>
    <t>TRIP01880</t>
  </si>
  <si>
    <t>TRIP01881</t>
  </si>
  <si>
    <t>TRIP01882</t>
  </si>
  <si>
    <t>TRIP01883</t>
  </si>
  <si>
    <t>TRIP01884</t>
  </si>
  <si>
    <t>TRIP01885</t>
  </si>
  <si>
    <t>TRIP01886</t>
  </si>
  <si>
    <t>TRIP01887</t>
  </si>
  <si>
    <t>TRIP01888</t>
  </si>
  <si>
    <t>TRIP01889</t>
  </si>
  <si>
    <t>TRIP01890</t>
  </si>
  <si>
    <t>TRIP01891</t>
  </si>
  <si>
    <t>TRIP01892</t>
  </si>
  <si>
    <t>TRIP01893</t>
  </si>
  <si>
    <t>TRIP01894</t>
  </si>
  <si>
    <t>TRIP01895</t>
  </si>
  <si>
    <t>TRIP01896</t>
  </si>
  <si>
    <t>TRIP01897</t>
  </si>
  <si>
    <t>TRIP01898</t>
  </si>
  <si>
    <t>TRIP01899</t>
  </si>
  <si>
    <t>TRIP01900</t>
  </si>
  <si>
    <t>TRIP01901</t>
  </si>
  <si>
    <t>TRIP01902</t>
  </si>
  <si>
    <t>TRIP01903</t>
  </si>
  <si>
    <t>TRIP01904</t>
  </si>
  <si>
    <t>TRIP01905</t>
  </si>
  <si>
    <t>TRIP01906</t>
  </si>
  <si>
    <t>TRIP01907</t>
  </si>
  <si>
    <t>TRIP01908</t>
  </si>
  <si>
    <t>TRIP01909</t>
  </si>
  <si>
    <t>TRIP01910</t>
  </si>
  <si>
    <t>TRIP01911</t>
  </si>
  <si>
    <t>TRIP01912</t>
  </si>
  <si>
    <t>TRIP01913</t>
  </si>
  <si>
    <t>TRIP01914</t>
  </si>
  <si>
    <t>TRIP01915</t>
  </si>
  <si>
    <t>TRIP01916</t>
  </si>
  <si>
    <t>TRIP01917</t>
  </si>
  <si>
    <t>TRIP01918</t>
  </si>
  <si>
    <t>TRIP01919</t>
  </si>
  <si>
    <t>TRIP01920</t>
  </si>
  <si>
    <t>TRIP01921</t>
  </si>
  <si>
    <t>TRIP01922</t>
  </si>
  <si>
    <t>TRIP01923</t>
  </si>
  <si>
    <t>TRIP01924</t>
  </si>
  <si>
    <t>TRIP01925</t>
  </si>
  <si>
    <t>TRIP01926</t>
  </si>
  <si>
    <t>TRIP01927</t>
  </si>
  <si>
    <t>TRIP01928</t>
  </si>
  <si>
    <t>TRIP01929</t>
  </si>
  <si>
    <t>TRIP01930</t>
  </si>
  <si>
    <t>TRIP01931</t>
  </si>
  <si>
    <t>TRIP01932</t>
  </si>
  <si>
    <t>TRIP01933</t>
  </si>
  <si>
    <t>TRIP01934</t>
  </si>
  <si>
    <t>TRIP01935</t>
  </si>
  <si>
    <t>TRIP01936</t>
  </si>
  <si>
    <t>TRIP01937</t>
  </si>
  <si>
    <t>TRIP01938</t>
  </si>
  <si>
    <t>TRIP01939</t>
  </si>
  <si>
    <t>TRIP01940</t>
  </si>
  <si>
    <t>TRIP01941</t>
  </si>
  <si>
    <t>TRIP01942</t>
  </si>
  <si>
    <t>TRIP01943</t>
  </si>
  <si>
    <t>TRIP01944</t>
  </si>
  <si>
    <t>TRIP01945</t>
  </si>
  <si>
    <t>TRIP01946</t>
  </si>
  <si>
    <t>TRIP01947</t>
  </si>
  <si>
    <t>TRIP01948</t>
  </si>
  <si>
    <t>TRIP01949</t>
  </si>
  <si>
    <t>TRIP01950</t>
  </si>
  <si>
    <t>TRIP01951</t>
  </si>
  <si>
    <t>TRIP01952</t>
  </si>
  <si>
    <t>TRIP01953</t>
  </si>
  <si>
    <t>TRIP01954</t>
  </si>
  <si>
    <t>TRIP01955</t>
  </si>
  <si>
    <t>TRIP01956</t>
  </si>
  <si>
    <t>TRIP01957</t>
  </si>
  <si>
    <t>TRIP01958</t>
  </si>
  <si>
    <t>TRIP01959</t>
  </si>
  <si>
    <t>TRIP01960</t>
  </si>
  <si>
    <t>TRIP01961</t>
  </si>
  <si>
    <t>TRIP01962</t>
  </si>
  <si>
    <t>TRIP01963</t>
  </si>
  <si>
    <t>TRIP01964</t>
  </si>
  <si>
    <t>TRIP01965</t>
  </si>
  <si>
    <t>TRIP01966</t>
  </si>
  <si>
    <t>TRIP01967</t>
  </si>
  <si>
    <t>TRIP01968</t>
  </si>
  <si>
    <t>TRIP01969</t>
  </si>
  <si>
    <t>TRIP01970</t>
  </si>
  <si>
    <t>TRIP01971</t>
  </si>
  <si>
    <t>TRIP01972</t>
  </si>
  <si>
    <t>TRIP01973</t>
  </si>
  <si>
    <t>TRIP01974</t>
  </si>
  <si>
    <t>TRIP01975</t>
  </si>
  <si>
    <t>TRIP01976</t>
  </si>
  <si>
    <t>TRIP01977</t>
  </si>
  <si>
    <t>TRIP01978</t>
  </si>
  <si>
    <t>TRIP01979</t>
  </si>
  <si>
    <t>TRIP01980</t>
  </si>
  <si>
    <t>TRIP01981</t>
  </si>
  <si>
    <t>TRIP01982</t>
  </si>
  <si>
    <t>TRIP01983</t>
  </si>
  <si>
    <t>TRIP01984</t>
  </si>
  <si>
    <t>TRIP01985</t>
  </si>
  <si>
    <t>TRIP01986</t>
  </si>
  <si>
    <t>TRIP01987</t>
  </si>
  <si>
    <t>TRIP01988</t>
  </si>
  <si>
    <t>TRIP01989</t>
  </si>
  <si>
    <t>TRIP01990</t>
  </si>
  <si>
    <t>TRIP01991</t>
  </si>
  <si>
    <t>TRIP01992</t>
  </si>
  <si>
    <t>TRIP01993</t>
  </si>
  <si>
    <t>TRIP01994</t>
  </si>
  <si>
    <t>TRIP01995</t>
  </si>
  <si>
    <t>TRIP01996</t>
  </si>
  <si>
    <t>TRIP01997</t>
  </si>
  <si>
    <t>TRIP01998</t>
  </si>
  <si>
    <t>TRIP01999</t>
  </si>
  <si>
    <t>TRIP02000</t>
  </si>
  <si>
    <t>TRIP02001</t>
  </si>
  <si>
    <t>TRIP02002</t>
  </si>
  <si>
    <t>TRIP02003</t>
  </si>
  <si>
    <t>TRIP02004</t>
  </si>
  <si>
    <t>TRIP02005</t>
  </si>
  <si>
    <t>TRIP02006</t>
  </si>
  <si>
    <t>TRIP02007</t>
  </si>
  <si>
    <t>TRIP02008</t>
  </si>
  <si>
    <t>TRIP02009</t>
  </si>
  <si>
    <t>TRIP02010</t>
  </si>
  <si>
    <t>TRIP02011</t>
  </si>
  <si>
    <t>TRIP02012</t>
  </si>
  <si>
    <t>TRIP02013</t>
  </si>
  <si>
    <t>TRIP02014</t>
  </si>
  <si>
    <t>TRIP02015</t>
  </si>
  <si>
    <t>TRIP02016</t>
  </si>
  <si>
    <t>TRIP02017</t>
  </si>
  <si>
    <t>TRIP02018</t>
  </si>
  <si>
    <t>TRIP02019</t>
  </si>
  <si>
    <t>TRIP02020</t>
  </si>
  <si>
    <t>TRIP02021</t>
  </si>
  <si>
    <t>TRIP02022</t>
  </si>
  <si>
    <t>TRIP02023</t>
  </si>
  <si>
    <t>TRIP02024</t>
  </si>
  <si>
    <t>TRIP02025</t>
  </si>
  <si>
    <t>TRIP02026</t>
  </si>
  <si>
    <t>TRIP02027</t>
  </si>
  <si>
    <t>TRIP02028</t>
  </si>
  <si>
    <t>TRIP02029</t>
  </si>
  <si>
    <t>TRIP02030</t>
  </si>
  <si>
    <t>TRIP02031</t>
  </si>
  <si>
    <t>TRIP02032</t>
  </si>
  <si>
    <t>TRIP02033</t>
  </si>
  <si>
    <t>TRIP02034</t>
  </si>
  <si>
    <t>TRIP02035</t>
  </si>
  <si>
    <t>TRIP02036</t>
  </si>
  <si>
    <t>TRIP02037</t>
  </si>
  <si>
    <t>TRIP02038</t>
  </si>
  <si>
    <t>TRIP02039</t>
  </si>
  <si>
    <t>TRIP02040</t>
  </si>
  <si>
    <t>TRIP02041</t>
  </si>
  <si>
    <t>TRIP02042</t>
  </si>
  <si>
    <t>TRIP02043</t>
  </si>
  <si>
    <t>TRIP02044</t>
  </si>
  <si>
    <t>TRIP02045</t>
  </si>
  <si>
    <t>TRIP02046</t>
  </si>
  <si>
    <t>TRIP02047</t>
  </si>
  <si>
    <t>TRIP02048</t>
  </si>
  <si>
    <t>TRIP02049</t>
  </si>
  <si>
    <t>TRIP02050</t>
  </si>
  <si>
    <t>TRIP02051</t>
  </si>
  <si>
    <t>TRIP02052</t>
  </si>
  <si>
    <t>TRIP02053</t>
  </si>
  <si>
    <t>TRIP02054</t>
  </si>
  <si>
    <t>TRIP02055</t>
  </si>
  <si>
    <t>TRIP02056</t>
  </si>
  <si>
    <t>TRIP02057</t>
  </si>
  <si>
    <t>TRIP02058</t>
  </si>
  <si>
    <t>TRIP02059</t>
  </si>
  <si>
    <t>TRIP02060</t>
  </si>
  <si>
    <t>TRIP02061</t>
  </si>
  <si>
    <t>TRIP02062</t>
  </si>
  <si>
    <t>TRIP02063</t>
  </si>
  <si>
    <t>TRIP02064</t>
  </si>
  <si>
    <t>TRIP02065</t>
  </si>
  <si>
    <t>TRIP02066</t>
  </si>
  <si>
    <t>TRIP02067</t>
  </si>
  <si>
    <t>TRIP02068</t>
  </si>
  <si>
    <t>TRIP02069</t>
  </si>
  <si>
    <t>TRIP02070</t>
  </si>
  <si>
    <t>TRIP02071</t>
  </si>
  <si>
    <t>TRIP02072</t>
  </si>
  <si>
    <t>TRIP02073</t>
  </si>
  <si>
    <t>TRIP02074</t>
  </si>
  <si>
    <t>TRIP02075</t>
  </si>
  <si>
    <t>TRIP02076</t>
  </si>
  <si>
    <t>TRIP02077</t>
  </si>
  <si>
    <t>TRIP02078</t>
  </si>
  <si>
    <t>TRIP02079</t>
  </si>
  <si>
    <t>TRIP02080</t>
  </si>
  <si>
    <t>TRIP02081</t>
  </si>
  <si>
    <t>TRIP02082</t>
  </si>
  <si>
    <t>TRIP02083</t>
  </si>
  <si>
    <t>TRIP02084</t>
  </si>
  <si>
    <t>TRIP02085</t>
  </si>
  <si>
    <t>TRIP02086</t>
  </si>
  <si>
    <t>TRIP02087</t>
  </si>
  <si>
    <t>TRIP02088</t>
  </si>
  <si>
    <t>TRIP02089</t>
  </si>
  <si>
    <t>TRIP02090</t>
  </si>
  <si>
    <t>TRIP02091</t>
  </si>
  <si>
    <t>TRIP02092</t>
  </si>
  <si>
    <t>TRIP02093</t>
  </si>
  <si>
    <t>TRIP02094</t>
  </si>
  <si>
    <t>TRIP02095</t>
  </si>
  <si>
    <t>TRIP02096</t>
  </si>
  <si>
    <t>TRIP02097</t>
  </si>
  <si>
    <t>TRIP02098</t>
  </si>
  <si>
    <t>TRIP02099</t>
  </si>
  <si>
    <t>TRIP02100</t>
  </si>
  <si>
    <t>TRIP02101</t>
  </si>
  <si>
    <t>TRIP02102</t>
  </si>
  <si>
    <t>TRIP02103</t>
  </si>
  <si>
    <t>TRIP02104</t>
  </si>
  <si>
    <t>TRIP02105</t>
  </si>
  <si>
    <t>TRIP02106</t>
  </si>
  <si>
    <t>TRIP02107</t>
  </si>
  <si>
    <t>TRIP02108</t>
  </si>
  <si>
    <t>TRIP02109</t>
  </si>
  <si>
    <t>TRIP02110</t>
  </si>
  <si>
    <t>TRIP02111</t>
  </si>
  <si>
    <t>TRIP02112</t>
  </si>
  <si>
    <t>TRIP02113</t>
  </si>
  <si>
    <t>TRIP02114</t>
  </si>
  <si>
    <t>TRIP02115</t>
  </si>
  <si>
    <t>TRIP02116</t>
  </si>
  <si>
    <t>TRIP02117</t>
  </si>
  <si>
    <t>TRIP02118</t>
  </si>
  <si>
    <t>TRIP02119</t>
  </si>
  <si>
    <t>TRIP02120</t>
  </si>
  <si>
    <t>TRIP02121</t>
  </si>
  <si>
    <t>TRIP02122</t>
  </si>
  <si>
    <t>TRIP02123</t>
  </si>
  <si>
    <t>TRIP02124</t>
  </si>
  <si>
    <t>TRIP02125</t>
  </si>
  <si>
    <t>TRIP02126</t>
  </si>
  <si>
    <t>TRIP02127</t>
  </si>
  <si>
    <t>TRIP02128</t>
  </si>
  <si>
    <t>TRIP02129</t>
  </si>
  <si>
    <t>TRIP02130</t>
  </si>
  <si>
    <t>TRIP02131</t>
  </si>
  <si>
    <t>TRIP02132</t>
  </si>
  <si>
    <t>TRIP02133</t>
  </si>
  <si>
    <t>TRIP02134</t>
  </si>
  <si>
    <t>TRIP02135</t>
  </si>
  <si>
    <t>TRIP02136</t>
  </si>
  <si>
    <t>TRIP02137</t>
  </si>
  <si>
    <t>TRIP02138</t>
  </si>
  <si>
    <t>TRIP02139</t>
  </si>
  <si>
    <t>TRIP02140</t>
  </si>
  <si>
    <t>TRIP02141</t>
  </si>
  <si>
    <t>TRIP02142</t>
  </si>
  <si>
    <t>TRIP02143</t>
  </si>
  <si>
    <t>TRIP02144</t>
  </si>
  <si>
    <t>TRIP02145</t>
  </si>
  <si>
    <t>TRIP02146</t>
  </si>
  <si>
    <t>TRIP02147</t>
  </si>
  <si>
    <t>TRIP02148</t>
  </si>
  <si>
    <t>TRIP02149</t>
  </si>
  <si>
    <t>TRIP02150</t>
  </si>
  <si>
    <t>TRIP02151</t>
  </si>
  <si>
    <t>TRIP02152</t>
  </si>
  <si>
    <t>TRIP02153</t>
  </si>
  <si>
    <t>TRIP02154</t>
  </si>
  <si>
    <t>TRIP02155</t>
  </si>
  <si>
    <t>TRIP02156</t>
  </si>
  <si>
    <t>TRIP02157</t>
  </si>
  <si>
    <t>TRIP02158</t>
  </si>
  <si>
    <t>TRIP02159</t>
  </si>
  <si>
    <t>TRIP02160</t>
  </si>
  <si>
    <t>TRIP02161</t>
  </si>
  <si>
    <t>TRIP02162</t>
  </si>
  <si>
    <t>TRIP02163</t>
  </si>
  <si>
    <t>TRIP02164</t>
  </si>
  <si>
    <t>TRIP02165</t>
  </si>
  <si>
    <t>TRIP02166</t>
  </si>
  <si>
    <t>TRIP02167</t>
  </si>
  <si>
    <t>TRIP02168</t>
  </si>
  <si>
    <t>TRIP02169</t>
  </si>
  <si>
    <t>TRIP02170</t>
  </si>
  <si>
    <t>TRIP02171</t>
  </si>
  <si>
    <t>TRIP02172</t>
  </si>
  <si>
    <t>TRIP02173</t>
  </si>
  <si>
    <t>TRIP02174</t>
  </si>
  <si>
    <t>TRIP02175</t>
  </si>
  <si>
    <t>TRIP02176</t>
  </si>
  <si>
    <t>TRIP02177</t>
  </si>
  <si>
    <t>TRIP02178</t>
  </si>
  <si>
    <t>TRIP02179</t>
  </si>
  <si>
    <t>TRIP02180</t>
  </si>
  <si>
    <t>TRIP02181</t>
  </si>
  <si>
    <t>TRIP02182</t>
  </si>
  <si>
    <t>TRIP02183</t>
  </si>
  <si>
    <t>TRIP02184</t>
  </si>
  <si>
    <t>TRIP02185</t>
  </si>
  <si>
    <t>TRIP02186</t>
  </si>
  <si>
    <t>TRIP02187</t>
  </si>
  <si>
    <t>TRIP02188</t>
  </si>
  <si>
    <t>TRIP02189</t>
  </si>
  <si>
    <t>TRIP02190</t>
  </si>
  <si>
    <t>TRIP02191</t>
  </si>
  <si>
    <t>TRIP02192</t>
  </si>
  <si>
    <t>TRIP02193</t>
  </si>
  <si>
    <t>TRIP02194</t>
  </si>
  <si>
    <t>TRIP02195</t>
  </si>
  <si>
    <t>TRIP02196</t>
  </si>
  <si>
    <t>TRIP02197</t>
  </si>
  <si>
    <t>TRIP02198</t>
  </si>
  <si>
    <t>TRIP02199</t>
  </si>
  <si>
    <t>TRIP02200</t>
  </si>
  <si>
    <t>TRIP02201</t>
  </si>
  <si>
    <t>TRIP02202</t>
  </si>
  <si>
    <t>TRIP02203</t>
  </si>
  <si>
    <t>TRIP02204</t>
  </si>
  <si>
    <t>TRIP02205</t>
  </si>
  <si>
    <t>TRIP02206</t>
  </si>
  <si>
    <t>TRIP02207</t>
  </si>
  <si>
    <t>TRIP02208</t>
  </si>
  <si>
    <t>TRIP02209</t>
  </si>
  <si>
    <t>TRIP02210</t>
  </si>
  <si>
    <t>TRIP02211</t>
  </si>
  <si>
    <t>TRIP02212</t>
  </si>
  <si>
    <t>TRIP02213</t>
  </si>
  <si>
    <t>TRIP02214</t>
  </si>
  <si>
    <t>TRIP02215</t>
  </si>
  <si>
    <t>TRIP02216</t>
  </si>
  <si>
    <t>TRIP02217</t>
  </si>
  <si>
    <t>TRIP02218</t>
  </si>
  <si>
    <t>TRIP02219</t>
  </si>
  <si>
    <t>TRIP02220</t>
  </si>
  <si>
    <t>TRIP02221</t>
  </si>
  <si>
    <t>TRIP02222</t>
  </si>
  <si>
    <t>TRIP02223</t>
  </si>
  <si>
    <t>TRIP02224</t>
  </si>
  <si>
    <t>TRIP02225</t>
  </si>
  <si>
    <t>TRIP02226</t>
  </si>
  <si>
    <t>TRIP02227</t>
  </si>
  <si>
    <t>TRIP02228</t>
  </si>
  <si>
    <t>TRIP02229</t>
  </si>
  <si>
    <t>TRIP02230</t>
  </si>
  <si>
    <t>TRIP02231</t>
  </si>
  <si>
    <t>TRIP02232</t>
  </si>
  <si>
    <t>TRIP02233</t>
  </si>
  <si>
    <t>TRIP02234</t>
  </si>
  <si>
    <t>TRIP02235</t>
  </si>
  <si>
    <t>TRIP02236</t>
  </si>
  <si>
    <t>TRIP02237</t>
  </si>
  <si>
    <t>TRIP02238</t>
  </si>
  <si>
    <t>TRIP02239</t>
  </si>
  <si>
    <t>TRIP02240</t>
  </si>
  <si>
    <t>TRIP02241</t>
  </si>
  <si>
    <t>TRIP02242</t>
  </si>
  <si>
    <t>TRIP02243</t>
  </si>
  <si>
    <t>TRIP02244</t>
  </si>
  <si>
    <t>TRIP02245</t>
  </si>
  <si>
    <t>TRIP02246</t>
  </si>
  <si>
    <t>TRIP02247</t>
  </si>
  <si>
    <t>TRIP02248</t>
  </si>
  <si>
    <t>TRIP02249</t>
  </si>
  <si>
    <t>TRIP02250</t>
  </si>
  <si>
    <t>TRIP02251</t>
  </si>
  <si>
    <t>TRIP02252</t>
  </si>
  <si>
    <t>TRIP02253</t>
  </si>
  <si>
    <t>TRIP02254</t>
  </si>
  <si>
    <t>TRIP02255</t>
  </si>
  <si>
    <t>TRIP02256</t>
  </si>
  <si>
    <t>TRIP02257</t>
  </si>
  <si>
    <t>TRIP02258</t>
  </si>
  <si>
    <t>TRIP02259</t>
  </si>
  <si>
    <t>TRIP02260</t>
  </si>
  <si>
    <t>TRIP02261</t>
  </si>
  <si>
    <t>TRIP02262</t>
  </si>
  <si>
    <t>TRIP02263</t>
  </si>
  <si>
    <t>TRIP02264</t>
  </si>
  <si>
    <t>TRIP02265</t>
  </si>
  <si>
    <t>TRIP02266</t>
  </si>
  <si>
    <t>TRIP02267</t>
  </si>
  <si>
    <t>TRIP02268</t>
  </si>
  <si>
    <t>TRIP02269</t>
  </si>
  <si>
    <t>TRIP02270</t>
  </si>
  <si>
    <t>TRIP02271</t>
  </si>
  <si>
    <t>TRIP02272</t>
  </si>
  <si>
    <t>TRIP02273</t>
  </si>
  <si>
    <t>TRIP02274</t>
  </si>
  <si>
    <t>TRIP02275</t>
  </si>
  <si>
    <t>TRIP02276</t>
  </si>
  <si>
    <t>TRIP02277</t>
  </si>
  <si>
    <t>TRIP02278</t>
  </si>
  <si>
    <t>TRIP02279</t>
  </si>
  <si>
    <t>TRIP02280</t>
  </si>
  <si>
    <t>TRIP02281</t>
  </si>
  <si>
    <t>TRIP02282</t>
  </si>
  <si>
    <t>TRIP02283</t>
  </si>
  <si>
    <t>TRIP02284</t>
  </si>
  <si>
    <t>TRIP02285</t>
  </si>
  <si>
    <t>TRIP02286</t>
  </si>
  <si>
    <t>TRIP02287</t>
  </si>
  <si>
    <t>TRIP02288</t>
  </si>
  <si>
    <t>TRIP02289</t>
  </si>
  <si>
    <t>TRIP02290</t>
  </si>
  <si>
    <t>TRIP02291</t>
  </si>
  <si>
    <t>TRIP02292</t>
  </si>
  <si>
    <t>TRIP02293</t>
  </si>
  <si>
    <t>TRIP02294</t>
  </si>
  <si>
    <t>TRIP02295</t>
  </si>
  <si>
    <t>TRIP02296</t>
  </si>
  <si>
    <t>TRIP02297</t>
  </si>
  <si>
    <t>TRIP02298</t>
  </si>
  <si>
    <t>TRIP02299</t>
  </si>
  <si>
    <t>TRIP02300</t>
  </si>
  <si>
    <t>TRIP02301</t>
  </si>
  <si>
    <t>TRIP02302</t>
  </si>
  <si>
    <t>TRIP02303</t>
  </si>
  <si>
    <t>TRIP02304</t>
  </si>
  <si>
    <t>TRIP02305</t>
  </si>
  <si>
    <t>TRIP02306</t>
  </si>
  <si>
    <t>TRIP02307</t>
  </si>
  <si>
    <t>TRIP02308</t>
  </si>
  <si>
    <t>TRIP02309</t>
  </si>
  <si>
    <t>TRIP02310</t>
  </si>
  <si>
    <t>TRIP02311</t>
  </si>
  <si>
    <t>TRIP02312</t>
  </si>
  <si>
    <t>TRIP02313</t>
  </si>
  <si>
    <t>TRIP02314</t>
  </si>
  <si>
    <t>TRIP02315</t>
  </si>
  <si>
    <t>TRIP02316</t>
  </si>
  <si>
    <t>TRIP02317</t>
  </si>
  <si>
    <t>TRIP02318</t>
  </si>
  <si>
    <t>TRIP02319</t>
  </si>
  <si>
    <t>TRIP02320</t>
  </si>
  <si>
    <t>TRIP02321</t>
  </si>
  <si>
    <t>TRIP02322</t>
  </si>
  <si>
    <t>TRIP02323</t>
  </si>
  <si>
    <t>TRIP02324</t>
  </si>
  <si>
    <t>TRIP02325</t>
  </si>
  <si>
    <t>TRIP02326</t>
  </si>
  <si>
    <t>TRIP02327</t>
  </si>
  <si>
    <t>TRIP02328</t>
  </si>
  <si>
    <t>TRIP02329</t>
  </si>
  <si>
    <t>TRIP02330</t>
  </si>
  <si>
    <t>TRIP02331</t>
  </si>
  <si>
    <t>TRIP02332</t>
  </si>
  <si>
    <t>TRIP02333</t>
  </si>
  <si>
    <t>TRIP02334</t>
  </si>
  <si>
    <t>TRIP02335</t>
  </si>
  <si>
    <t>TRIP02336</t>
  </si>
  <si>
    <t>TRIP02337</t>
  </si>
  <si>
    <t>TRIP02338</t>
  </si>
  <si>
    <t>TRIP02339</t>
  </si>
  <si>
    <t>TRIP02340</t>
  </si>
  <si>
    <t>TRIP02341</t>
  </si>
  <si>
    <t>TRIP02342</t>
  </si>
  <si>
    <t>TRIP02343</t>
  </si>
  <si>
    <t>TRIP02344</t>
  </si>
  <si>
    <t>TRIP02345</t>
  </si>
  <si>
    <t>TRIP02346</t>
  </si>
  <si>
    <t>TRIP02347</t>
  </si>
  <si>
    <t>TRIP02348</t>
  </si>
  <si>
    <t>TRIP02349</t>
  </si>
  <si>
    <t>TRIP02350</t>
  </si>
  <si>
    <t>TRIP02351</t>
  </si>
  <si>
    <t>TRIP02352</t>
  </si>
  <si>
    <t>TRIP02353</t>
  </si>
  <si>
    <t>TRIP02354</t>
  </si>
  <si>
    <t>TRIP02355</t>
  </si>
  <si>
    <t>TRIP02356</t>
  </si>
  <si>
    <t>TRIP02357</t>
  </si>
  <si>
    <t>TRIP02358</t>
  </si>
  <si>
    <t>TRIP02359</t>
  </si>
  <si>
    <t>TRIP02360</t>
  </si>
  <si>
    <t>TRIP02361</t>
  </si>
  <si>
    <t>TRIP02362</t>
  </si>
  <si>
    <t>TRIP02363</t>
  </si>
  <si>
    <t>TRIP02364</t>
  </si>
  <si>
    <t>TRIP02365</t>
  </si>
  <si>
    <t>TRIP02366</t>
  </si>
  <si>
    <t>TRIP02367</t>
  </si>
  <si>
    <t>TRIP02368</t>
  </si>
  <si>
    <t>TRIP02369</t>
  </si>
  <si>
    <t>TRIP02370</t>
  </si>
  <si>
    <t>TRIP02371</t>
  </si>
  <si>
    <t>TRIP02372</t>
  </si>
  <si>
    <t>TRIP02373</t>
  </si>
  <si>
    <t>TRIP02374</t>
  </si>
  <si>
    <t>TRIP02375</t>
  </si>
  <si>
    <t>TRIP02376</t>
  </si>
  <si>
    <t>TRIP02377</t>
  </si>
  <si>
    <t>TRIP02378</t>
  </si>
  <si>
    <t>TRIP02379</t>
  </si>
  <si>
    <t>TRIP02380</t>
  </si>
  <si>
    <t>TRIP02381</t>
  </si>
  <si>
    <t>TRIP02382</t>
  </si>
  <si>
    <t>TRIP02383</t>
  </si>
  <si>
    <t>TRIP02384</t>
  </si>
  <si>
    <t>TRIP02385</t>
  </si>
  <si>
    <t>TRIP02386</t>
  </si>
  <si>
    <t>TRIP02387</t>
  </si>
  <si>
    <t>TRIP02388</t>
  </si>
  <si>
    <t>TRIP02389</t>
  </si>
  <si>
    <t>TRIP02390</t>
  </si>
  <si>
    <t>TRIP02391</t>
  </si>
  <si>
    <t>TRIP02392</t>
  </si>
  <si>
    <t>TRIP02393</t>
  </si>
  <si>
    <t>TRIP02394</t>
  </si>
  <si>
    <t>TRIP02395</t>
  </si>
  <si>
    <t>TRIP02396</t>
  </si>
  <si>
    <t>TRIP02397</t>
  </si>
  <si>
    <t>TRIP02398</t>
  </si>
  <si>
    <t>TRIP02399</t>
  </si>
  <si>
    <t>TRIP02400</t>
  </si>
  <si>
    <t>TRIP02401</t>
  </si>
  <si>
    <t>TRIP02402</t>
  </si>
  <si>
    <t>TRIP02403</t>
  </si>
  <si>
    <t>TRIP02404</t>
  </si>
  <si>
    <t>TRIP02405</t>
  </si>
  <si>
    <t>TRIP02406</t>
  </si>
  <si>
    <t>TRIP02407</t>
  </si>
  <si>
    <t>TRIP02408</t>
  </si>
  <si>
    <t>TRIP02409</t>
  </si>
  <si>
    <t>TRIP02410</t>
  </si>
  <si>
    <t>TRIP02411</t>
  </si>
  <si>
    <t>TRIP02412</t>
  </si>
  <si>
    <t>TRIP02413</t>
  </si>
  <si>
    <t>TRIP02414</t>
  </si>
  <si>
    <t>TRIP02415</t>
  </si>
  <si>
    <t>TRIP02416</t>
  </si>
  <si>
    <t>TRIP02417</t>
  </si>
  <si>
    <t>TRIP02418</t>
  </si>
  <si>
    <t>TRIP02419</t>
  </si>
  <si>
    <t>TRIP02420</t>
  </si>
  <si>
    <t>TRIP02421</t>
  </si>
  <si>
    <t>TRIP02422</t>
  </si>
  <si>
    <t>TRIP02423</t>
  </si>
  <si>
    <t>TRIP02424</t>
  </si>
  <si>
    <t>TRIP02425</t>
  </si>
  <si>
    <t>TRIP02426</t>
  </si>
  <si>
    <t>TRIP02427</t>
  </si>
  <si>
    <t>TRIP02428</t>
  </si>
  <si>
    <t>TRIP02429</t>
  </si>
  <si>
    <t>TRIP02430</t>
  </si>
  <si>
    <t>TRIP02431</t>
  </si>
  <si>
    <t>TRIP02432</t>
  </si>
  <si>
    <t>TRIP02433</t>
  </si>
  <si>
    <t>TRIP02434</t>
  </si>
  <si>
    <t>TRIP02435</t>
  </si>
  <si>
    <t>TRIP02436</t>
  </si>
  <si>
    <t>TRIP02437</t>
  </si>
  <si>
    <t>TRIP02438</t>
  </si>
  <si>
    <t>TRIP02439</t>
  </si>
  <si>
    <t>TRIP02440</t>
  </si>
  <si>
    <t>TRIP02441</t>
  </si>
  <si>
    <t>TRIP02442</t>
  </si>
  <si>
    <t>TRIP02443</t>
  </si>
  <si>
    <t>TRIP02444</t>
  </si>
  <si>
    <t>TRIP02445</t>
  </si>
  <si>
    <t>TRIP02446</t>
  </si>
  <si>
    <t>TRIP02447</t>
  </si>
  <si>
    <t>TRIP02448</t>
  </si>
  <si>
    <t>TRIP02449</t>
  </si>
  <si>
    <t>TRIP02450</t>
  </si>
  <si>
    <t>TRIP02451</t>
  </si>
  <si>
    <t>TRIP02452</t>
  </si>
  <si>
    <t>TRIP02453</t>
  </si>
  <si>
    <t>TRIP02454</t>
  </si>
  <si>
    <t>TRIP02455</t>
  </si>
  <si>
    <t>TRIP02456</t>
  </si>
  <si>
    <t>TRIP02457</t>
  </si>
  <si>
    <t>TRIP02458</t>
  </si>
  <si>
    <t>TRIP02459</t>
  </si>
  <si>
    <t>TRIP02460</t>
  </si>
  <si>
    <t>TRIP02461</t>
  </si>
  <si>
    <t>TRIP02462</t>
  </si>
  <si>
    <t>TRIP02463</t>
  </si>
  <si>
    <t>TRIP02464</t>
  </si>
  <si>
    <t>TRIP02465</t>
  </si>
  <si>
    <t>TRIP02466</t>
  </si>
  <si>
    <t>TRIP02467</t>
  </si>
  <si>
    <t>TRIP02468</t>
  </si>
  <si>
    <t>TRIP02469</t>
  </si>
  <si>
    <t>TRIP02470</t>
  </si>
  <si>
    <t>TRIP02471</t>
  </si>
  <si>
    <t>TRIP02472</t>
  </si>
  <si>
    <t>TRIP02473</t>
  </si>
  <si>
    <t>TRIP02474</t>
  </si>
  <si>
    <t>TRIP02475</t>
  </si>
  <si>
    <t>TRIP02476</t>
  </si>
  <si>
    <t>TRIP02477</t>
  </si>
  <si>
    <t>TRIP02478</t>
  </si>
  <si>
    <t>TRIP02479</t>
  </si>
  <si>
    <t>TRIP02480</t>
  </si>
  <si>
    <t>TRIP02481</t>
  </si>
  <si>
    <t>TRIP02482</t>
  </si>
  <si>
    <t>TRIP02483</t>
  </si>
  <si>
    <t>TRIP02484</t>
  </si>
  <si>
    <t>TRIP02485</t>
  </si>
  <si>
    <t>TRIP02486</t>
  </si>
  <si>
    <t>TRIP02487</t>
  </si>
  <si>
    <t>TRIP02488</t>
  </si>
  <si>
    <t>TRIP02489</t>
  </si>
  <si>
    <t>TRIP02490</t>
  </si>
  <si>
    <t>TRIP02491</t>
  </si>
  <si>
    <t>TRIP02492</t>
  </si>
  <si>
    <t>TRIP02493</t>
  </si>
  <si>
    <t>TRIP02494</t>
  </si>
  <si>
    <t>TRIP02495</t>
  </si>
  <si>
    <t>TRIP02496</t>
  </si>
  <si>
    <t>TRIP02497</t>
  </si>
  <si>
    <t>TRIP02498</t>
  </si>
  <si>
    <t>TRIP02499</t>
  </si>
  <si>
    <t>TRIP02500</t>
  </si>
  <si>
    <t>TRIP02501</t>
  </si>
  <si>
    <t>TRIP02502</t>
  </si>
  <si>
    <t>TRIP02503</t>
  </si>
  <si>
    <t>TRIP02504</t>
  </si>
  <si>
    <t>TRIP02505</t>
  </si>
  <si>
    <t>TRIP02506</t>
  </si>
  <si>
    <t>TRIP02507</t>
  </si>
  <si>
    <t>TRIP02508</t>
  </si>
  <si>
    <t>TRIP02509</t>
  </si>
  <si>
    <t>TRIP02510</t>
  </si>
  <si>
    <t>TRIP02511</t>
  </si>
  <si>
    <t>TRIP02512</t>
  </si>
  <si>
    <t>TRIP02513</t>
  </si>
  <si>
    <t>TRIP02514</t>
  </si>
  <si>
    <t>TRIP02515</t>
  </si>
  <si>
    <t>TRIP02516</t>
  </si>
  <si>
    <t>TRIP02517</t>
  </si>
  <si>
    <t>TRIP02518</t>
  </si>
  <si>
    <t>TRIP02519</t>
  </si>
  <si>
    <t>TRIP02520</t>
  </si>
  <si>
    <t>TRIP02521</t>
  </si>
  <si>
    <t>TRIP02522</t>
  </si>
  <si>
    <t>TRIP02523</t>
  </si>
  <si>
    <t>TRIP02524</t>
  </si>
  <si>
    <t>TRIP02525</t>
  </si>
  <si>
    <t>TRIP02526</t>
  </si>
  <si>
    <t>TRIP02527</t>
  </si>
  <si>
    <t>TRIP02528</t>
  </si>
  <si>
    <t>TRIP02529</t>
  </si>
  <si>
    <t>TRIP02530</t>
  </si>
  <si>
    <t>TRIP02531</t>
  </si>
  <si>
    <t>TRIP02532</t>
  </si>
  <si>
    <t>TRIP02533</t>
  </si>
  <si>
    <t>TRIP02534</t>
  </si>
  <si>
    <t>TRIP02535</t>
  </si>
  <si>
    <t>TRIP02536</t>
  </si>
  <si>
    <t>TRIP02537</t>
  </si>
  <si>
    <t>TRIP02538</t>
  </si>
  <si>
    <t>TRIP02539</t>
  </si>
  <si>
    <t>TRIP02540</t>
  </si>
  <si>
    <t>TRIP02541</t>
  </si>
  <si>
    <t>TRIP02542</t>
  </si>
  <si>
    <t>TRIP02543</t>
  </si>
  <si>
    <t>TRIP02544</t>
  </si>
  <si>
    <t>TRIP02545</t>
  </si>
  <si>
    <t>TRIP02546</t>
  </si>
  <si>
    <t>TRIP02547</t>
  </si>
  <si>
    <t>TRIP02548</t>
  </si>
  <si>
    <t>TRIP02549</t>
  </si>
  <si>
    <t>TRIP02550</t>
  </si>
  <si>
    <t>TRIP02551</t>
  </si>
  <si>
    <t>TRIP02552</t>
  </si>
  <si>
    <t>TRIP02553</t>
  </si>
  <si>
    <t>TRIP02554</t>
  </si>
  <si>
    <t>TRIP02555</t>
  </si>
  <si>
    <t>TRIP02556</t>
  </si>
  <si>
    <t>TRIP02557</t>
  </si>
  <si>
    <t>TRIP02558</t>
  </si>
  <si>
    <t>TRIP02559</t>
  </si>
  <si>
    <t>TRIP02560</t>
  </si>
  <si>
    <t>TRIP02561</t>
  </si>
  <si>
    <t>TRIP02562</t>
  </si>
  <si>
    <t>TRIP02563</t>
  </si>
  <si>
    <t>TRIP02564</t>
  </si>
  <si>
    <t>TRIP02565</t>
  </si>
  <si>
    <t>TRIP02566</t>
  </si>
  <si>
    <t>TRIP02567</t>
  </si>
  <si>
    <t>TRIP02568</t>
  </si>
  <si>
    <t>TRIP02569</t>
  </si>
  <si>
    <t>TRIP02570</t>
  </si>
  <si>
    <t>TRIP02571</t>
  </si>
  <si>
    <t>TRIP02572</t>
  </si>
  <si>
    <t>TRIP02573</t>
  </si>
  <si>
    <t>TRIP02574</t>
  </si>
  <si>
    <t>TRIP02575</t>
  </si>
  <si>
    <t>TRIP02576</t>
  </si>
  <si>
    <t>TRIP02577</t>
  </si>
  <si>
    <t>TRIP02578</t>
  </si>
  <si>
    <t>TRIP02579</t>
  </si>
  <si>
    <t>TRIP02580</t>
  </si>
  <si>
    <t>TRIP02581</t>
  </si>
  <si>
    <t>TRIP02582</t>
  </si>
  <si>
    <t>TRIP02583</t>
  </si>
  <si>
    <t>TRIP02584</t>
  </si>
  <si>
    <t>TRIP02585</t>
  </si>
  <si>
    <t>TRIP02586</t>
  </si>
  <si>
    <t>TRIP02587</t>
  </si>
  <si>
    <t>TRIP02588</t>
  </si>
  <si>
    <t>TRIP02589</t>
  </si>
  <si>
    <t>TRIP02590</t>
  </si>
  <si>
    <t>TRIP02591</t>
  </si>
  <si>
    <t>TRIP02592</t>
  </si>
  <si>
    <t>TRIP02593</t>
  </si>
  <si>
    <t>TRIP02594</t>
  </si>
  <si>
    <t>TRIP02595</t>
  </si>
  <si>
    <t>TRIP02596</t>
  </si>
  <si>
    <t>TRIP02597</t>
  </si>
  <si>
    <t>TRIP02598</t>
  </si>
  <si>
    <t>TRIP02599</t>
  </si>
  <si>
    <t>TRIP02600</t>
  </si>
  <si>
    <t>TRIP02601</t>
  </si>
  <si>
    <t>TRIP02602</t>
  </si>
  <si>
    <t>TRIP02603</t>
  </si>
  <si>
    <t>TRIP02604</t>
  </si>
  <si>
    <t>TRIP02605</t>
  </si>
  <si>
    <t>TRIP02606</t>
  </si>
  <si>
    <t>TRIP02607</t>
  </si>
  <si>
    <t>TRIP02608</t>
  </si>
  <si>
    <t>TRIP02609</t>
  </si>
  <si>
    <t>TRIP02610</t>
  </si>
  <si>
    <t>TRIP02611</t>
  </si>
  <si>
    <t>TRIP02612</t>
  </si>
  <si>
    <t>TRIP02613</t>
  </si>
  <si>
    <t>TRIP02614</t>
  </si>
  <si>
    <t>TRIP02615</t>
  </si>
  <si>
    <t>TRIP02616</t>
  </si>
  <si>
    <t>TRIP02617</t>
  </si>
  <si>
    <t>TRIP02618</t>
  </si>
  <si>
    <t>TRIP02619</t>
  </si>
  <si>
    <t>TRIP02620</t>
  </si>
  <si>
    <t>TRIP02621</t>
  </si>
  <si>
    <t>TRIP02622</t>
  </si>
  <si>
    <t>TRIP02623</t>
  </si>
  <si>
    <t>TRIP02624</t>
  </si>
  <si>
    <t>TRIP02625</t>
  </si>
  <si>
    <t>TRIP02626</t>
  </si>
  <si>
    <t>TRIP02627</t>
  </si>
  <si>
    <t>TRIP02628</t>
  </si>
  <si>
    <t>TRIP02629</t>
  </si>
  <si>
    <t>TRIP02630</t>
  </si>
  <si>
    <t>TRIP02631</t>
  </si>
  <si>
    <t>TRIP02632</t>
  </si>
  <si>
    <t>TRIP02633</t>
  </si>
  <si>
    <t>TRIP02634</t>
  </si>
  <si>
    <t>TRIP02635</t>
  </si>
  <si>
    <t>TRIP02636</t>
  </si>
  <si>
    <t>TRIP02637</t>
  </si>
  <si>
    <t>TRIP02638</t>
  </si>
  <si>
    <t>TRIP02639</t>
  </si>
  <si>
    <t>TRIP02640</t>
  </si>
  <si>
    <t>TRIP02641</t>
  </si>
  <si>
    <t>TRIP02642</t>
  </si>
  <si>
    <t>TRIP02643</t>
  </si>
  <si>
    <t>TRIP02644</t>
  </si>
  <si>
    <t>TRIP02645</t>
  </si>
  <si>
    <t>TRIP02646</t>
  </si>
  <si>
    <t>TRIP02647</t>
  </si>
  <si>
    <t>TRIP02648</t>
  </si>
  <si>
    <t>TRIP02649</t>
  </si>
  <si>
    <t>TRIP02650</t>
  </si>
  <si>
    <t>TRIP02651</t>
  </si>
  <si>
    <t>TRIP02652</t>
  </si>
  <si>
    <t>TRIP02653</t>
  </si>
  <si>
    <t>TRIP02654</t>
  </si>
  <si>
    <t>TRIP02655</t>
  </si>
  <si>
    <t>TRIP02656</t>
  </si>
  <si>
    <t>TRIP02657</t>
  </si>
  <si>
    <t>TRIP02658</t>
  </si>
  <si>
    <t>TRIP02659</t>
  </si>
  <si>
    <t>TRIP02660</t>
  </si>
  <si>
    <t>TRIP02661</t>
  </si>
  <si>
    <t>TRIP02662</t>
  </si>
  <si>
    <t>TRIP02663</t>
  </si>
  <si>
    <t>TRIP02664</t>
  </si>
  <si>
    <t>TRIP02665</t>
  </si>
  <si>
    <t>TRIP02666</t>
  </si>
  <si>
    <t>TRIP02667</t>
  </si>
  <si>
    <t>TRIP02668</t>
  </si>
  <si>
    <t>TRIP02669</t>
  </si>
  <si>
    <t>TRIP02670</t>
  </si>
  <si>
    <t>TRIP02671</t>
  </si>
  <si>
    <t>TRIP02672</t>
  </si>
  <si>
    <t>TRIP02673</t>
  </si>
  <si>
    <t>TRIP02674</t>
  </si>
  <si>
    <t>TRIP02675</t>
  </si>
  <si>
    <t>TRIP02676</t>
  </si>
  <si>
    <t>TRIP02677</t>
  </si>
  <si>
    <t>TRIP02678</t>
  </si>
  <si>
    <t>TRIP02679</t>
  </si>
  <si>
    <t>TRIP02680</t>
  </si>
  <si>
    <t>TRIP02681</t>
  </si>
  <si>
    <t>TRIP02682</t>
  </si>
  <si>
    <t>TRIP02683</t>
  </si>
  <si>
    <t>TRIP02684</t>
  </si>
  <si>
    <t>TRIP02685</t>
  </si>
  <si>
    <t>TRIP02686</t>
  </si>
  <si>
    <t>TRIP02687</t>
  </si>
  <si>
    <t>TRIP02688</t>
  </si>
  <si>
    <t>TRIP02689</t>
  </si>
  <si>
    <t>TRIP02690</t>
  </si>
  <si>
    <t>TRIP02691</t>
  </si>
  <si>
    <t>TRIP02692</t>
  </si>
  <si>
    <t>TRIP02693</t>
  </si>
  <si>
    <t>TRIP02694</t>
  </si>
  <si>
    <t>TRIP02695</t>
  </si>
  <si>
    <t>TRIP02696</t>
  </si>
  <si>
    <t>TRIP02697</t>
  </si>
  <si>
    <t>TRIP02698</t>
  </si>
  <si>
    <t>TRIP02699</t>
  </si>
  <si>
    <t>TRIP02700</t>
  </si>
  <si>
    <t>TRIP02701</t>
  </si>
  <si>
    <t>TRIP02702</t>
  </si>
  <si>
    <t>TRIP02703</t>
  </si>
  <si>
    <t>TRIP02704</t>
  </si>
  <si>
    <t>TRIP02705</t>
  </si>
  <si>
    <t>TRIP02706</t>
  </si>
  <si>
    <t>TRIP02707</t>
  </si>
  <si>
    <t>TRIP02708</t>
  </si>
  <si>
    <t>TRIP02709</t>
  </si>
  <si>
    <t>TRIP02710</t>
  </si>
  <si>
    <t>TRIP02711</t>
  </si>
  <si>
    <t>TRIP02712</t>
  </si>
  <si>
    <t>TRIP02713</t>
  </si>
  <si>
    <t>TRIP02714</t>
  </si>
  <si>
    <t>TRIP02715</t>
  </si>
  <si>
    <t>TRIP02716</t>
  </si>
  <si>
    <t>TRIP02717</t>
  </si>
  <si>
    <t>TRIP02718</t>
  </si>
  <si>
    <t>TRIP02719</t>
  </si>
  <si>
    <t>TRIP02720</t>
  </si>
  <si>
    <t>TRIP02721</t>
  </si>
  <si>
    <t>TRIP02722</t>
  </si>
  <si>
    <t>TRIP02723</t>
  </si>
  <si>
    <t>TRIP02724</t>
  </si>
  <si>
    <t>TRIP02725</t>
  </si>
  <si>
    <t>TRIP02726</t>
  </si>
  <si>
    <t>TRIP02727</t>
  </si>
  <si>
    <t>TRIP02728</t>
  </si>
  <si>
    <t>TRIP02729</t>
  </si>
  <si>
    <t>TRIP02730</t>
  </si>
  <si>
    <t>TRIP02731</t>
  </si>
  <si>
    <t>TRIP02732</t>
  </si>
  <si>
    <t>TRIP02733</t>
  </si>
  <si>
    <t>TRIP02734</t>
  </si>
  <si>
    <t>TRIP02735</t>
  </si>
  <si>
    <t>TRIP02736</t>
  </si>
  <si>
    <t>TRIP02737</t>
  </si>
  <si>
    <t>TRIP02738</t>
  </si>
  <si>
    <t>TRIP02739</t>
  </si>
  <si>
    <t>TRIP02740</t>
  </si>
  <si>
    <t>TRIP02741</t>
  </si>
  <si>
    <t>TRIP02742</t>
  </si>
  <si>
    <t>TRIP02743</t>
  </si>
  <si>
    <t>TRIP02744</t>
  </si>
  <si>
    <t>TRIP02745</t>
  </si>
  <si>
    <t>TRIP02746</t>
  </si>
  <si>
    <t>TRIP02747</t>
  </si>
  <si>
    <t>TRIP02748</t>
  </si>
  <si>
    <t>TRIP02749</t>
  </si>
  <si>
    <t>TRIP02750</t>
  </si>
  <si>
    <t>TRIP02751</t>
  </si>
  <si>
    <t>TRIP02752</t>
  </si>
  <si>
    <t>TRIP02753</t>
  </si>
  <si>
    <t>TRIP02754</t>
  </si>
  <si>
    <t>TRIP02755</t>
  </si>
  <si>
    <t>TRIP02756</t>
  </si>
  <si>
    <t>TRIP02757</t>
  </si>
  <si>
    <t>TRIP02758</t>
  </si>
  <si>
    <t>TRIP02759</t>
  </si>
  <si>
    <t>TRIP02760</t>
  </si>
  <si>
    <t>TRIP02761</t>
  </si>
  <si>
    <t>TRIP02762</t>
  </si>
  <si>
    <t>TRIP02763</t>
  </si>
  <si>
    <t>TRIP02764</t>
  </si>
  <si>
    <t>TRIP02765</t>
  </si>
  <si>
    <t>TRIP02766</t>
  </si>
  <si>
    <t>TRIP02767</t>
  </si>
  <si>
    <t>TRIP02768</t>
  </si>
  <si>
    <t>TRIP02769</t>
  </si>
  <si>
    <t>TRIP02770</t>
  </si>
  <si>
    <t>TRIP02771</t>
  </si>
  <si>
    <t>TRIP02772</t>
  </si>
  <si>
    <t>TRIP02773</t>
  </si>
  <si>
    <t>TRIP02774</t>
  </si>
  <si>
    <t>TRIP02775</t>
  </si>
  <si>
    <t>TRIP02776</t>
  </si>
  <si>
    <t>TRIP02777</t>
  </si>
  <si>
    <t>TRIP02778</t>
  </si>
  <si>
    <t>TRIP02779</t>
  </si>
  <si>
    <t>TRIP02780</t>
  </si>
  <si>
    <t>TRIP02781</t>
  </si>
  <si>
    <t>TRIP02782</t>
  </si>
  <si>
    <t>TRIP02783</t>
  </si>
  <si>
    <t>TRIP02784</t>
  </si>
  <si>
    <t>TRIP02785</t>
  </si>
  <si>
    <t>TRIP02786</t>
  </si>
  <si>
    <t>TRIP02787</t>
  </si>
  <si>
    <t>TRIP02788</t>
  </si>
  <si>
    <t>TRIP02789</t>
  </si>
  <si>
    <t>TRIP02790</t>
  </si>
  <si>
    <t>TRIP02791</t>
  </si>
  <si>
    <t>TRIP02792</t>
  </si>
  <si>
    <t>TRIP02793</t>
  </si>
  <si>
    <t>TRIP02794</t>
  </si>
  <si>
    <t>TRIP02795</t>
  </si>
  <si>
    <t>TRIP02796</t>
  </si>
  <si>
    <t>TRIP02797</t>
  </si>
  <si>
    <t>TRIP02798</t>
  </si>
  <si>
    <t>TRIP02799</t>
  </si>
  <si>
    <t>TRIP02800</t>
  </si>
  <si>
    <t>TRIP02801</t>
  </si>
  <si>
    <t>TRIP02802</t>
  </si>
  <si>
    <t>TRIP02803</t>
  </si>
  <si>
    <t>TRIP02804</t>
  </si>
  <si>
    <t>TRIP02805</t>
  </si>
  <si>
    <t>TRIP02806</t>
  </si>
  <si>
    <t>TRIP02807</t>
  </si>
  <si>
    <t>TRIP02808</t>
  </si>
  <si>
    <t>TRIP02809</t>
  </si>
  <si>
    <t>TRIP02810</t>
  </si>
  <si>
    <t>TRIP02811</t>
  </si>
  <si>
    <t>TRIP02812</t>
  </si>
  <si>
    <t>TRIP02813</t>
  </si>
  <si>
    <t>TRIP02814</t>
  </si>
  <si>
    <t>TRIP02815</t>
  </si>
  <si>
    <t>TRIP02816</t>
  </si>
  <si>
    <t>TRIP02817</t>
  </si>
  <si>
    <t>TRIP02818</t>
  </si>
  <si>
    <t>TRIP02819</t>
  </si>
  <si>
    <t>TRIP02820</t>
  </si>
  <si>
    <t>TRIP02821</t>
  </si>
  <si>
    <t>TRIP02822</t>
  </si>
  <si>
    <t>TRIP02823</t>
  </si>
  <si>
    <t>TRIP02824</t>
  </si>
  <si>
    <t>TRIP02825</t>
  </si>
  <si>
    <t>TRIP02826</t>
  </si>
  <si>
    <t>TRIP02827</t>
  </si>
  <si>
    <t>TRIP02828</t>
  </si>
  <si>
    <t>TRIP02829</t>
  </si>
  <si>
    <t>TRIP02830</t>
  </si>
  <si>
    <t>TRIP02831</t>
  </si>
  <si>
    <t>TRIP02832</t>
  </si>
  <si>
    <t>TRIP02833</t>
  </si>
  <si>
    <t>TRIP02834</t>
  </si>
  <si>
    <t>TRIP02835</t>
  </si>
  <si>
    <t>TRIP02836</t>
  </si>
  <si>
    <t>TRIP02837</t>
  </si>
  <si>
    <t>TRIP02838</t>
  </si>
  <si>
    <t>TRIP02839</t>
  </si>
  <si>
    <t>TRIP02840</t>
  </si>
  <si>
    <t>TRIP02841</t>
  </si>
  <si>
    <t>TRIP02842</t>
  </si>
  <si>
    <t>TRIP02843</t>
  </si>
  <si>
    <t>TRIP02844</t>
  </si>
  <si>
    <t>TRIP02845</t>
  </si>
  <si>
    <t>TRIP02846</t>
  </si>
  <si>
    <t>TRIP02847</t>
  </si>
  <si>
    <t>TRIP02848</t>
  </si>
  <si>
    <t>TRIP02849</t>
  </si>
  <si>
    <t>TRIP02850</t>
  </si>
  <si>
    <t>TRIP02851</t>
  </si>
  <si>
    <t>TRIP02852</t>
  </si>
  <si>
    <t>TRIP02853</t>
  </si>
  <si>
    <t>TRIP02854</t>
  </si>
  <si>
    <t>TRIP02855</t>
  </si>
  <si>
    <t>TRIP02856</t>
  </si>
  <si>
    <t>TRIP02857</t>
  </si>
  <si>
    <t>TRIP02858</t>
  </si>
  <si>
    <t>TRIP02859</t>
  </si>
  <si>
    <t>TRIP02860</t>
  </si>
  <si>
    <t>TRIP02861</t>
  </si>
  <si>
    <t>TRIP02862</t>
  </si>
  <si>
    <t>TRIP02863</t>
  </si>
  <si>
    <t>TRIP02864</t>
  </si>
  <si>
    <t>TRIP02865</t>
  </si>
  <si>
    <t>TRIP02866</t>
  </si>
  <si>
    <t>TRIP02867</t>
  </si>
  <si>
    <t>TRIP02868</t>
  </si>
  <si>
    <t>TRIP02869</t>
  </si>
  <si>
    <t>TRIP02870</t>
  </si>
  <si>
    <t>TRIP02871</t>
  </si>
  <si>
    <t>TRIP02872</t>
  </si>
  <si>
    <t>TRIP02873</t>
  </si>
  <si>
    <t>TRIP02874</t>
  </si>
  <si>
    <t>TRIP02875</t>
  </si>
  <si>
    <t>TRIP02876</t>
  </si>
  <si>
    <t>TRIP02877</t>
  </si>
  <si>
    <t>TRIP02878</t>
  </si>
  <si>
    <t>TRIP02879</t>
  </si>
  <si>
    <t>TRIP02880</t>
  </si>
  <si>
    <t>TRIP02881</t>
  </si>
  <si>
    <t>TRIP02882</t>
  </si>
  <si>
    <t>TRIP02883</t>
  </si>
  <si>
    <t>TRIP02884</t>
  </si>
  <si>
    <t>TRIP02885</t>
  </si>
  <si>
    <t>TRIP02886</t>
  </si>
  <si>
    <t>TRIP02887</t>
  </si>
  <si>
    <t>TRIP02888</t>
  </si>
  <si>
    <t>TRIP02889</t>
  </si>
  <si>
    <t>TRIP02890</t>
  </si>
  <si>
    <t>TRIP02891</t>
  </si>
  <si>
    <t>TRIP02892</t>
  </si>
  <si>
    <t>TRIP02893</t>
  </si>
  <si>
    <t>TRIP02894</t>
  </si>
  <si>
    <t>TRIP02895</t>
  </si>
  <si>
    <t>TRIP02896</t>
  </si>
  <si>
    <t>TRIP02897</t>
  </si>
  <si>
    <t>TRIP02898</t>
  </si>
  <si>
    <t>TRIP02899</t>
  </si>
  <si>
    <t>TRIP02900</t>
  </si>
  <si>
    <t>TRIP02901</t>
  </si>
  <si>
    <t>TRIP02902</t>
  </si>
  <si>
    <t>TRIP02903</t>
  </si>
  <si>
    <t>TRIP02904</t>
  </si>
  <si>
    <t>TRIP02905</t>
  </si>
  <si>
    <t>TRIP02906</t>
  </si>
  <si>
    <t>TRIP02907</t>
  </si>
  <si>
    <t>TRIP02908</t>
  </si>
  <si>
    <t>TRIP02909</t>
  </si>
  <si>
    <t>TRIP02910</t>
  </si>
  <si>
    <t>TRIP02911</t>
  </si>
  <si>
    <t>TRIP02912</t>
  </si>
  <si>
    <t>TRIP02913</t>
  </si>
  <si>
    <t>TRIP02914</t>
  </si>
  <si>
    <t>TRIP02915</t>
  </si>
  <si>
    <t>TRIP02916</t>
  </si>
  <si>
    <t>TRIP02917</t>
  </si>
  <si>
    <t>TRIP02918</t>
  </si>
  <si>
    <t>TRIP02919</t>
  </si>
  <si>
    <t>TRIP02920</t>
  </si>
  <si>
    <t>TRIP02921</t>
  </si>
  <si>
    <t>TRIP02922</t>
  </si>
  <si>
    <t>TRIP02923</t>
  </si>
  <si>
    <t>TRIP02924</t>
  </si>
  <si>
    <t>TRIP02925</t>
  </si>
  <si>
    <t>TRIP02926</t>
  </si>
  <si>
    <t>TRIP02927</t>
  </si>
  <si>
    <t>TRIP02928</t>
  </si>
  <si>
    <t>TRIP02929</t>
  </si>
  <si>
    <t>TRIP02930</t>
  </si>
  <si>
    <t>TRIP02931</t>
  </si>
  <si>
    <t>TRIP02932</t>
  </si>
  <si>
    <t>TRIP02933</t>
  </si>
  <si>
    <t>TRIP02934</t>
  </si>
  <si>
    <t>TRIP02935</t>
  </si>
  <si>
    <t>TRIP02936</t>
  </si>
  <si>
    <t>TRIP02937</t>
  </si>
  <si>
    <t>TRIP02938</t>
  </si>
  <si>
    <t>TRIP02939</t>
  </si>
  <si>
    <t>TRIP02940</t>
  </si>
  <si>
    <t>TRIP02941</t>
  </si>
  <si>
    <t>TRIP02942</t>
  </si>
  <si>
    <t>TRIP02943</t>
  </si>
  <si>
    <t>TRIP02944</t>
  </si>
  <si>
    <t>TRIP02945</t>
  </si>
  <si>
    <t>TRIP02946</t>
  </si>
  <si>
    <t>TRIP02947</t>
  </si>
  <si>
    <t>TRIP02948</t>
  </si>
  <si>
    <t>TRIP02949</t>
  </si>
  <si>
    <t>TRIP02950</t>
  </si>
  <si>
    <t>TRIP02951</t>
  </si>
  <si>
    <t>TRIP02952</t>
  </si>
  <si>
    <t>TRIP02953</t>
  </si>
  <si>
    <t>TRIP02954</t>
  </si>
  <si>
    <t>TRIP02955</t>
  </si>
  <si>
    <t>TRIP02956</t>
  </si>
  <si>
    <t>TRIP02957</t>
  </si>
  <si>
    <t>TRIP02958</t>
  </si>
  <si>
    <t>TRIP02959</t>
  </si>
  <si>
    <t>TRIP02960</t>
  </si>
  <si>
    <t>TRIP02961</t>
  </si>
  <si>
    <t>TRIP02962</t>
  </si>
  <si>
    <t>TRIP02963</t>
  </si>
  <si>
    <t>TRIP02964</t>
  </si>
  <si>
    <t>TRIP02965</t>
  </si>
  <si>
    <t>TRIP02966</t>
  </si>
  <si>
    <t>TRIP02967</t>
  </si>
  <si>
    <t>TRIP02968</t>
  </si>
  <si>
    <t>TRIP02969</t>
  </si>
  <si>
    <t>TRIP02970</t>
  </si>
  <si>
    <t>TRIP02971</t>
  </si>
  <si>
    <t>TRIP02972</t>
  </si>
  <si>
    <t>TRIP02973</t>
  </si>
  <si>
    <t>TRIP02974</t>
  </si>
  <si>
    <t>TRIP02975</t>
  </si>
  <si>
    <t>TRIP02976</t>
  </si>
  <si>
    <t>TRIP02977</t>
  </si>
  <si>
    <t>TRIP02978</t>
  </si>
  <si>
    <t>TRIP02979</t>
  </si>
  <si>
    <t>TRIP02980</t>
  </si>
  <si>
    <t>TRIP02981</t>
  </si>
  <si>
    <t>TRIP02982</t>
  </si>
  <si>
    <t>TRIP02983</t>
  </si>
  <si>
    <t>TRIP02984</t>
  </si>
  <si>
    <t>TRIP02985</t>
  </si>
  <si>
    <t>TRIP02986</t>
  </si>
  <si>
    <t>TRIP02987</t>
  </si>
  <si>
    <t>TRIP02988</t>
  </si>
  <si>
    <t>TRIP02989</t>
  </si>
  <si>
    <t>TRIP02990</t>
  </si>
  <si>
    <t>TRIP02991</t>
  </si>
  <si>
    <t>TRIP02992</t>
  </si>
  <si>
    <t>TRIP02993</t>
  </si>
  <si>
    <t>TRIP02994</t>
  </si>
  <si>
    <t>TRIP02995</t>
  </si>
  <si>
    <t>TRIP02996</t>
  </si>
  <si>
    <t>TRIP02997</t>
  </si>
  <si>
    <t>TRIP02998</t>
  </si>
  <si>
    <t>TRIP02999</t>
  </si>
  <si>
    <t>TRIP03000</t>
  </si>
  <si>
    <t>TRIP03001</t>
  </si>
  <si>
    <t>TRIP03002</t>
  </si>
  <si>
    <t>TRIP03003</t>
  </si>
  <si>
    <t>TRIP03004</t>
  </si>
  <si>
    <t>TRIP03005</t>
  </si>
  <si>
    <t>TRIP03006</t>
  </si>
  <si>
    <t>TRIP03007</t>
  </si>
  <si>
    <t>TRIP03008</t>
  </si>
  <si>
    <t>TRIP03009</t>
  </si>
  <si>
    <t>TRIP03010</t>
  </si>
  <si>
    <t>TRIP03011</t>
  </si>
  <si>
    <t>TRIP03012</t>
  </si>
  <si>
    <t>TRIP03013</t>
  </si>
  <si>
    <t>TRIP03014</t>
  </si>
  <si>
    <t>TRIP03015</t>
  </si>
  <si>
    <t>TRIP03016</t>
  </si>
  <si>
    <t>TRIP03017</t>
  </si>
  <si>
    <t>TRIP03018</t>
  </si>
  <si>
    <t>TRIP03019</t>
  </si>
  <si>
    <t>TRIP03020</t>
  </si>
  <si>
    <t>TRIP03021</t>
  </si>
  <si>
    <t>TRIP03022</t>
  </si>
  <si>
    <t>TRIP03023</t>
  </si>
  <si>
    <t>TRIP03024</t>
  </si>
  <si>
    <t>TRIP03025</t>
  </si>
  <si>
    <t>TRIP03026</t>
  </si>
  <si>
    <t>TRIP03027</t>
  </si>
  <si>
    <t>TRIP03028</t>
  </si>
  <si>
    <t>TRIP03029</t>
  </si>
  <si>
    <t>TRIP03030</t>
  </si>
  <si>
    <t>TRIP03031</t>
  </si>
  <si>
    <t>TRIP03032</t>
  </si>
  <si>
    <t>TRIP03033</t>
  </si>
  <si>
    <t>TRIP03034</t>
  </si>
  <si>
    <t>TRIP03035</t>
  </si>
  <si>
    <t>TRIP03036</t>
  </si>
  <si>
    <t>TRIP03037</t>
  </si>
  <si>
    <t>TRIP03038</t>
  </si>
  <si>
    <t>TRIP03039</t>
  </si>
  <si>
    <t>TRIP03040</t>
  </si>
  <si>
    <t>TRIP03041</t>
  </si>
  <si>
    <t>TRIP03042</t>
  </si>
  <si>
    <t>TRIP03043</t>
  </si>
  <si>
    <t>TRIP03044</t>
  </si>
  <si>
    <t>TRIP03045</t>
  </si>
  <si>
    <t>TRIP03046</t>
  </si>
  <si>
    <t>TRIP03047</t>
  </si>
  <si>
    <t>TRIP03048</t>
  </si>
  <si>
    <t>TRIP03049</t>
  </si>
  <si>
    <t>TRIP03050</t>
  </si>
  <si>
    <t>TRIP03051</t>
  </si>
  <si>
    <t>TRIP03052</t>
  </si>
  <si>
    <t>TRIP03053</t>
  </si>
  <si>
    <t>TRIP03054</t>
  </si>
  <si>
    <t>TRIP03055</t>
  </si>
  <si>
    <t>TRIP03056</t>
  </si>
  <si>
    <t>TRIP03057</t>
  </si>
  <si>
    <t>TRIP03058</t>
  </si>
  <si>
    <t>TRIP03059</t>
  </si>
  <si>
    <t>TRIP03060</t>
  </si>
  <si>
    <t>TRIP03061</t>
  </si>
  <si>
    <t>TRIP03062</t>
  </si>
  <si>
    <t>TRIP03063</t>
  </si>
  <si>
    <t>TRIP03064</t>
  </si>
  <si>
    <t>TRIP03065</t>
  </si>
  <si>
    <t>TRIP03066</t>
  </si>
  <si>
    <t>TRIP03067</t>
  </si>
  <si>
    <t>TRIP03068</t>
  </si>
  <si>
    <t>TRIP03069</t>
  </si>
  <si>
    <t>TRIP03070</t>
  </si>
  <si>
    <t>TRIP03071</t>
  </si>
  <si>
    <t>TRIP03072</t>
  </si>
  <si>
    <t>TRIP03073</t>
  </si>
  <si>
    <t>TRIP03074</t>
  </si>
  <si>
    <t>TRIP03075</t>
  </si>
  <si>
    <t>TRIP03076</t>
  </si>
  <si>
    <t>TRIP03077</t>
  </si>
  <si>
    <t>TRIP03078</t>
  </si>
  <si>
    <t>TRIP03079</t>
  </si>
  <si>
    <t>TRIP03080</t>
  </si>
  <si>
    <t>TRIP03081</t>
  </si>
  <si>
    <t>TRIP03082</t>
  </si>
  <si>
    <t>TRIP03083</t>
  </si>
  <si>
    <t>TRIP03084</t>
  </si>
  <si>
    <t>TRIP03085</t>
  </si>
  <si>
    <t>TRIP03086</t>
  </si>
  <si>
    <t>TRIP03087</t>
  </si>
  <si>
    <t>TRIP03088</t>
  </si>
  <si>
    <t>TRIP03089</t>
  </si>
  <si>
    <t>TRIP03090</t>
  </si>
  <si>
    <t>TRIP03091</t>
  </si>
  <si>
    <t>TRIP03092</t>
  </si>
  <si>
    <t>TRIP03093</t>
  </si>
  <si>
    <t>TRIP03094</t>
  </si>
  <si>
    <t>TRIP03095</t>
  </si>
  <si>
    <t>TRIP03096</t>
  </si>
  <si>
    <t>TRIP03097</t>
  </si>
  <si>
    <t>TRIP03098</t>
  </si>
  <si>
    <t>TRIP03099</t>
  </si>
  <si>
    <t>TRIP03100</t>
  </si>
  <si>
    <t>TRIP03101</t>
  </si>
  <si>
    <t>TRIP03102</t>
  </si>
  <si>
    <t>TRIP03103</t>
  </si>
  <si>
    <t>TRIP03104</t>
  </si>
  <si>
    <t>TRIP03105</t>
  </si>
  <si>
    <t>TRIP03106</t>
  </si>
  <si>
    <t>TRIP03107</t>
  </si>
  <si>
    <t>TRIP03108</t>
  </si>
  <si>
    <t>TRIP03109</t>
  </si>
  <si>
    <t>TRIP03110</t>
  </si>
  <si>
    <t>TRIP03111</t>
  </si>
  <si>
    <t>TRIP03112</t>
  </si>
  <si>
    <t>TRIP03113</t>
  </si>
  <si>
    <t>TRIP03114</t>
  </si>
  <si>
    <t>TRIP03115</t>
  </si>
  <si>
    <t>TRIP03116</t>
  </si>
  <si>
    <t>TRIP03117</t>
  </si>
  <si>
    <t>TRIP03118</t>
  </si>
  <si>
    <t>TRIP03119</t>
  </si>
  <si>
    <t>TRIP03120</t>
  </si>
  <si>
    <t>TRIP03121</t>
  </si>
  <si>
    <t>TRIP03122</t>
  </si>
  <si>
    <t>TRIP03123</t>
  </si>
  <si>
    <t>TRIP03124</t>
  </si>
  <si>
    <t>TRIP03125</t>
  </si>
  <si>
    <t>TRIP03126</t>
  </si>
  <si>
    <t>TRIP03127</t>
  </si>
  <si>
    <t>TRIP03128</t>
  </si>
  <si>
    <t>TRIP03129</t>
  </si>
  <si>
    <t>TRIP03130</t>
  </si>
  <si>
    <t>TRIP03131</t>
  </si>
  <si>
    <t>TRIP03132</t>
  </si>
  <si>
    <t>TRIP03133</t>
  </si>
  <si>
    <t>TRIP03134</t>
  </si>
  <si>
    <t>TRIP03135</t>
  </si>
  <si>
    <t>TRIP03136</t>
  </si>
  <si>
    <t>TRIP03137</t>
  </si>
  <si>
    <t>TRIP03138</t>
  </si>
  <si>
    <t>TRIP03139</t>
  </si>
  <si>
    <t>TRIP03140</t>
  </si>
  <si>
    <t>TRIP03141</t>
  </si>
  <si>
    <t>TRIP03142</t>
  </si>
  <si>
    <t>TRIP03143</t>
  </si>
  <si>
    <t>TRIP03144</t>
  </si>
  <si>
    <t>TRIP03145</t>
  </si>
  <si>
    <t>TRIP03146</t>
  </si>
  <si>
    <t>TRIP03147</t>
  </si>
  <si>
    <t>TRIP03148</t>
  </si>
  <si>
    <t>TRIP03149</t>
  </si>
  <si>
    <t>TRIP03150</t>
  </si>
  <si>
    <t>TRIP03151</t>
  </si>
  <si>
    <t>TRIP03152</t>
  </si>
  <si>
    <t>TRIP03153</t>
  </si>
  <si>
    <t>TRIP03154</t>
  </si>
  <si>
    <t>TRIP03155</t>
  </si>
  <si>
    <t>TRIP03156</t>
  </si>
  <si>
    <t>TRIP03157</t>
  </si>
  <si>
    <t>TRIP03158</t>
  </si>
  <si>
    <t>TRIP03159</t>
  </si>
  <si>
    <t>TRIP03160</t>
  </si>
  <si>
    <t>TRIP03161</t>
  </si>
  <si>
    <t>TRIP03162</t>
  </si>
  <si>
    <t>TRIP03163</t>
  </si>
  <si>
    <t>TRIP03164</t>
  </si>
  <si>
    <t>TRIP03165</t>
  </si>
  <si>
    <t>TRIP03166</t>
  </si>
  <si>
    <t>TRIP03167</t>
  </si>
  <si>
    <t>TRIP03168</t>
  </si>
  <si>
    <t>TRIP03169</t>
  </si>
  <si>
    <t>TRIP03170</t>
  </si>
  <si>
    <t>TRIP03171</t>
  </si>
  <si>
    <t>TRIP03172</t>
  </si>
  <si>
    <t>TRIP03173</t>
  </si>
  <si>
    <t>TRIP03174</t>
  </si>
  <si>
    <t>TRIP03175</t>
  </si>
  <si>
    <t>TRIP03176</t>
  </si>
  <si>
    <t>TRIP03177</t>
  </si>
  <si>
    <t>TRIP03178</t>
  </si>
  <si>
    <t>TRIP03179</t>
  </si>
  <si>
    <t>TRIP03180</t>
  </si>
  <si>
    <t>TRIP03181</t>
  </si>
  <si>
    <t>TRIP03182</t>
  </si>
  <si>
    <t>TRIP03183</t>
  </si>
  <si>
    <t>TRIP03184</t>
  </si>
  <si>
    <t>TRIP03185</t>
  </si>
  <si>
    <t>TRIP03186</t>
  </si>
  <si>
    <t>TRIP03187</t>
  </si>
  <si>
    <t>TRIP03188</t>
  </si>
  <si>
    <t>TRIP03189</t>
  </si>
  <si>
    <t>TRIP03190</t>
  </si>
  <si>
    <t>TRIP03191</t>
  </si>
  <si>
    <t>TRIP03192</t>
  </si>
  <si>
    <t>TRIP03193</t>
  </si>
  <si>
    <t>TRIP03194</t>
  </si>
  <si>
    <t>TRIP03195</t>
  </si>
  <si>
    <t>TRIP03196</t>
  </si>
  <si>
    <t>TRIP03197</t>
  </si>
  <si>
    <t>TRIP03198</t>
  </si>
  <si>
    <t>TRIP03199</t>
  </si>
  <si>
    <t>TRIP03200</t>
  </si>
  <si>
    <t>TRIP03201</t>
  </si>
  <si>
    <t>TRIP03202</t>
  </si>
  <si>
    <t>TRIP03203</t>
  </si>
  <si>
    <t>TRIP03204</t>
  </si>
  <si>
    <t>TRIP03205</t>
  </si>
  <si>
    <t>TRIP03206</t>
  </si>
  <si>
    <t>TRIP03207</t>
  </si>
  <si>
    <t>TRIP03208</t>
  </si>
  <si>
    <t>TRIP03209</t>
  </si>
  <si>
    <t>TRIP03210</t>
  </si>
  <si>
    <t>TRIP03211</t>
  </si>
  <si>
    <t>TRIP03212</t>
  </si>
  <si>
    <t>TRIP03213</t>
  </si>
  <si>
    <t>TRIP03214</t>
  </si>
  <si>
    <t>TRIP03215</t>
  </si>
  <si>
    <t>TRIP03216</t>
  </si>
  <si>
    <t>TRIP03217</t>
  </si>
  <si>
    <t>TRIP03218</t>
  </si>
  <si>
    <t>TRIP03219</t>
  </si>
  <si>
    <t>TRIP03220</t>
  </si>
  <si>
    <t>TRIP03221</t>
  </si>
  <si>
    <t>TRIP03222</t>
  </si>
  <si>
    <t>TRIP03223</t>
  </si>
  <si>
    <t>TRIP03224</t>
  </si>
  <si>
    <t>TRIP03225</t>
  </si>
  <si>
    <t>TRIP03226</t>
  </si>
  <si>
    <t>TRIP03227</t>
  </si>
  <si>
    <t>TRIP03228</t>
  </si>
  <si>
    <t>TRIP03229</t>
  </si>
  <si>
    <t>TRIP03230</t>
  </si>
  <si>
    <t>TRIP03231</t>
  </si>
  <si>
    <t>TRIP03232</t>
  </si>
  <si>
    <t>TRIP03233</t>
  </si>
  <si>
    <t>TRIP03234</t>
  </si>
  <si>
    <t>TRIP03235</t>
  </si>
  <si>
    <t>TRIP03236</t>
  </si>
  <si>
    <t>TRIP03237</t>
  </si>
  <si>
    <t>TRIP03238</t>
  </si>
  <si>
    <t>TRIP03239</t>
  </si>
  <si>
    <t>TRIP03240</t>
  </si>
  <si>
    <t>TRIP03241</t>
  </si>
  <si>
    <t>TRIP03242</t>
  </si>
  <si>
    <t>TRIP03243</t>
  </si>
  <si>
    <t>TRIP03244</t>
  </si>
  <si>
    <t>TRIP03245</t>
  </si>
  <si>
    <t>TRIP03246</t>
  </si>
  <si>
    <t>TRIP03247</t>
  </si>
  <si>
    <t>TRIP03248</t>
  </si>
  <si>
    <t>TRIP03249</t>
  </si>
  <si>
    <t>TRIP03250</t>
  </si>
  <si>
    <t>TRIP03251</t>
  </si>
  <si>
    <t>TRIP03252</t>
  </si>
  <si>
    <t>TRIP03253</t>
  </si>
  <si>
    <t>TRIP03254</t>
  </si>
  <si>
    <t>TRIP03255</t>
  </si>
  <si>
    <t>TRIP03256</t>
  </si>
  <si>
    <t>TRIP03257</t>
  </si>
  <si>
    <t>TRIP03258</t>
  </si>
  <si>
    <t>TRIP03259</t>
  </si>
  <si>
    <t>TRIP03260</t>
  </si>
  <si>
    <t>TRIP03261</t>
  </si>
  <si>
    <t>TRIP03262</t>
  </si>
  <si>
    <t>TRIP03263</t>
  </si>
  <si>
    <t>TRIP03264</t>
  </si>
  <si>
    <t>TRIP03265</t>
  </si>
  <si>
    <t>TRIP03266</t>
  </si>
  <si>
    <t>TRIP03267</t>
  </si>
  <si>
    <t>TRIP03268</t>
  </si>
  <si>
    <t>TRIP03269</t>
  </si>
  <si>
    <t>TRIP03270</t>
  </si>
  <si>
    <t>TRIP03271</t>
  </si>
  <si>
    <t>TRIP03272</t>
  </si>
  <si>
    <t>TRIP03273</t>
  </si>
  <si>
    <t>TRIP03274</t>
  </si>
  <si>
    <t>TRIP03275</t>
  </si>
  <si>
    <t>TRIP03276</t>
  </si>
  <si>
    <t>TRIP03277</t>
  </si>
  <si>
    <t>TRIP03278</t>
  </si>
  <si>
    <t>TRIP03279</t>
  </si>
  <si>
    <t>TRIP03280</t>
  </si>
  <si>
    <t>TRIP03281</t>
  </si>
  <si>
    <t>TRIP03282</t>
  </si>
  <si>
    <t>TRIP03283</t>
  </si>
  <si>
    <t>TRIP03284</t>
  </si>
  <si>
    <t>TRIP03285</t>
  </si>
  <si>
    <t>TRIP03286</t>
  </si>
  <si>
    <t>TRIP03287</t>
  </si>
  <si>
    <t>TRIP03288</t>
  </si>
  <si>
    <t>TRIP03289</t>
  </si>
  <si>
    <t>TRIP03290</t>
  </si>
  <si>
    <t>TRIP03291</t>
  </si>
  <si>
    <t>TRIP03292</t>
  </si>
  <si>
    <t>TRIP03293</t>
  </si>
  <si>
    <t>TRIP03294</t>
  </si>
  <si>
    <t>TRIP03295</t>
  </si>
  <si>
    <t>TRIP03296</t>
  </si>
  <si>
    <t>TRIP03297</t>
  </si>
  <si>
    <t>TRIP03298</t>
  </si>
  <si>
    <t>TRIP03299</t>
  </si>
  <si>
    <t>TRIP03300</t>
  </si>
  <si>
    <t>TRIP03301</t>
  </si>
  <si>
    <t>TRIP03302</t>
  </si>
  <si>
    <t>TRIP03303</t>
  </si>
  <si>
    <t>TRIP03304</t>
  </si>
  <si>
    <t>TRIP03305</t>
  </si>
  <si>
    <t>TRIP03306</t>
  </si>
  <si>
    <t>TRIP03307</t>
  </si>
  <si>
    <t>TRIP03308</t>
  </si>
  <si>
    <t>TRIP03309</t>
  </si>
  <si>
    <t>TRIP03310</t>
  </si>
  <si>
    <t>TRIP03311</t>
  </si>
  <si>
    <t>TRIP03312</t>
  </si>
  <si>
    <t>TRIP03313</t>
  </si>
  <si>
    <t>TRIP03314</t>
  </si>
  <si>
    <t>TRIP03315</t>
  </si>
  <si>
    <t>TRIP03316</t>
  </si>
  <si>
    <t>TRIP03317</t>
  </si>
  <si>
    <t>TRIP03318</t>
  </si>
  <si>
    <t>TRIP03319</t>
  </si>
  <si>
    <t>TRIP03320</t>
  </si>
  <si>
    <t>TRIP03321</t>
  </si>
  <si>
    <t>TRIP03322</t>
  </si>
  <si>
    <t>TRIP03323</t>
  </si>
  <si>
    <t>TRIP03324</t>
  </si>
  <si>
    <t>TRIP03325</t>
  </si>
  <si>
    <t>TRIP03326</t>
  </si>
  <si>
    <t>TRIP03327</t>
  </si>
  <si>
    <t>TRIP03328</t>
  </si>
  <si>
    <t>TRIP03329</t>
  </si>
  <si>
    <t>TRIP03330</t>
  </si>
  <si>
    <t>TRIP03331</t>
  </si>
  <si>
    <t>TRIP03332</t>
  </si>
  <si>
    <t>TRIP03333</t>
  </si>
  <si>
    <t>TRIP03334</t>
  </si>
  <si>
    <t>TRIP03335</t>
  </si>
  <si>
    <t>TRIP03336</t>
  </si>
  <si>
    <t>TRIP03337</t>
  </si>
  <si>
    <t>TRIP03338</t>
  </si>
  <si>
    <t>TRIP03339</t>
  </si>
  <si>
    <t>TRIP03340</t>
  </si>
  <si>
    <t>TRIP03341</t>
  </si>
  <si>
    <t>TRIP03342</t>
  </si>
  <si>
    <t>TRIP03343</t>
  </si>
  <si>
    <t>TRIP03344</t>
  </si>
  <si>
    <t>TRIP03345</t>
  </si>
  <si>
    <t>TRIP03346</t>
  </si>
  <si>
    <t>TRIP03347</t>
  </si>
  <si>
    <t>TRIP03348</t>
  </si>
  <si>
    <t>TRIP03349</t>
  </si>
  <si>
    <t>TRIP03350</t>
  </si>
  <si>
    <t>TRIP03351</t>
  </si>
  <si>
    <t>TRIP03352</t>
  </si>
  <si>
    <t>TRIP03353</t>
  </si>
  <si>
    <t>TRIP03354</t>
  </si>
  <si>
    <t>TRIP03355</t>
  </si>
  <si>
    <t>TRIP03356</t>
  </si>
  <si>
    <t>TRIP03357</t>
  </si>
  <si>
    <t>TRIP03358</t>
  </si>
  <si>
    <t>TRIP03359</t>
  </si>
  <si>
    <t>TRIP03360</t>
  </si>
  <si>
    <t>TRIP03361</t>
  </si>
  <si>
    <t>TRIP03362</t>
  </si>
  <si>
    <t>TRIP03363</t>
  </si>
  <si>
    <t>TRIP03364</t>
  </si>
  <si>
    <t>TRIP03365</t>
  </si>
  <si>
    <t>TRIP03366</t>
  </si>
  <si>
    <t>TRIP03367</t>
  </si>
  <si>
    <t>TRIP03368</t>
  </si>
  <si>
    <t>TRIP03369</t>
  </si>
  <si>
    <t>TRIP03370</t>
  </si>
  <si>
    <t>TRIP03371</t>
  </si>
  <si>
    <t>TRIP03372</t>
  </si>
  <si>
    <t>TRIP03373</t>
  </si>
  <si>
    <t>TRIP03374</t>
  </si>
  <si>
    <t>TRIP03375</t>
  </si>
  <si>
    <t>TRIP03376</t>
  </si>
  <si>
    <t>TRIP03377</t>
  </si>
  <si>
    <t>TRIP03378</t>
  </si>
  <si>
    <t>TRIP03379</t>
  </si>
  <si>
    <t>TRIP03380</t>
  </si>
  <si>
    <t>TRIP03381</t>
  </si>
  <si>
    <t>TRIP03382</t>
  </si>
  <si>
    <t>TRIP03383</t>
  </si>
  <si>
    <t>TRIP03384</t>
  </si>
  <si>
    <t>TRIP03385</t>
  </si>
  <si>
    <t>TRIP03386</t>
  </si>
  <si>
    <t>TRIP03387</t>
  </si>
  <si>
    <t>TRIP03388</t>
  </si>
  <si>
    <t>TRIP03389</t>
  </si>
  <si>
    <t>TRIP03390</t>
  </si>
  <si>
    <t>TRIP03391</t>
  </si>
  <si>
    <t>TRIP03392</t>
  </si>
  <si>
    <t>TRIP03393</t>
  </si>
  <si>
    <t>TRIP03394</t>
  </si>
  <si>
    <t>TRIP03395</t>
  </si>
  <si>
    <t>TRIP03396</t>
  </si>
  <si>
    <t>TRIP03397</t>
  </si>
  <si>
    <t>TRIP03398</t>
  </si>
  <si>
    <t>TRIP03399</t>
  </si>
  <si>
    <t>TRIP03400</t>
  </si>
  <si>
    <t>TRIP03401</t>
  </si>
  <si>
    <t>TRIP03402</t>
  </si>
  <si>
    <t>TRIP03403</t>
  </si>
  <si>
    <t>TRIP03404</t>
  </si>
  <si>
    <t>TRIP03405</t>
  </si>
  <si>
    <t>TRIP03406</t>
  </si>
  <si>
    <t>TRIP03407</t>
  </si>
  <si>
    <t>TRIP03408</t>
  </si>
  <si>
    <t>TRIP03409</t>
  </si>
  <si>
    <t>TRIP03410</t>
  </si>
  <si>
    <t>TRIP03411</t>
  </si>
  <si>
    <t>TRIP03412</t>
  </si>
  <si>
    <t>TRIP03413</t>
  </si>
  <si>
    <t>TRIP03414</t>
  </si>
  <si>
    <t>TRIP03415</t>
  </si>
  <si>
    <t>TRIP03416</t>
  </si>
  <si>
    <t>TRIP03417</t>
  </si>
  <si>
    <t>TRIP03418</t>
  </si>
  <si>
    <t>TRIP03419</t>
  </si>
  <si>
    <t>TRIP03420</t>
  </si>
  <si>
    <t>TRIP03421</t>
  </si>
  <si>
    <t>TRIP03422</t>
  </si>
  <si>
    <t>TRIP03423</t>
  </si>
  <si>
    <t>TRIP03424</t>
  </si>
  <si>
    <t>TRIP03425</t>
  </si>
  <si>
    <t>TRIP03426</t>
  </si>
  <si>
    <t>TRIP03427</t>
  </si>
  <si>
    <t>TRIP03428</t>
  </si>
  <si>
    <t>TRIP03429</t>
  </si>
  <si>
    <t>TRIP03430</t>
  </si>
  <si>
    <t>TRIP03431</t>
  </si>
  <si>
    <t>TRIP03432</t>
  </si>
  <si>
    <t>TRIP03433</t>
  </si>
  <si>
    <t>TRIP03434</t>
  </si>
  <si>
    <t>TRIP03435</t>
  </si>
  <si>
    <t>TRIP03436</t>
  </si>
  <si>
    <t>TRIP03437</t>
  </si>
  <si>
    <t>TRIP03438</t>
  </si>
  <si>
    <t>TRIP03439</t>
  </si>
  <si>
    <t>TRIP03440</t>
  </si>
  <si>
    <t>TRIP03441</t>
  </si>
  <si>
    <t>TRIP03442</t>
  </si>
  <si>
    <t>TRIP03443</t>
  </si>
  <si>
    <t>TRIP03444</t>
  </si>
  <si>
    <t>TRIP03445</t>
  </si>
  <si>
    <t>TRIP03446</t>
  </si>
  <si>
    <t>TRIP03447</t>
  </si>
  <si>
    <t>TRIP03448</t>
  </si>
  <si>
    <t>TRIP03449</t>
  </si>
  <si>
    <t>TRIP03450</t>
  </si>
  <si>
    <t>TRIP03451</t>
  </si>
  <si>
    <t>TRIP03452</t>
  </si>
  <si>
    <t>TRIP03453</t>
  </si>
  <si>
    <t>TRIP03454</t>
  </si>
  <si>
    <t>TRIP03455</t>
  </si>
  <si>
    <t>TRIP03456</t>
  </si>
  <si>
    <t>TRIP03457</t>
  </si>
  <si>
    <t>TRIP03458</t>
  </si>
  <si>
    <t>TRIP03459</t>
  </si>
  <si>
    <t>TRIP03460</t>
  </si>
  <si>
    <t>TRIP03461</t>
  </si>
  <si>
    <t>TRIP03462</t>
  </si>
  <si>
    <t>TRIP03463</t>
  </si>
  <si>
    <t>TRIP03464</t>
  </si>
  <si>
    <t>TRIP03465</t>
  </si>
  <si>
    <t>TRIP03466</t>
  </si>
  <si>
    <t>TRIP03467</t>
  </si>
  <si>
    <t>TRIP03468</t>
  </si>
  <si>
    <t>TRIP03469</t>
  </si>
  <si>
    <t>TRIP03470</t>
  </si>
  <si>
    <t>TRIP03471</t>
  </si>
  <si>
    <t>TRIP03472</t>
  </si>
  <si>
    <t>TRIP03473</t>
  </si>
  <si>
    <t>TRIP03474</t>
  </si>
  <si>
    <t>TRIP03475</t>
  </si>
  <si>
    <t>TRIP03476</t>
  </si>
  <si>
    <t>TRIP03477</t>
  </si>
  <si>
    <t>TRIP03478</t>
  </si>
  <si>
    <t>TRIP03479</t>
  </si>
  <si>
    <t>TRIP03480</t>
  </si>
  <si>
    <t>TRIP03481</t>
  </si>
  <si>
    <t>TRIP03482</t>
  </si>
  <si>
    <t>TRIP03483</t>
  </si>
  <si>
    <t>TRIP03484</t>
  </si>
  <si>
    <t>TRIP03485</t>
  </si>
  <si>
    <t>TRIP03486</t>
  </si>
  <si>
    <t>TRIP03487</t>
  </si>
  <si>
    <t>TRIP03488</t>
  </si>
  <si>
    <t>TRIP03489</t>
  </si>
  <si>
    <t>TRIP03490</t>
  </si>
  <si>
    <t>TRIP03491</t>
  </si>
  <si>
    <t>TRIP03492</t>
  </si>
  <si>
    <t>TRIP03493</t>
  </si>
  <si>
    <t>TRIP03494</t>
  </si>
  <si>
    <t>TRIP03495</t>
  </si>
  <si>
    <t>TRIP03496</t>
  </si>
  <si>
    <t>TRIP03497</t>
  </si>
  <si>
    <t>TRIP03498</t>
  </si>
  <si>
    <t>TRIP03499</t>
  </si>
  <si>
    <t>TRIP03500</t>
  </si>
  <si>
    <t>TRIP03501</t>
  </si>
  <si>
    <t>TRIP03502</t>
  </si>
  <si>
    <t>TRIP03503</t>
  </si>
  <si>
    <t>TRIP03504</t>
  </si>
  <si>
    <t>TRIP03505</t>
  </si>
  <si>
    <t>TRIP03506</t>
  </si>
  <si>
    <t>TRIP03507</t>
  </si>
  <si>
    <t>TRIP03508</t>
  </si>
  <si>
    <t>TRIP03509</t>
  </si>
  <si>
    <t>TRIP03510</t>
  </si>
  <si>
    <t>TRIP03511</t>
  </si>
  <si>
    <t>TRIP03512</t>
  </si>
  <si>
    <t>TRIP03513</t>
  </si>
  <si>
    <t>TRIP03514</t>
  </si>
  <si>
    <t>TRIP03515</t>
  </si>
  <si>
    <t>TRIP03516</t>
  </si>
  <si>
    <t>TRIP03517</t>
  </si>
  <si>
    <t>TRIP03518</t>
  </si>
  <si>
    <t>TRIP03519</t>
  </si>
  <si>
    <t>TRIP03520</t>
  </si>
  <si>
    <t>TRIP03521</t>
  </si>
  <si>
    <t>TRIP03522</t>
  </si>
  <si>
    <t>TRIP03523</t>
  </si>
  <si>
    <t>TRIP03524</t>
  </si>
  <si>
    <t>TRIP03525</t>
  </si>
  <si>
    <t>TRIP03526</t>
  </si>
  <si>
    <t>TRIP03527</t>
  </si>
  <si>
    <t>TRIP03528</t>
  </si>
  <si>
    <t>TRIP03529</t>
  </si>
  <si>
    <t>TRIP03530</t>
  </si>
  <si>
    <t>TRIP03531</t>
  </si>
  <si>
    <t>TRIP03532</t>
  </si>
  <si>
    <t>TRIP03533</t>
  </si>
  <si>
    <t>TRIP03534</t>
  </si>
  <si>
    <t>TRIP03535</t>
  </si>
  <si>
    <t>TRIP03536</t>
  </si>
  <si>
    <t>TRIP03537</t>
  </si>
  <si>
    <t>TRIP03538</t>
  </si>
  <si>
    <t>TRIP03539</t>
  </si>
  <si>
    <t>TRIP03540</t>
  </si>
  <si>
    <t>TRIP03541</t>
  </si>
  <si>
    <t>TRIP03542</t>
  </si>
  <si>
    <t>TRIP03543</t>
  </si>
  <si>
    <t>TRIP03544</t>
  </si>
  <si>
    <t>TRIP03545</t>
  </si>
  <si>
    <t>TRIP03546</t>
  </si>
  <si>
    <t>TRIP03547</t>
  </si>
  <si>
    <t>TRIP03548</t>
  </si>
  <si>
    <t>TRIP03549</t>
  </si>
  <si>
    <t>TRIP03550</t>
  </si>
  <si>
    <t>TRIP03551</t>
  </si>
  <si>
    <t>TRIP03552</t>
  </si>
  <si>
    <t>TRIP03553</t>
  </si>
  <si>
    <t>TRIP03554</t>
  </si>
  <si>
    <t>TRIP03555</t>
  </si>
  <si>
    <t>TRIP03556</t>
  </si>
  <si>
    <t>TRIP03557</t>
  </si>
  <si>
    <t>TRIP03558</t>
  </si>
  <si>
    <t>TRIP03559</t>
  </si>
  <si>
    <t>TRIP03560</t>
  </si>
  <si>
    <t>TRIP03561</t>
  </si>
  <si>
    <t>TRIP03562</t>
  </si>
  <si>
    <t>TRIP03563</t>
  </si>
  <si>
    <t>TRIP03564</t>
  </si>
  <si>
    <t>TRIP03565</t>
  </si>
  <si>
    <t>TRIP03566</t>
  </si>
  <si>
    <t>TRIP03567</t>
  </si>
  <si>
    <t>TRIP03568</t>
  </si>
  <si>
    <t>TRIP03569</t>
  </si>
  <si>
    <t>TRIP03570</t>
  </si>
  <si>
    <t>TRIP03571</t>
  </si>
  <si>
    <t>TRIP03572</t>
  </si>
  <si>
    <t>TRIP03573</t>
  </si>
  <si>
    <t>TRIP03574</t>
  </si>
  <si>
    <t>TRIP03575</t>
  </si>
  <si>
    <t>TRIP03576</t>
  </si>
  <si>
    <t>TRIP03577</t>
  </si>
  <si>
    <t>TRIP03578</t>
  </si>
  <si>
    <t>TRIP03579</t>
  </si>
  <si>
    <t>TRIP03580</t>
  </si>
  <si>
    <t>TRIP03581</t>
  </si>
  <si>
    <t>TRIP03582</t>
  </si>
  <si>
    <t>TRIP03583</t>
  </si>
  <si>
    <t>TRIP03584</t>
  </si>
  <si>
    <t>TRIP03585</t>
  </si>
  <si>
    <t>TRIP03586</t>
  </si>
  <si>
    <t>TRIP03587</t>
  </si>
  <si>
    <t>TRIP03588</t>
  </si>
  <si>
    <t>TRIP03589</t>
  </si>
  <si>
    <t>TRIP03590</t>
  </si>
  <si>
    <t>TRIP03591</t>
  </si>
  <si>
    <t>TRIP03592</t>
  </si>
  <si>
    <t>TRIP03593</t>
  </si>
  <si>
    <t>TRIP03594</t>
  </si>
  <si>
    <t>TRIP03595</t>
  </si>
  <si>
    <t>TRIP03596</t>
  </si>
  <si>
    <t>TRIP03597</t>
  </si>
  <si>
    <t>TRIP03598</t>
  </si>
  <si>
    <t>TRIP03599</t>
  </si>
  <si>
    <t>TRIP03600</t>
  </si>
  <si>
    <t>TRIP03601</t>
  </si>
  <si>
    <t>TRIP03602</t>
  </si>
  <si>
    <t>TRIP03603</t>
  </si>
  <si>
    <t>TRIP03604</t>
  </si>
  <si>
    <t>TRIP03605</t>
  </si>
  <si>
    <t>TRIP03606</t>
  </si>
  <si>
    <t>TRIP03607</t>
  </si>
  <si>
    <t>TRIP03608</t>
  </si>
  <si>
    <t>TRIP03609</t>
  </si>
  <si>
    <t>TRIP03610</t>
  </si>
  <si>
    <t>TRIP03611</t>
  </si>
  <si>
    <t>TRIP03612</t>
  </si>
  <si>
    <t>TRIP03613</t>
  </si>
  <si>
    <t>TRIP03614</t>
  </si>
  <si>
    <t>TRIP03615</t>
  </si>
  <si>
    <t>TRIP03616</t>
  </si>
  <si>
    <t>TRIP03617</t>
  </si>
  <si>
    <t>TRIP03618</t>
  </si>
  <si>
    <t>TRIP03619</t>
  </si>
  <si>
    <t>TRIP03620</t>
  </si>
  <si>
    <t>TRIP03621</t>
  </si>
  <si>
    <t>TRIP03622</t>
  </si>
  <si>
    <t>TRIP03623</t>
  </si>
  <si>
    <t>TRIP03624</t>
  </si>
  <si>
    <t>TRIP03625</t>
  </si>
  <si>
    <t>TRIP03626</t>
  </si>
  <si>
    <t>TRIP03627</t>
  </si>
  <si>
    <t>TRIP03628</t>
  </si>
  <si>
    <t>TRIP03629</t>
  </si>
  <si>
    <t>TRIP03630</t>
  </si>
  <si>
    <t>TRIP03631</t>
  </si>
  <si>
    <t>TRIP03632</t>
  </si>
  <si>
    <t>TRIP03633</t>
  </si>
  <si>
    <t>TRIP03634</t>
  </si>
  <si>
    <t>TRIP03635</t>
  </si>
  <si>
    <t>TRIP03636</t>
  </si>
  <si>
    <t>TRIP03637</t>
  </si>
  <si>
    <t>TRIP03638</t>
  </si>
  <si>
    <t>TRIP03639</t>
  </si>
  <si>
    <t>TRIP03640</t>
  </si>
  <si>
    <t>TRIP03641</t>
  </si>
  <si>
    <t>TRIP03642</t>
  </si>
  <si>
    <t>TRIP03643</t>
  </si>
  <si>
    <t>TRIP03644</t>
  </si>
  <si>
    <t>TRIP03645</t>
  </si>
  <si>
    <t>TRIP03646</t>
  </si>
  <si>
    <t>TRIP03647</t>
  </si>
  <si>
    <t>TRIP03648</t>
  </si>
  <si>
    <t>TRIP03649</t>
  </si>
  <si>
    <t>TRIP03650</t>
  </si>
  <si>
    <t>TRIP03651</t>
  </si>
  <si>
    <t>TRIP03652</t>
  </si>
  <si>
    <t>TRIP03653</t>
  </si>
  <si>
    <t>TRIP03654</t>
  </si>
  <si>
    <t>TRIP03655</t>
  </si>
  <si>
    <t>TRIP03656</t>
  </si>
  <si>
    <t>TRIP03657</t>
  </si>
  <si>
    <t>TRIP03658</t>
  </si>
  <si>
    <t>TRIP03659</t>
  </si>
  <si>
    <t>TRIP03660</t>
  </si>
  <si>
    <t>TRIP03661</t>
  </si>
  <si>
    <t>TRIP03662</t>
  </si>
  <si>
    <t>TRIP03663</t>
  </si>
  <si>
    <t>TRIP03664</t>
  </si>
  <si>
    <t>TRIP03665</t>
  </si>
  <si>
    <t>TRIP03666</t>
  </si>
  <si>
    <t>TRIP03667</t>
  </si>
  <si>
    <t>TRIP03668</t>
  </si>
  <si>
    <t>TRIP03669</t>
  </si>
  <si>
    <t>TRIP03670</t>
  </si>
  <si>
    <t>TRIP03671</t>
  </si>
  <si>
    <t>TRIP03672</t>
  </si>
  <si>
    <t>TRIP03673</t>
  </si>
  <si>
    <t>TRIP03674</t>
  </si>
  <si>
    <t>TRIP03675</t>
  </si>
  <si>
    <t>TRIP03676</t>
  </si>
  <si>
    <t>TRIP03677</t>
  </si>
  <si>
    <t>TRIP03678</t>
  </si>
  <si>
    <t>TRIP03679</t>
  </si>
  <si>
    <t>TRIP03680</t>
  </si>
  <si>
    <t>TRIP03681</t>
  </si>
  <si>
    <t>TRIP03682</t>
  </si>
  <si>
    <t>TRIP03683</t>
  </si>
  <si>
    <t>TRIP03684</t>
  </si>
  <si>
    <t>TRIP03685</t>
  </si>
  <si>
    <t>TRIP03686</t>
  </si>
  <si>
    <t>TRIP03687</t>
  </si>
  <si>
    <t>TRIP03688</t>
  </si>
  <si>
    <t>TRIP03689</t>
  </si>
  <si>
    <t>TRIP03690</t>
  </si>
  <si>
    <t>TRIP03691</t>
  </si>
  <si>
    <t>TRIP03692</t>
  </si>
  <si>
    <t>TRIP03693</t>
  </si>
  <si>
    <t>TRIP03694</t>
  </si>
  <si>
    <t>TRIP03695</t>
  </si>
  <si>
    <t>TRIP03696</t>
  </si>
  <si>
    <t>TRIP03697</t>
  </si>
  <si>
    <t>TRIP03698</t>
  </si>
  <si>
    <t>TRIP03699</t>
  </si>
  <si>
    <t>TRIP03700</t>
  </si>
  <si>
    <t>TRIP03701</t>
  </si>
  <si>
    <t>TRIP03702</t>
  </si>
  <si>
    <t>TRIP03703</t>
  </si>
  <si>
    <t>TRIP03704</t>
  </si>
  <si>
    <t>TRIP03705</t>
  </si>
  <si>
    <t>TRIP03706</t>
  </si>
  <si>
    <t>TRIP03707</t>
  </si>
  <si>
    <t>TRIP03708</t>
  </si>
  <si>
    <t>TRIP03709</t>
  </si>
  <si>
    <t>TRIP03710</t>
  </si>
  <si>
    <t>TRIP03711</t>
  </si>
  <si>
    <t>TRIP03712</t>
  </si>
  <si>
    <t>TRIP03713</t>
  </si>
  <si>
    <t>TRIP03714</t>
  </si>
  <si>
    <t>TRIP03715</t>
  </si>
  <si>
    <t>TRIP03716</t>
  </si>
  <si>
    <t>TRIP03717</t>
  </si>
  <si>
    <t>TRIP03718</t>
  </si>
  <si>
    <t>TRIP03719</t>
  </si>
  <si>
    <t>TRIP03720</t>
  </si>
  <si>
    <t>TRIP03721</t>
  </si>
  <si>
    <t>TRIP03722</t>
  </si>
  <si>
    <t>TRIP03723</t>
  </si>
  <si>
    <t>TRIP03724</t>
  </si>
  <si>
    <t>TRIP03725</t>
  </si>
  <si>
    <t>TRIP03726</t>
  </si>
  <si>
    <t>TRIP03727</t>
  </si>
  <si>
    <t>TRIP03728</t>
  </si>
  <si>
    <t>TRIP03729</t>
  </si>
  <si>
    <t>TRIP03730</t>
  </si>
  <si>
    <t>TRIP03731</t>
  </si>
  <si>
    <t>TRIP03732</t>
  </si>
  <si>
    <t>TRIP03733</t>
  </si>
  <si>
    <t>TRIP03734</t>
  </si>
  <si>
    <t>TRIP03735</t>
  </si>
  <si>
    <t>TRIP03736</t>
  </si>
  <si>
    <t>TRIP03737</t>
  </si>
  <si>
    <t>TRIP03738</t>
  </si>
  <si>
    <t>TRIP03739</t>
  </si>
  <si>
    <t>TRIP03740</t>
  </si>
  <si>
    <t>TRIP03741</t>
  </si>
  <si>
    <t>TRIP03742</t>
  </si>
  <si>
    <t>TRIP03743</t>
  </si>
  <si>
    <t>TRIP03744</t>
  </si>
  <si>
    <t>TRIP03745</t>
  </si>
  <si>
    <t>TRIP03746</t>
  </si>
  <si>
    <t>TRIP03747</t>
  </si>
  <si>
    <t>TRIP03748</t>
  </si>
  <si>
    <t>TRIP03749</t>
  </si>
  <si>
    <t>TRIP03750</t>
  </si>
  <si>
    <t>TRIP03751</t>
  </si>
  <si>
    <t>TRIP03752</t>
  </si>
  <si>
    <t>TRIP03753</t>
  </si>
  <si>
    <t>TRIP03754</t>
  </si>
  <si>
    <t>TRIP03755</t>
  </si>
  <si>
    <t>TRIP03756</t>
  </si>
  <si>
    <t>TRIP03757</t>
  </si>
  <si>
    <t>TRIP03758</t>
  </si>
  <si>
    <t>TRIP03759</t>
  </si>
  <si>
    <t>TRIP03760</t>
  </si>
  <si>
    <t>TRIP03761</t>
  </si>
  <si>
    <t>TRIP03762</t>
  </si>
  <si>
    <t>TRIP03763</t>
  </si>
  <si>
    <t>TRIP03764</t>
  </si>
  <si>
    <t>TRIP03765</t>
  </si>
  <si>
    <t>TRIP03766</t>
  </si>
  <si>
    <t>TRIP03767</t>
  </si>
  <si>
    <t>TRIP03768</t>
  </si>
  <si>
    <t>TRIP03769</t>
  </si>
  <si>
    <t>TRIP03770</t>
  </si>
  <si>
    <t>TRIP03771</t>
  </si>
  <si>
    <t>TRIP03772</t>
  </si>
  <si>
    <t>TRIP03773</t>
  </si>
  <si>
    <t>TRIP03774</t>
  </si>
  <si>
    <t>TRIP03775</t>
  </si>
  <si>
    <t>TRIP03776</t>
  </si>
  <si>
    <t>TRIP03777</t>
  </si>
  <si>
    <t>TRIP03778</t>
  </si>
  <si>
    <t>TRIP03779</t>
  </si>
  <si>
    <t>TRIP03780</t>
  </si>
  <si>
    <t>TRIP03781</t>
  </si>
  <si>
    <t>TRIP03782</t>
  </si>
  <si>
    <t>TRIP03783</t>
  </si>
  <si>
    <t>TRIP03784</t>
  </si>
  <si>
    <t>TRIP03785</t>
  </si>
  <si>
    <t>TRIP03786</t>
  </si>
  <si>
    <t>TRIP03787</t>
  </si>
  <si>
    <t>TRIP03788</t>
  </si>
  <si>
    <t>TRIP03789</t>
  </si>
  <si>
    <t>TRIP03790</t>
  </si>
  <si>
    <t>TRIP03791</t>
  </si>
  <si>
    <t>TRIP03792</t>
  </si>
  <si>
    <t>TRIP03793</t>
  </si>
  <si>
    <t>TRIP03794</t>
  </si>
  <si>
    <t>TRIP03795</t>
  </si>
  <si>
    <t>TRIP03796</t>
  </si>
  <si>
    <t>TRIP03797</t>
  </si>
  <si>
    <t>TRIP03798</t>
  </si>
  <si>
    <t>TRIP03799</t>
  </si>
  <si>
    <t>TRIP03800</t>
  </si>
  <si>
    <t>TRIP03801</t>
  </si>
  <si>
    <t>TRIP03802</t>
  </si>
  <si>
    <t>TRIP03803</t>
  </si>
  <si>
    <t>TRIP03804</t>
  </si>
  <si>
    <t>TRIP03805</t>
  </si>
  <si>
    <t>TRIP03806</t>
  </si>
  <si>
    <t>TRIP03807</t>
  </si>
  <si>
    <t>TRIP03808</t>
  </si>
  <si>
    <t>TRIP03809</t>
  </si>
  <si>
    <t>TRIP03810</t>
  </si>
  <si>
    <t>TRIP03811</t>
  </si>
  <si>
    <t>TRIP03812</t>
  </si>
  <si>
    <t>TRIP03813</t>
  </si>
  <si>
    <t>TRIP03814</t>
  </si>
  <si>
    <t>TRIP03815</t>
  </si>
  <si>
    <t>TRIP03816</t>
  </si>
  <si>
    <t>TRIP03817</t>
  </si>
  <si>
    <t>TRIP03818</t>
  </si>
  <si>
    <t>TRIP03819</t>
  </si>
  <si>
    <t>TRIP03820</t>
  </si>
  <si>
    <t>TRIP03821</t>
  </si>
  <si>
    <t>TRIP03822</t>
  </si>
  <si>
    <t>TRIP03823</t>
  </si>
  <si>
    <t>TRIP03824</t>
  </si>
  <si>
    <t>TRIP03825</t>
  </si>
  <si>
    <t>TRIP03826</t>
  </si>
  <si>
    <t>TRIP03827</t>
  </si>
  <si>
    <t>TRIP03828</t>
  </si>
  <si>
    <t>TRIP03829</t>
  </si>
  <si>
    <t>TRIP03830</t>
  </si>
  <si>
    <t>TRIP03831</t>
  </si>
  <si>
    <t>TRIP03832</t>
  </si>
  <si>
    <t>TRIP03833</t>
  </si>
  <si>
    <t>TRIP03834</t>
  </si>
  <si>
    <t>TRIP03835</t>
  </si>
  <si>
    <t>TRIP03836</t>
  </si>
  <si>
    <t>TRIP03837</t>
  </si>
  <si>
    <t>TRIP03838</t>
  </si>
  <si>
    <t>TRIP03839</t>
  </si>
  <si>
    <t>TRIP03840</t>
  </si>
  <si>
    <t>TRIP03841</t>
  </si>
  <si>
    <t>TRIP03842</t>
  </si>
  <si>
    <t>TRIP03843</t>
  </si>
  <si>
    <t>TRIP03844</t>
  </si>
  <si>
    <t>TRIP03845</t>
  </si>
  <si>
    <t>TRIP03846</t>
  </si>
  <si>
    <t>TRIP03847</t>
  </si>
  <si>
    <t>TRIP03848</t>
  </si>
  <si>
    <t>TRIP03849</t>
  </si>
  <si>
    <t>TRIP03850</t>
  </si>
  <si>
    <t>TRIP03851</t>
  </si>
  <si>
    <t>TRIP03852</t>
  </si>
  <si>
    <t>TRIP03853</t>
  </si>
  <si>
    <t>TRIP03854</t>
  </si>
  <si>
    <t>TRIP03855</t>
  </si>
  <si>
    <t>TRIP03856</t>
  </si>
  <si>
    <t>TRIP03857</t>
  </si>
  <si>
    <t>TRIP03858</t>
  </si>
  <si>
    <t>TRIP03859</t>
  </si>
  <si>
    <t>TRIP03860</t>
  </si>
  <si>
    <t>TRIP03861</t>
  </si>
  <si>
    <t>TRIP03862</t>
  </si>
  <si>
    <t>TRIP03863</t>
  </si>
  <si>
    <t>TRIP03864</t>
  </si>
  <si>
    <t>TRIP03865</t>
  </si>
  <si>
    <t>TRIP03866</t>
  </si>
  <si>
    <t>TRIP03867</t>
  </si>
  <si>
    <t>TRIP03868</t>
  </si>
  <si>
    <t>TRIP03869</t>
  </si>
  <si>
    <t>TRIP03870</t>
  </si>
  <si>
    <t>TRIP03871</t>
  </si>
  <si>
    <t>TRIP03872</t>
  </si>
  <si>
    <t>TRIP03873</t>
  </si>
  <si>
    <t>TRIP03874</t>
  </si>
  <si>
    <t>TRIP03875</t>
  </si>
  <si>
    <t>TRIP03876</t>
  </si>
  <si>
    <t>TRIP03877</t>
  </si>
  <si>
    <t>TRIP03878</t>
  </si>
  <si>
    <t>TRIP03879</t>
  </si>
  <si>
    <t>TRIP03880</t>
  </si>
  <si>
    <t>TRIP03881</t>
  </si>
  <si>
    <t>TRIP03882</t>
  </si>
  <si>
    <t>TRIP03883</t>
  </si>
  <si>
    <t>TRIP03884</t>
  </si>
  <si>
    <t>TRIP03885</t>
  </si>
  <si>
    <t>TRIP03886</t>
  </si>
  <si>
    <t>TRIP03887</t>
  </si>
  <si>
    <t>TRIP03888</t>
  </si>
  <si>
    <t>TRIP03889</t>
  </si>
  <si>
    <t>TRIP03890</t>
  </si>
  <si>
    <t>TRIP03891</t>
  </si>
  <si>
    <t>TRIP03892</t>
  </si>
  <si>
    <t>TRIP03893</t>
  </si>
  <si>
    <t>TRIP03894</t>
  </si>
  <si>
    <t>TRIP03895</t>
  </si>
  <si>
    <t>TRIP03896</t>
  </si>
  <si>
    <t>TRIP03897</t>
  </si>
  <si>
    <t>TRIP03898</t>
  </si>
  <si>
    <t>TRIP03899</t>
  </si>
  <si>
    <t>TRIP03900</t>
  </si>
  <si>
    <t>TRIP03901</t>
  </si>
  <si>
    <t>TRIP03902</t>
  </si>
  <si>
    <t>TRIP03903</t>
  </si>
  <si>
    <t>TRIP03904</t>
  </si>
  <si>
    <t>TRIP03905</t>
  </si>
  <si>
    <t>TRIP03906</t>
  </si>
  <si>
    <t>TRIP03907</t>
  </si>
  <si>
    <t>TRIP03908</t>
  </si>
  <si>
    <t>TRIP03909</t>
  </si>
  <si>
    <t>TRIP03910</t>
  </si>
  <si>
    <t>TRIP03911</t>
  </si>
  <si>
    <t>TRIP03912</t>
  </si>
  <si>
    <t>TRIP03913</t>
  </si>
  <si>
    <t>TRIP03914</t>
  </si>
  <si>
    <t>TRIP03915</t>
  </si>
  <si>
    <t>TRIP03916</t>
  </si>
  <si>
    <t>TRIP03917</t>
  </si>
  <si>
    <t>TRIP03918</t>
  </si>
  <si>
    <t>TRIP03919</t>
  </si>
  <si>
    <t>TRIP03920</t>
  </si>
  <si>
    <t>TRIP03921</t>
  </si>
  <si>
    <t>TRIP03922</t>
  </si>
  <si>
    <t>TRIP03923</t>
  </si>
  <si>
    <t>TRIP03924</t>
  </si>
  <si>
    <t>TRIP03925</t>
  </si>
  <si>
    <t>TRIP03926</t>
  </si>
  <si>
    <t>TRIP03927</t>
  </si>
  <si>
    <t>TRIP03928</t>
  </si>
  <si>
    <t>TRIP03929</t>
  </si>
  <si>
    <t>TRIP03930</t>
  </si>
  <si>
    <t>TRIP03931</t>
  </si>
  <si>
    <t>TRIP03932</t>
  </si>
  <si>
    <t>TRIP03933</t>
  </si>
  <si>
    <t>TRIP03934</t>
  </si>
  <si>
    <t>TRIP03935</t>
  </si>
  <si>
    <t>TRIP03936</t>
  </si>
  <si>
    <t>TRIP03937</t>
  </si>
  <si>
    <t>TRIP03938</t>
  </si>
  <si>
    <t>TRIP03939</t>
  </si>
  <si>
    <t>TRIP03940</t>
  </si>
  <si>
    <t>TRIP03941</t>
  </si>
  <si>
    <t>TRIP03942</t>
  </si>
  <si>
    <t>TRIP03943</t>
  </si>
  <si>
    <t>TRIP03944</t>
  </si>
  <si>
    <t>TRIP03945</t>
  </si>
  <si>
    <t>TRIP03946</t>
  </si>
  <si>
    <t>TRIP03947</t>
  </si>
  <si>
    <t>TRIP03948</t>
  </si>
  <si>
    <t>TRIP03949</t>
  </si>
  <si>
    <t>TRIP03950</t>
  </si>
  <si>
    <t>TRIP03951</t>
  </si>
  <si>
    <t>TRIP03952</t>
  </si>
  <si>
    <t>TRIP03953</t>
  </si>
  <si>
    <t>TRIP03954</t>
  </si>
  <si>
    <t>TRIP03955</t>
  </si>
  <si>
    <t>TRIP03956</t>
  </si>
  <si>
    <t>TRIP03957</t>
  </si>
  <si>
    <t>TRIP03958</t>
  </si>
  <si>
    <t>TRIP03959</t>
  </si>
  <si>
    <t>TRIP03960</t>
  </si>
  <si>
    <t>TRIP03961</t>
  </si>
  <si>
    <t>TRIP03962</t>
  </si>
  <si>
    <t>TRIP03963</t>
  </si>
  <si>
    <t>TRIP03964</t>
  </si>
  <si>
    <t>TRIP03965</t>
  </si>
  <si>
    <t>TRIP03966</t>
  </si>
  <si>
    <t>TRIP03967</t>
  </si>
  <si>
    <t>TRIP03968</t>
  </si>
  <si>
    <t>TRIP03969</t>
  </si>
  <si>
    <t>TRIP03970</t>
  </si>
  <si>
    <t>TRIP03971</t>
  </si>
  <si>
    <t>TRIP03972</t>
  </si>
  <si>
    <t>TRIP03973</t>
  </si>
  <si>
    <t>TRIP03974</t>
  </si>
  <si>
    <t>TRIP03975</t>
  </si>
  <si>
    <t>TRIP03976</t>
  </si>
  <si>
    <t>TRIP03977</t>
  </si>
  <si>
    <t>TRIP03978</t>
  </si>
  <si>
    <t>TRIP03979</t>
  </si>
  <si>
    <t>TRIP03980</t>
  </si>
  <si>
    <t>TRIP03981</t>
  </si>
  <si>
    <t>TRIP03982</t>
  </si>
  <si>
    <t>TRIP03983</t>
  </si>
  <si>
    <t>TRIP03984</t>
  </si>
  <si>
    <t>TRIP03985</t>
  </si>
  <si>
    <t>TRIP03986</t>
  </si>
  <si>
    <t>TRIP03987</t>
  </si>
  <si>
    <t>TRIP03988</t>
  </si>
  <si>
    <t>TRIP03989</t>
  </si>
  <si>
    <t>TRIP03990</t>
  </si>
  <si>
    <t>TRIP03991</t>
  </si>
  <si>
    <t>TRIP03992</t>
  </si>
  <si>
    <t>TRIP03993</t>
  </si>
  <si>
    <t>TRIP03994</t>
  </si>
  <si>
    <t>TRIP03995</t>
  </si>
  <si>
    <t>TRIP03996</t>
  </si>
  <si>
    <t>TRIP03997</t>
  </si>
  <si>
    <t>TRIP03998</t>
  </si>
  <si>
    <t>TRIP03999</t>
  </si>
  <si>
    <t>TRIP04000</t>
  </si>
  <si>
    <t>TRIP04001</t>
  </si>
  <si>
    <t>TRIP04002</t>
  </si>
  <si>
    <t>TRIP04003</t>
  </si>
  <si>
    <t>TRIP04004</t>
  </si>
  <si>
    <t>TRIP04005</t>
  </si>
  <si>
    <t>TRIP04006</t>
  </si>
  <si>
    <t>TRIP04007</t>
  </si>
  <si>
    <t>TRIP04008</t>
  </si>
  <si>
    <t>TRIP04009</t>
  </si>
  <si>
    <t>TRIP04010</t>
  </si>
  <si>
    <t>TRIP04011</t>
  </si>
  <si>
    <t>TRIP04012</t>
  </si>
  <si>
    <t>TRIP04013</t>
  </si>
  <si>
    <t>TRIP04014</t>
  </si>
  <si>
    <t>TRIP04015</t>
  </si>
  <si>
    <t>TRIP04016</t>
  </si>
  <si>
    <t>TRIP04017</t>
  </si>
  <si>
    <t>TRIP04018</t>
  </si>
  <si>
    <t>TRIP04019</t>
  </si>
  <si>
    <t>TRIP04020</t>
  </si>
  <si>
    <t>TRIP04021</t>
  </si>
  <si>
    <t>TRIP04022</t>
  </si>
  <si>
    <t>TRIP04023</t>
  </si>
  <si>
    <t>TRIP04024</t>
  </si>
  <si>
    <t>TRIP04025</t>
  </si>
  <si>
    <t>TRIP04026</t>
  </si>
  <si>
    <t>TRIP04027</t>
  </si>
  <si>
    <t>TRIP04028</t>
  </si>
  <si>
    <t>TRIP04029</t>
  </si>
  <si>
    <t>TRIP04030</t>
  </si>
  <si>
    <t>TRIP04031</t>
  </si>
  <si>
    <t>TRIP04032</t>
  </si>
  <si>
    <t>TRIP04033</t>
  </si>
  <si>
    <t>TRIP04034</t>
  </si>
  <si>
    <t>TRIP04035</t>
  </si>
  <si>
    <t>TRIP04036</t>
  </si>
  <si>
    <t>TRIP04037</t>
  </si>
  <si>
    <t>TRIP04038</t>
  </si>
  <si>
    <t>TRIP04039</t>
  </si>
  <si>
    <t>TRIP04040</t>
  </si>
  <si>
    <t>TRIP04041</t>
  </si>
  <si>
    <t>TRIP04042</t>
  </si>
  <si>
    <t>TRIP04043</t>
  </si>
  <si>
    <t>TRIP04044</t>
  </si>
  <si>
    <t>TRIP04045</t>
  </si>
  <si>
    <t>TRIP04046</t>
  </si>
  <si>
    <t>TRIP04047</t>
  </si>
  <si>
    <t>TRIP04048</t>
  </si>
  <si>
    <t>TRIP04049</t>
  </si>
  <si>
    <t>TRIP04050</t>
  </si>
  <si>
    <t>TRIP04051</t>
  </si>
  <si>
    <t>TRIP04052</t>
  </si>
  <si>
    <t>TRIP04053</t>
  </si>
  <si>
    <t>TRIP04054</t>
  </si>
  <si>
    <t>TRIP04055</t>
  </si>
  <si>
    <t>TRIP04056</t>
  </si>
  <si>
    <t>TRIP04057</t>
  </si>
  <si>
    <t>TRIP04058</t>
  </si>
  <si>
    <t>TRIP04059</t>
  </si>
  <si>
    <t>TRIP04060</t>
  </si>
  <si>
    <t>TRIP04061</t>
  </si>
  <si>
    <t>TRIP04062</t>
  </si>
  <si>
    <t>TRIP04063</t>
  </si>
  <si>
    <t>TRIP04064</t>
  </si>
  <si>
    <t>TRIP04065</t>
  </si>
  <si>
    <t>TRIP04066</t>
  </si>
  <si>
    <t>TRIP04067</t>
  </si>
  <si>
    <t>TRIP04068</t>
  </si>
  <si>
    <t>TRIP04069</t>
  </si>
  <si>
    <t>TRIP04070</t>
  </si>
  <si>
    <t>TRIP04071</t>
  </si>
  <si>
    <t>TRIP04072</t>
  </si>
  <si>
    <t>TRIP04073</t>
  </si>
  <si>
    <t>TRIP04074</t>
  </si>
  <si>
    <t>TRIP04075</t>
  </si>
  <si>
    <t>TRIP04076</t>
  </si>
  <si>
    <t>TRIP04077</t>
  </si>
  <si>
    <t>TRIP04078</t>
  </si>
  <si>
    <t>TRIP04079</t>
  </si>
  <si>
    <t>TRIP04080</t>
  </si>
  <si>
    <t>TRIP04081</t>
  </si>
  <si>
    <t>TRIP04082</t>
  </si>
  <si>
    <t>TRIP04083</t>
  </si>
  <si>
    <t>TRIP04084</t>
  </si>
  <si>
    <t>TRIP04085</t>
  </si>
  <si>
    <t>TRIP04086</t>
  </si>
  <si>
    <t>TRIP04087</t>
  </si>
  <si>
    <t>TRIP04088</t>
  </si>
  <si>
    <t>TRIP04089</t>
  </si>
  <si>
    <t>TRIP04090</t>
  </si>
  <si>
    <t>TRIP04091</t>
  </si>
  <si>
    <t>TRIP04092</t>
  </si>
  <si>
    <t>TRIP04093</t>
  </si>
  <si>
    <t>TRIP04094</t>
  </si>
  <si>
    <t>TRIP04095</t>
  </si>
  <si>
    <t>TRIP04096</t>
  </si>
  <si>
    <t>TRIP04097</t>
  </si>
  <si>
    <t>TRIP04098</t>
  </si>
  <si>
    <t>TRIP04099</t>
  </si>
  <si>
    <t>TRIP04100</t>
  </si>
  <si>
    <t>TRIP04101</t>
  </si>
  <si>
    <t>TRIP04102</t>
  </si>
  <si>
    <t>TRIP04103</t>
  </si>
  <si>
    <t>TRIP04104</t>
  </si>
  <si>
    <t>TRIP04105</t>
  </si>
  <si>
    <t>TRIP04106</t>
  </si>
  <si>
    <t>TRIP04107</t>
  </si>
  <si>
    <t>TRIP04108</t>
  </si>
  <si>
    <t>TRIP04109</t>
  </si>
  <si>
    <t>TRIP04110</t>
  </si>
  <si>
    <t>TRIP04111</t>
  </si>
  <si>
    <t>TRIP04112</t>
  </si>
  <si>
    <t>TRIP04113</t>
  </si>
  <si>
    <t>TRIP04114</t>
  </si>
  <si>
    <t>TRIP04115</t>
  </si>
  <si>
    <t>TRIP04116</t>
  </si>
  <si>
    <t>TRIP04117</t>
  </si>
  <si>
    <t>TRIP04118</t>
  </si>
  <si>
    <t>TRIP04119</t>
  </si>
  <si>
    <t>TRIP04120</t>
  </si>
  <si>
    <t>TRIP04121</t>
  </si>
  <si>
    <t>TRIP04122</t>
  </si>
  <si>
    <t>TRIP04123</t>
  </si>
  <si>
    <t>TRIP04124</t>
  </si>
  <si>
    <t>TRIP04125</t>
  </si>
  <si>
    <t>TRIP04126</t>
  </si>
  <si>
    <t>TRIP04127</t>
  </si>
  <si>
    <t>TRIP04128</t>
  </si>
  <si>
    <t>TRIP04129</t>
  </si>
  <si>
    <t>TRIP04130</t>
  </si>
  <si>
    <t>TRIP04131</t>
  </si>
  <si>
    <t>TRIP04132</t>
  </si>
  <si>
    <t>TRIP04133</t>
  </si>
  <si>
    <t>TRIP04134</t>
  </si>
  <si>
    <t>TRIP04135</t>
  </si>
  <si>
    <t>TRIP04136</t>
  </si>
  <si>
    <t>TRIP04137</t>
  </si>
  <si>
    <t>TRIP04138</t>
  </si>
  <si>
    <t>TRIP04139</t>
  </si>
  <si>
    <t>TRIP04140</t>
  </si>
  <si>
    <t>TRIP04141</t>
  </si>
  <si>
    <t>TRIP04142</t>
  </si>
  <si>
    <t>TRIP04143</t>
  </si>
  <si>
    <t>TRIP04144</t>
  </si>
  <si>
    <t>TRIP04145</t>
  </si>
  <si>
    <t>TRIP04146</t>
  </si>
  <si>
    <t>TRIP04147</t>
  </si>
  <si>
    <t>TRIP04148</t>
  </si>
  <si>
    <t>TRIP04149</t>
  </si>
  <si>
    <t>TRIP04150</t>
  </si>
  <si>
    <t>TRIP04151</t>
  </si>
  <si>
    <t>TRIP04152</t>
  </si>
  <si>
    <t>TRIP04153</t>
  </si>
  <si>
    <t>TRIP04154</t>
  </si>
  <si>
    <t>TRIP04155</t>
  </si>
  <si>
    <t>TRIP04156</t>
  </si>
  <si>
    <t>TRIP04157</t>
  </si>
  <si>
    <t>TRIP04158</t>
  </si>
  <si>
    <t>TRIP04159</t>
  </si>
  <si>
    <t>TRIP04160</t>
  </si>
  <si>
    <t>TRIP04161</t>
  </si>
  <si>
    <t>TRIP04162</t>
  </si>
  <si>
    <t>TRIP04163</t>
  </si>
  <si>
    <t>TRIP04164</t>
  </si>
  <si>
    <t>TRIP04165</t>
  </si>
  <si>
    <t>TRIP04166</t>
  </si>
  <si>
    <t>TRIP04167</t>
  </si>
  <si>
    <t>TRIP04168</t>
  </si>
  <si>
    <t>TRIP04169</t>
  </si>
  <si>
    <t>TRIP04170</t>
  </si>
  <si>
    <t>TRIP04171</t>
  </si>
  <si>
    <t>TRIP04172</t>
  </si>
  <si>
    <t>TRIP04173</t>
  </si>
  <si>
    <t>TRIP04174</t>
  </si>
  <si>
    <t>TRIP04175</t>
  </si>
  <si>
    <t>TRIP04176</t>
  </si>
  <si>
    <t>TRIP04177</t>
  </si>
  <si>
    <t>TRIP04178</t>
  </si>
  <si>
    <t>TRIP04179</t>
  </si>
  <si>
    <t>TRIP04180</t>
  </si>
  <si>
    <t>TRIP04181</t>
  </si>
  <si>
    <t>TRIP04182</t>
  </si>
  <si>
    <t>TRIP04183</t>
  </si>
  <si>
    <t>TRIP04184</t>
  </si>
  <si>
    <t>TRIP04185</t>
  </si>
  <si>
    <t>TRIP04186</t>
  </si>
  <si>
    <t>TRIP04187</t>
  </si>
  <si>
    <t>TRIP04188</t>
  </si>
  <si>
    <t>TRIP04189</t>
  </si>
  <si>
    <t>TRIP04190</t>
  </si>
  <si>
    <t>TRIP04191</t>
  </si>
  <si>
    <t>TRIP04192</t>
  </si>
  <si>
    <t>TRIP04193</t>
  </si>
  <si>
    <t>TRIP04194</t>
  </si>
  <si>
    <t>TRIP04195</t>
  </si>
  <si>
    <t>TRIP04196</t>
  </si>
  <si>
    <t>TRIP04197</t>
  </si>
  <si>
    <t>TRIP04198</t>
  </si>
  <si>
    <t>TRIP04199</t>
  </si>
  <si>
    <t>TRIP04200</t>
  </si>
  <si>
    <t>TRIP04201</t>
  </si>
  <si>
    <t>TRIP04202</t>
  </si>
  <si>
    <t>TRIP04203</t>
  </si>
  <si>
    <t>TRIP04204</t>
  </si>
  <si>
    <t>TRIP04205</t>
  </si>
  <si>
    <t>TRIP04206</t>
  </si>
  <si>
    <t>TRIP04207</t>
  </si>
  <si>
    <t>TRIP04208</t>
  </si>
  <si>
    <t>TRIP04209</t>
  </si>
  <si>
    <t>TRIP04210</t>
  </si>
  <si>
    <t>TRIP04211</t>
  </si>
  <si>
    <t>TRIP04212</t>
  </si>
  <si>
    <t>TRIP04213</t>
  </si>
  <si>
    <t>TRIP04214</t>
  </si>
  <si>
    <t>TRIP04215</t>
  </si>
  <si>
    <t>TRIP04216</t>
  </si>
  <si>
    <t>TRIP04217</t>
  </si>
  <si>
    <t>TRIP04218</t>
  </si>
  <si>
    <t>TRIP04219</t>
  </si>
  <si>
    <t>TRIP04220</t>
  </si>
  <si>
    <t>TRIP04221</t>
  </si>
  <si>
    <t>TRIP04222</t>
  </si>
  <si>
    <t>TRIP04223</t>
  </si>
  <si>
    <t>TRIP04224</t>
  </si>
  <si>
    <t>TRIP04225</t>
  </si>
  <si>
    <t>TRIP04226</t>
  </si>
  <si>
    <t>TRIP04227</t>
  </si>
  <si>
    <t>TRIP04228</t>
  </si>
  <si>
    <t>TRIP04229</t>
  </si>
  <si>
    <t>TRIP04230</t>
  </si>
  <si>
    <t>TRIP04231</t>
  </si>
  <si>
    <t>TRIP04232</t>
  </si>
  <si>
    <t>TRIP04233</t>
  </si>
  <si>
    <t>TRIP04234</t>
  </si>
  <si>
    <t>TRIP04235</t>
  </si>
  <si>
    <t>TRIP04236</t>
  </si>
  <si>
    <t>TRIP04237</t>
  </si>
  <si>
    <t>TRIP04238</t>
  </si>
  <si>
    <t>TRIP04239</t>
  </si>
  <si>
    <t>TRIP04240</t>
  </si>
  <si>
    <t>TRIP04241</t>
  </si>
  <si>
    <t>TRIP04242</t>
  </si>
  <si>
    <t>TRIP04243</t>
  </si>
  <si>
    <t>TRIP04244</t>
  </si>
  <si>
    <t>TRIP04245</t>
  </si>
  <si>
    <t>TRIP04246</t>
  </si>
  <si>
    <t>TRIP04247</t>
  </si>
  <si>
    <t>TRIP04248</t>
  </si>
  <si>
    <t>TRIP04249</t>
  </si>
  <si>
    <t>TRIP04250</t>
  </si>
  <si>
    <t>TRIP04251</t>
  </si>
  <si>
    <t>TRIP04252</t>
  </si>
  <si>
    <t>TRIP04253</t>
  </si>
  <si>
    <t>TRIP04254</t>
  </si>
  <si>
    <t>TRIP04255</t>
  </si>
  <si>
    <t>TRIP04256</t>
  </si>
  <si>
    <t>TRIP04257</t>
  </si>
  <si>
    <t>TRIP04258</t>
  </si>
  <si>
    <t>TRIP04259</t>
  </si>
  <si>
    <t>TRIP04260</t>
  </si>
  <si>
    <t>TRIP04261</t>
  </si>
  <si>
    <t>TRIP04262</t>
  </si>
  <si>
    <t>TRIP04263</t>
  </si>
  <si>
    <t>TRIP04264</t>
  </si>
  <si>
    <t>TRIP04265</t>
  </si>
  <si>
    <t>TRIP04266</t>
  </si>
  <si>
    <t>TRIP04267</t>
  </si>
  <si>
    <t>TRIP04268</t>
  </si>
  <si>
    <t>TRIP04269</t>
  </si>
  <si>
    <t>TRIP04270</t>
  </si>
  <si>
    <t>TRIP04271</t>
  </si>
  <si>
    <t>TRIP04272</t>
  </si>
  <si>
    <t>TRIP04273</t>
  </si>
  <si>
    <t>TRIP04274</t>
  </si>
  <si>
    <t>TRIP04275</t>
  </si>
  <si>
    <t>TRIP04276</t>
  </si>
  <si>
    <t>TRIP04277</t>
  </si>
  <si>
    <t>TRIP04278</t>
  </si>
  <si>
    <t>TRIP04279</t>
  </si>
  <si>
    <t>TRIP04280</t>
  </si>
  <si>
    <t>TRIP04281</t>
  </si>
  <si>
    <t>TRIP04282</t>
  </si>
  <si>
    <t>TRIP04283</t>
  </si>
  <si>
    <t>TRIP04284</t>
  </si>
  <si>
    <t>TRIP04285</t>
  </si>
  <si>
    <t>TRIP04286</t>
  </si>
  <si>
    <t>TRIP04287</t>
  </si>
  <si>
    <t>TRIP04288</t>
  </si>
  <si>
    <t>TRIP04289</t>
  </si>
  <si>
    <t>TRIP04290</t>
  </si>
  <si>
    <t>TRIP04291</t>
  </si>
  <si>
    <t>TRIP04292</t>
  </si>
  <si>
    <t>TRIP04293</t>
  </si>
  <si>
    <t>TRIP04294</t>
  </si>
  <si>
    <t>TRIP04295</t>
  </si>
  <si>
    <t>TRIP04296</t>
  </si>
  <si>
    <t>TRIP04297</t>
  </si>
  <si>
    <t>TRIP04298</t>
  </si>
  <si>
    <t>TRIP04299</t>
  </si>
  <si>
    <t>TRIP04300</t>
  </si>
  <si>
    <t>TRIP04301</t>
  </si>
  <si>
    <t>TRIP04302</t>
  </si>
  <si>
    <t>TRIP04303</t>
  </si>
  <si>
    <t>TRIP04304</t>
  </si>
  <si>
    <t>TRIP04305</t>
  </si>
  <si>
    <t>TRIP04306</t>
  </si>
  <si>
    <t>TRIP04307</t>
  </si>
  <si>
    <t>TRIP04308</t>
  </si>
  <si>
    <t>TRIP04309</t>
  </si>
  <si>
    <t>TRIP04310</t>
  </si>
  <si>
    <t>TRIP04311</t>
  </si>
  <si>
    <t>TRIP04312</t>
  </si>
  <si>
    <t>TRIP04313</t>
  </si>
  <si>
    <t>TRIP04314</t>
  </si>
  <si>
    <t>TRIP04315</t>
  </si>
  <si>
    <t>TRIP04316</t>
  </si>
  <si>
    <t>TRIP04317</t>
  </si>
  <si>
    <t>TRIP04318</t>
  </si>
  <si>
    <t>TRIP04319</t>
  </si>
  <si>
    <t>TRIP04320</t>
  </si>
  <si>
    <t>TRIP04321</t>
  </si>
  <si>
    <t>TRIP04322</t>
  </si>
  <si>
    <t>TRIP04323</t>
  </si>
  <si>
    <t>TRIP04324</t>
  </si>
  <si>
    <t>TRIP04325</t>
  </si>
  <si>
    <t>TRIP04326</t>
  </si>
  <si>
    <t>TRIP04327</t>
  </si>
  <si>
    <t>TRIP04328</t>
  </si>
  <si>
    <t>TRIP04329</t>
  </si>
  <si>
    <t>TRIP04330</t>
  </si>
  <si>
    <t>TRIP04331</t>
  </si>
  <si>
    <t>TRIP04332</t>
  </si>
  <si>
    <t>TRIP04333</t>
  </si>
  <si>
    <t>TRIP04334</t>
  </si>
  <si>
    <t>TRIP04335</t>
  </si>
  <si>
    <t>TRIP04336</t>
  </si>
  <si>
    <t>TRIP04337</t>
  </si>
  <si>
    <t>TRIP04338</t>
  </si>
  <si>
    <t>TRIP04339</t>
  </si>
  <si>
    <t>TRIP04340</t>
  </si>
  <si>
    <t>TRIP04341</t>
  </si>
  <si>
    <t>TRIP04342</t>
  </si>
  <si>
    <t>TRIP04343</t>
  </si>
  <si>
    <t>TRIP04344</t>
  </si>
  <si>
    <t>TRIP04345</t>
  </si>
  <si>
    <t>TRIP04346</t>
  </si>
  <si>
    <t>TRIP04347</t>
  </si>
  <si>
    <t>TRIP04348</t>
  </si>
  <si>
    <t>TRIP04349</t>
  </si>
  <si>
    <t>TRIP04350</t>
  </si>
  <si>
    <t>TRIP04351</t>
  </si>
  <si>
    <t>TRIP04352</t>
  </si>
  <si>
    <t>TRIP04353</t>
  </si>
  <si>
    <t>TRIP04354</t>
  </si>
  <si>
    <t>TRIP04355</t>
  </si>
  <si>
    <t>TRIP04356</t>
  </si>
  <si>
    <t>TRIP04357</t>
  </si>
  <si>
    <t>TRIP04358</t>
  </si>
  <si>
    <t>TRIP04359</t>
  </si>
  <si>
    <t>TRIP04360</t>
  </si>
  <si>
    <t>TRIP04361</t>
  </si>
  <si>
    <t>TRIP04362</t>
  </si>
  <si>
    <t>TRIP04363</t>
  </si>
  <si>
    <t>TRIP04364</t>
  </si>
  <si>
    <t>TRIP04365</t>
  </si>
  <si>
    <t>TRIP04366</t>
  </si>
  <si>
    <t>TRIP04367</t>
  </si>
  <si>
    <t>TRIP04368</t>
  </si>
  <si>
    <t>TRIP04369</t>
  </si>
  <si>
    <t>TRIP04370</t>
  </si>
  <si>
    <t>TRIP04371</t>
  </si>
  <si>
    <t>TRIP04372</t>
  </si>
  <si>
    <t>TRIP04373</t>
  </si>
  <si>
    <t>TRIP04374</t>
  </si>
  <si>
    <t>TRIP04375</t>
  </si>
  <si>
    <t>TRIP04376</t>
  </si>
  <si>
    <t>TRIP04377</t>
  </si>
  <si>
    <t>TRIP04378</t>
  </si>
  <si>
    <t>TRIP04379</t>
  </si>
  <si>
    <t>TRIP04380</t>
  </si>
  <si>
    <t>TRIP04381</t>
  </si>
  <si>
    <t>TRIP04382</t>
  </si>
  <si>
    <t>TRIP04383</t>
  </si>
  <si>
    <t>TRIP04384</t>
  </si>
  <si>
    <t>TRIP04385</t>
  </si>
  <si>
    <t>TRIP04386</t>
  </si>
  <si>
    <t>TRIP04387</t>
  </si>
  <si>
    <t>TRIP04388</t>
  </si>
  <si>
    <t>TRIP04389</t>
  </si>
  <si>
    <t>TRIP04390</t>
  </si>
  <si>
    <t>TRIP04391</t>
  </si>
  <si>
    <t>TRIP04392</t>
  </si>
  <si>
    <t>TRIP04393</t>
  </si>
  <si>
    <t>TRIP04394</t>
  </si>
  <si>
    <t>TRIP04395</t>
  </si>
  <si>
    <t>TRIP04396</t>
  </si>
  <si>
    <t>TRIP04397</t>
  </si>
  <si>
    <t>TRIP04398</t>
  </si>
  <si>
    <t>TRIP04399</t>
  </si>
  <si>
    <t>TRIP04400</t>
  </si>
  <si>
    <t>TRIP04401</t>
  </si>
  <si>
    <t>TRIP04402</t>
  </si>
  <si>
    <t>TRIP04403</t>
  </si>
  <si>
    <t>TRIP04404</t>
  </si>
  <si>
    <t>TRIP04405</t>
  </si>
  <si>
    <t>TRIP04406</t>
  </si>
  <si>
    <t>TRIP04407</t>
  </si>
  <si>
    <t>TRIP04408</t>
  </si>
  <si>
    <t>TRIP04409</t>
  </si>
  <si>
    <t>TRIP04410</t>
  </si>
  <si>
    <t>TRIP04411</t>
  </si>
  <si>
    <t>TRIP04412</t>
  </si>
  <si>
    <t>TRIP04413</t>
  </si>
  <si>
    <t>TRIP04414</t>
  </si>
  <si>
    <t>TRIP04415</t>
  </si>
  <si>
    <t>TRIP04416</t>
  </si>
  <si>
    <t>TRIP04417</t>
  </si>
  <si>
    <t>TRIP04418</t>
  </si>
  <si>
    <t>TRIP04419</t>
  </si>
  <si>
    <t>TRIP04420</t>
  </si>
  <si>
    <t>TRIP04421</t>
  </si>
  <si>
    <t>TRIP04422</t>
  </si>
  <si>
    <t>TRIP04423</t>
  </si>
  <si>
    <t>TRIP04424</t>
  </si>
  <si>
    <t>TRIP04425</t>
  </si>
  <si>
    <t>TRIP04426</t>
  </si>
  <si>
    <t>TRIP04427</t>
  </si>
  <si>
    <t>TRIP04428</t>
  </si>
  <si>
    <t>TRIP04429</t>
  </si>
  <si>
    <t>TRIP04430</t>
  </si>
  <si>
    <t>TRIP04431</t>
  </si>
  <si>
    <t>TRIP04432</t>
  </si>
  <si>
    <t>TRIP04433</t>
  </si>
  <si>
    <t>TRIP04434</t>
  </si>
  <si>
    <t>TRIP04435</t>
  </si>
  <si>
    <t>TRIP04436</t>
  </si>
  <si>
    <t>TRIP04437</t>
  </si>
  <si>
    <t>TRIP04438</t>
  </si>
  <si>
    <t>TRIP04439</t>
  </si>
  <si>
    <t>TRIP04440</t>
  </si>
  <si>
    <t>TRIP04441</t>
  </si>
  <si>
    <t>TRIP04442</t>
  </si>
  <si>
    <t>TRIP04443</t>
  </si>
  <si>
    <t>TRIP04444</t>
  </si>
  <si>
    <t>TRIP04445</t>
  </si>
  <si>
    <t>TRIP04446</t>
  </si>
  <si>
    <t>TRIP04447</t>
  </si>
  <si>
    <t>TRIP04448</t>
  </si>
  <si>
    <t>TRIP04449</t>
  </si>
  <si>
    <t>TRIP04450</t>
  </si>
  <si>
    <t>TRIP04451</t>
  </si>
  <si>
    <t>TRIP04452</t>
  </si>
  <si>
    <t>TRIP04453</t>
  </si>
  <si>
    <t>TRIP04454</t>
  </si>
  <si>
    <t>TRIP04455</t>
  </si>
  <si>
    <t>TRIP04456</t>
  </si>
  <si>
    <t>TRIP04457</t>
  </si>
  <si>
    <t>TRIP04458</t>
  </si>
  <si>
    <t>TRIP04459</t>
  </si>
  <si>
    <t>TRIP04460</t>
  </si>
  <si>
    <t>TRIP04461</t>
  </si>
  <si>
    <t>TRIP04462</t>
  </si>
  <si>
    <t>TRIP04463</t>
  </si>
  <si>
    <t>TRIP04464</t>
  </si>
  <si>
    <t>TRIP04465</t>
  </si>
  <si>
    <t>TRIP04466</t>
  </si>
  <si>
    <t>TRIP04467</t>
  </si>
  <si>
    <t>TRIP04468</t>
  </si>
  <si>
    <t>TRIP04469</t>
  </si>
  <si>
    <t>TRIP04470</t>
  </si>
  <si>
    <t>TRIP04471</t>
  </si>
  <si>
    <t>TRIP04472</t>
  </si>
  <si>
    <t>TRIP04473</t>
  </si>
  <si>
    <t>TRIP04474</t>
  </si>
  <si>
    <t>TRIP04475</t>
  </si>
  <si>
    <t>TRIP04476</t>
  </si>
  <si>
    <t>TRIP04477</t>
  </si>
  <si>
    <t>TRIP04478</t>
  </si>
  <si>
    <t>TRIP04479</t>
  </si>
  <si>
    <t>TRIP04480</t>
  </si>
  <si>
    <t>TRIP04481</t>
  </si>
  <si>
    <t>TRIP04482</t>
  </si>
  <si>
    <t>TRIP04483</t>
  </si>
  <si>
    <t>TRIP04484</t>
  </si>
  <si>
    <t>TRIP04485</t>
  </si>
  <si>
    <t>TRIP04486</t>
  </si>
  <si>
    <t>TRIP04487</t>
  </si>
  <si>
    <t>TRIP04488</t>
  </si>
  <si>
    <t>TRIP04489</t>
  </si>
  <si>
    <t>TRIP04490</t>
  </si>
  <si>
    <t>TRIP04491</t>
  </si>
  <si>
    <t>TRIP04492</t>
  </si>
  <si>
    <t>TRIP04493</t>
  </si>
  <si>
    <t>TRIP04494</t>
  </si>
  <si>
    <t>TRIP04495</t>
  </si>
  <si>
    <t>TRIP04496</t>
  </si>
  <si>
    <t>TRIP04497</t>
  </si>
  <si>
    <t>TRIP04498</t>
  </si>
  <si>
    <t>TRIP04499</t>
  </si>
  <si>
    <t>TRIP04500</t>
  </si>
  <si>
    <t>TRIP04501</t>
  </si>
  <si>
    <t>TRIP04502</t>
  </si>
  <si>
    <t>TRIP04503</t>
  </si>
  <si>
    <t>TRIP04504</t>
  </si>
  <si>
    <t>TRIP04505</t>
  </si>
  <si>
    <t>TRIP04506</t>
  </si>
  <si>
    <t>TRIP04507</t>
  </si>
  <si>
    <t>TRIP04508</t>
  </si>
  <si>
    <t>TRIP04509</t>
  </si>
  <si>
    <t>TRIP04510</t>
  </si>
  <si>
    <t>TRIP04511</t>
  </si>
  <si>
    <t>TRIP04512</t>
  </si>
  <si>
    <t>TRIP04513</t>
  </si>
  <si>
    <t>TRIP04514</t>
  </si>
  <si>
    <t>TRIP04515</t>
  </si>
  <si>
    <t>TRIP04516</t>
  </si>
  <si>
    <t>TRIP04517</t>
  </si>
  <si>
    <t>TRIP04518</t>
  </si>
  <si>
    <t>TRIP04519</t>
  </si>
  <si>
    <t>TRIP04520</t>
  </si>
  <si>
    <t>TRIP04521</t>
  </si>
  <si>
    <t>TRIP04522</t>
  </si>
  <si>
    <t>TRIP04523</t>
  </si>
  <si>
    <t>TRIP04524</t>
  </si>
  <si>
    <t>TRIP04525</t>
  </si>
  <si>
    <t>TRIP04526</t>
  </si>
  <si>
    <t>TRIP04527</t>
  </si>
  <si>
    <t>TRIP04528</t>
  </si>
  <si>
    <t>TRIP04529</t>
  </si>
  <si>
    <t>TRIP04530</t>
  </si>
  <si>
    <t>TRIP04531</t>
  </si>
  <si>
    <t>TRIP04532</t>
  </si>
  <si>
    <t>TRIP04533</t>
  </si>
  <si>
    <t>TRIP04534</t>
  </si>
  <si>
    <t>TRIP04535</t>
  </si>
  <si>
    <t>TRIP04536</t>
  </si>
  <si>
    <t>TRIP04537</t>
  </si>
  <si>
    <t>TRIP04538</t>
  </si>
  <si>
    <t>TRIP04539</t>
  </si>
  <si>
    <t>TRIP04540</t>
  </si>
  <si>
    <t>TRIP04541</t>
  </si>
  <si>
    <t>TRIP04542</t>
  </si>
  <si>
    <t>TRIP04543</t>
  </si>
  <si>
    <t>TRIP04544</t>
  </si>
  <si>
    <t>TRIP04545</t>
  </si>
  <si>
    <t>TRIP04546</t>
  </si>
  <si>
    <t>TRIP04547</t>
  </si>
  <si>
    <t>TRIP04548</t>
  </si>
  <si>
    <t>TRIP04549</t>
  </si>
  <si>
    <t>TRIP04550</t>
  </si>
  <si>
    <t>TRIP04551</t>
  </si>
  <si>
    <t>TRIP04552</t>
  </si>
  <si>
    <t>TRIP04553</t>
  </si>
  <si>
    <t>TRIP04554</t>
  </si>
  <si>
    <t>TRIP04555</t>
  </si>
  <si>
    <t>TRIP04556</t>
  </si>
  <si>
    <t>TRIP04557</t>
  </si>
  <si>
    <t>TRIP04558</t>
  </si>
  <si>
    <t>TRIP04559</t>
  </si>
  <si>
    <t>TRIP04560</t>
  </si>
  <si>
    <t>TRIP04561</t>
  </si>
  <si>
    <t>TRIP04562</t>
  </si>
  <si>
    <t>TRIP04563</t>
  </si>
  <si>
    <t>TRIP04564</t>
  </si>
  <si>
    <t>TRIP04565</t>
  </si>
  <si>
    <t>TRIP04566</t>
  </si>
  <si>
    <t>TRIP04567</t>
  </si>
  <si>
    <t>TRIP04568</t>
  </si>
  <si>
    <t>TRIP04569</t>
  </si>
  <si>
    <t>TRIP04570</t>
  </si>
  <si>
    <t>TRIP04571</t>
  </si>
  <si>
    <t>TRIP04572</t>
  </si>
  <si>
    <t>TRIP04573</t>
  </si>
  <si>
    <t>TRIP04574</t>
  </si>
  <si>
    <t>TRIP04575</t>
  </si>
  <si>
    <t>TRIP04576</t>
  </si>
  <si>
    <t>TRIP04577</t>
  </si>
  <si>
    <t>TRIP04578</t>
  </si>
  <si>
    <t>TRIP04579</t>
  </si>
  <si>
    <t>TRIP04580</t>
  </si>
  <si>
    <t>TRIP04581</t>
  </si>
  <si>
    <t>TRIP04582</t>
  </si>
  <si>
    <t>TRIP04583</t>
  </si>
  <si>
    <t>TRIP04584</t>
  </si>
  <si>
    <t>TRIP04585</t>
  </si>
  <si>
    <t>TRIP04586</t>
  </si>
  <si>
    <t>TRIP04587</t>
  </si>
  <si>
    <t>TRIP04588</t>
  </si>
  <si>
    <t>TRIP04589</t>
  </si>
  <si>
    <t>TRIP04590</t>
  </si>
  <si>
    <t>TRIP04591</t>
  </si>
  <si>
    <t>TRIP04592</t>
  </si>
  <si>
    <t>TRIP04593</t>
  </si>
  <si>
    <t>TRIP04594</t>
  </si>
  <si>
    <t>TRIP04595</t>
  </si>
  <si>
    <t>TRIP04596</t>
  </si>
  <si>
    <t>TRIP04597</t>
  </si>
  <si>
    <t>TRIP04598</t>
  </si>
  <si>
    <t>TRIP04599</t>
  </si>
  <si>
    <t>TRIP04600</t>
  </si>
  <si>
    <t>TRIP04601</t>
  </si>
  <si>
    <t>TRIP04602</t>
  </si>
  <si>
    <t>TRIP04603</t>
  </si>
  <si>
    <t>TRIP04604</t>
  </si>
  <si>
    <t>TRIP04605</t>
  </si>
  <si>
    <t>TRIP04606</t>
  </si>
  <si>
    <t>TRIP04607</t>
  </si>
  <si>
    <t>TRIP04608</t>
  </si>
  <si>
    <t>TRIP04609</t>
  </si>
  <si>
    <t>TRIP04610</t>
  </si>
  <si>
    <t>TRIP04611</t>
  </si>
  <si>
    <t>TRIP04612</t>
  </si>
  <si>
    <t>TRIP04613</t>
  </si>
  <si>
    <t>TRIP04614</t>
  </si>
  <si>
    <t>TRIP04615</t>
  </si>
  <si>
    <t>TRIP04616</t>
  </si>
  <si>
    <t>TRIP04617</t>
  </si>
  <si>
    <t>TRIP04618</t>
  </si>
  <si>
    <t>TRIP04619</t>
  </si>
  <si>
    <t>TRIP04620</t>
  </si>
  <si>
    <t>TRIP04621</t>
  </si>
  <si>
    <t>TRIP04622</t>
  </si>
  <si>
    <t>TRIP04623</t>
  </si>
  <si>
    <t>TRIP04624</t>
  </si>
  <si>
    <t>TRIP04625</t>
  </si>
  <si>
    <t>TRIP04626</t>
  </si>
  <si>
    <t>TRIP04627</t>
  </si>
  <si>
    <t>TRIP04628</t>
  </si>
  <si>
    <t>TRIP04629</t>
  </si>
  <si>
    <t>TRIP04630</t>
  </si>
  <si>
    <t>TRIP04631</t>
  </si>
  <si>
    <t>TRIP04632</t>
  </si>
  <si>
    <t>TRIP04633</t>
  </si>
  <si>
    <t>TRIP04634</t>
  </si>
  <si>
    <t>TRIP04635</t>
  </si>
  <si>
    <t>TRIP04636</t>
  </si>
  <si>
    <t>TRIP04637</t>
  </si>
  <si>
    <t>TRIP04638</t>
  </si>
  <si>
    <t>TRIP04639</t>
  </si>
  <si>
    <t>TRIP04640</t>
  </si>
  <si>
    <t>TRIP04641</t>
  </si>
  <si>
    <t>TRIP04642</t>
  </si>
  <si>
    <t>TRIP04643</t>
  </si>
  <si>
    <t>TRIP04644</t>
  </si>
  <si>
    <t>TRIP04645</t>
  </si>
  <si>
    <t>TRIP04646</t>
  </si>
  <si>
    <t>TRIP04647</t>
  </si>
  <si>
    <t>TRIP04648</t>
  </si>
  <si>
    <t>TRIP04649</t>
  </si>
  <si>
    <t>TRIP04650</t>
  </si>
  <si>
    <t>TRIP04651</t>
  </si>
  <si>
    <t>TRIP04652</t>
  </si>
  <si>
    <t>TRIP04653</t>
  </si>
  <si>
    <t>TRIP04654</t>
  </si>
  <si>
    <t>TRIP04655</t>
  </si>
  <si>
    <t>TRIP04656</t>
  </si>
  <si>
    <t>TRIP04657</t>
  </si>
  <si>
    <t>TRIP04658</t>
  </si>
  <si>
    <t>TRIP04659</t>
  </si>
  <si>
    <t>TRIP04660</t>
  </si>
  <si>
    <t>TRIP04661</t>
  </si>
  <si>
    <t>TRIP04662</t>
  </si>
  <si>
    <t>TRIP04663</t>
  </si>
  <si>
    <t>TRIP04664</t>
  </si>
  <si>
    <t>TRIP04665</t>
  </si>
  <si>
    <t>TRIP04666</t>
  </si>
  <si>
    <t>TRIP04667</t>
  </si>
  <si>
    <t>TRIP04668</t>
  </si>
  <si>
    <t>TRIP04669</t>
  </si>
  <si>
    <t>TRIP04670</t>
  </si>
  <si>
    <t>TRIP04671</t>
  </si>
  <si>
    <t>TRIP04672</t>
  </si>
  <si>
    <t>TRIP04673</t>
  </si>
  <si>
    <t>TRIP04674</t>
  </si>
  <si>
    <t>TRIP04675</t>
  </si>
  <si>
    <t>TRIP04676</t>
  </si>
  <si>
    <t>TRIP04677</t>
  </si>
  <si>
    <t>TRIP04678</t>
  </si>
  <si>
    <t>TRIP04679</t>
  </si>
  <si>
    <t>TRIP04680</t>
  </si>
  <si>
    <t>TRIP04681</t>
  </si>
  <si>
    <t>TRIP04682</t>
  </si>
  <si>
    <t>TRIP04683</t>
  </si>
  <si>
    <t>TRIP04684</t>
  </si>
  <si>
    <t>TRIP04685</t>
  </si>
  <si>
    <t>TRIP04686</t>
  </si>
  <si>
    <t>TRIP04687</t>
  </si>
  <si>
    <t>TRIP04688</t>
  </si>
  <si>
    <t>TRIP04689</t>
  </si>
  <si>
    <t>TRIP04690</t>
  </si>
  <si>
    <t>TRIP04691</t>
  </si>
  <si>
    <t>TRIP04692</t>
  </si>
  <si>
    <t>TRIP04693</t>
  </si>
  <si>
    <t>TRIP04694</t>
  </si>
  <si>
    <t>TRIP04695</t>
  </si>
  <si>
    <t>TRIP04696</t>
  </si>
  <si>
    <t>TRIP04697</t>
  </si>
  <si>
    <t>TRIP04698</t>
  </si>
  <si>
    <t>TRIP04699</t>
  </si>
  <si>
    <t>TRIP04700</t>
  </si>
  <si>
    <t>TRIP04701</t>
  </si>
  <si>
    <t>TRIP04702</t>
  </si>
  <si>
    <t>TRIP04703</t>
  </si>
  <si>
    <t>TRIP04704</t>
  </si>
  <si>
    <t>TRIP04705</t>
  </si>
  <si>
    <t>TRIP04706</t>
  </si>
  <si>
    <t>TRIP04707</t>
  </si>
  <si>
    <t>TRIP04708</t>
  </si>
  <si>
    <t>TRIP04709</t>
  </si>
  <si>
    <t>TRIP04710</t>
  </si>
  <si>
    <t>TRIP04711</t>
  </si>
  <si>
    <t>TRIP04712</t>
  </si>
  <si>
    <t>TRIP04713</t>
  </si>
  <si>
    <t>TRIP04714</t>
  </si>
  <si>
    <t>TRIP04715</t>
  </si>
  <si>
    <t>TRIP04716</t>
  </si>
  <si>
    <t>TRIP04717</t>
  </si>
  <si>
    <t>TRIP04718</t>
  </si>
  <si>
    <t>TRIP04719</t>
  </si>
  <si>
    <t>TRIP04720</t>
  </si>
  <si>
    <t>TRIP04721</t>
  </si>
  <si>
    <t>TRIP04722</t>
  </si>
  <si>
    <t>TRIP04723</t>
  </si>
  <si>
    <t>TRIP04724</t>
  </si>
  <si>
    <t>TRIP04725</t>
  </si>
  <si>
    <t>TRIP04726</t>
  </si>
  <si>
    <t>TRIP04727</t>
  </si>
  <si>
    <t>TRIP04728</t>
  </si>
  <si>
    <t>TRIP04729</t>
  </si>
  <si>
    <t>TRIP04730</t>
  </si>
  <si>
    <t>TRIP04731</t>
  </si>
  <si>
    <t>TRIP04732</t>
  </si>
  <si>
    <t>TRIP04733</t>
  </si>
  <si>
    <t>TRIP04734</t>
  </si>
  <si>
    <t>TRIP04735</t>
  </si>
  <si>
    <t>TRIP04736</t>
  </si>
  <si>
    <t>TRIP04737</t>
  </si>
  <si>
    <t>TRIP04738</t>
  </si>
  <si>
    <t>TRIP04739</t>
  </si>
  <si>
    <t>TRIP04740</t>
  </si>
  <si>
    <t>TRIP04741</t>
  </si>
  <si>
    <t>TRIP04742</t>
  </si>
  <si>
    <t>TRIP04743</t>
  </si>
  <si>
    <t>TRIP04744</t>
  </si>
  <si>
    <t>TRIP04745</t>
  </si>
  <si>
    <t>TRIP04746</t>
  </si>
  <si>
    <t>TRIP04747</t>
  </si>
  <si>
    <t>TRIP04748</t>
  </si>
  <si>
    <t>TRIP04749</t>
  </si>
  <si>
    <t>TRIP04750</t>
  </si>
  <si>
    <t>TRIP04751</t>
  </si>
  <si>
    <t>TRIP04752</t>
  </si>
  <si>
    <t>TRIP04753</t>
  </si>
  <si>
    <t>TRIP04754</t>
  </si>
  <si>
    <t>TRIP04755</t>
  </si>
  <si>
    <t>TRIP04756</t>
  </si>
  <si>
    <t>TRIP04757</t>
  </si>
  <si>
    <t>TRIP04758</t>
  </si>
  <si>
    <t>TRIP04759</t>
  </si>
  <si>
    <t>TRIP04760</t>
  </si>
  <si>
    <t>TRIP04761</t>
  </si>
  <si>
    <t>TRIP04762</t>
  </si>
  <si>
    <t>TRIP04763</t>
  </si>
  <si>
    <t>TRIP04764</t>
  </si>
  <si>
    <t>TRIP04765</t>
  </si>
  <si>
    <t>TRIP04766</t>
  </si>
  <si>
    <t>TRIP04767</t>
  </si>
  <si>
    <t>TRIP04768</t>
  </si>
  <si>
    <t>TRIP04769</t>
  </si>
  <si>
    <t>TRIP04770</t>
  </si>
  <si>
    <t>TRIP04771</t>
  </si>
  <si>
    <t>TRIP04772</t>
  </si>
  <si>
    <t>TRIP04773</t>
  </si>
  <si>
    <t>TRIP04774</t>
  </si>
  <si>
    <t>TRIP04775</t>
  </si>
  <si>
    <t>TRIP04776</t>
  </si>
  <si>
    <t>TRIP04777</t>
  </si>
  <si>
    <t>TRIP04778</t>
  </si>
  <si>
    <t>TRIP04779</t>
  </si>
  <si>
    <t>TRIP04780</t>
  </si>
  <si>
    <t>TRIP04781</t>
  </si>
  <si>
    <t>TRIP04782</t>
  </si>
  <si>
    <t>TRIP04783</t>
  </si>
  <si>
    <t>TRIP04784</t>
  </si>
  <si>
    <t>TRIP04785</t>
  </si>
  <si>
    <t>TRIP04786</t>
  </si>
  <si>
    <t>TRIP04787</t>
  </si>
  <si>
    <t>TRIP04788</t>
  </si>
  <si>
    <t>TRIP04789</t>
  </si>
  <si>
    <t>TRIP04790</t>
  </si>
  <si>
    <t>TRIP04791</t>
  </si>
  <si>
    <t>TRIP04792</t>
  </si>
  <si>
    <t>TRIP04793</t>
  </si>
  <si>
    <t>TRIP04794</t>
  </si>
  <si>
    <t>TRIP04795</t>
  </si>
  <si>
    <t>TRIP04796</t>
  </si>
  <si>
    <t>TRIP04797</t>
  </si>
  <si>
    <t>TRIP04798</t>
  </si>
  <si>
    <t>TRIP04799</t>
  </si>
  <si>
    <t>TRIP04800</t>
  </si>
  <si>
    <t>TRIP04801</t>
  </si>
  <si>
    <t>TRIP04802</t>
  </si>
  <si>
    <t>TRIP04803</t>
  </si>
  <si>
    <t>TRIP04804</t>
  </si>
  <si>
    <t>TRIP04805</t>
  </si>
  <si>
    <t>TRIP04806</t>
  </si>
  <si>
    <t>TRIP04807</t>
  </si>
  <si>
    <t>TRIP04808</t>
  </si>
  <si>
    <t>TRIP04809</t>
  </si>
  <si>
    <t>TRIP04810</t>
  </si>
  <si>
    <t>TRIP04811</t>
  </si>
  <si>
    <t>TRIP04812</t>
  </si>
  <si>
    <t>TRIP04813</t>
  </si>
  <si>
    <t>TRIP04814</t>
  </si>
  <si>
    <t>TRIP04815</t>
  </si>
  <si>
    <t>TRIP04816</t>
  </si>
  <si>
    <t>TRIP04817</t>
  </si>
  <si>
    <t>TRIP04818</t>
  </si>
  <si>
    <t>TRIP04819</t>
  </si>
  <si>
    <t>TRIP04820</t>
  </si>
  <si>
    <t>TRIP04821</t>
  </si>
  <si>
    <t>TRIP04822</t>
  </si>
  <si>
    <t>TRIP04823</t>
  </si>
  <si>
    <t>TRIP04824</t>
  </si>
  <si>
    <t>TRIP04825</t>
  </si>
  <si>
    <t>TRIP04826</t>
  </si>
  <si>
    <t>TRIP04827</t>
  </si>
  <si>
    <t>TRIP04828</t>
  </si>
  <si>
    <t>TRIP04829</t>
  </si>
  <si>
    <t>TRIP04830</t>
  </si>
  <si>
    <t>TRIP04831</t>
  </si>
  <si>
    <t>TRIP04832</t>
  </si>
  <si>
    <t>TRIP04833</t>
  </si>
  <si>
    <t>TRIP04834</t>
  </si>
  <si>
    <t>TRIP04835</t>
  </si>
  <si>
    <t>TRIP04836</t>
  </si>
  <si>
    <t>TRIP04837</t>
  </si>
  <si>
    <t>TRIP04838</t>
  </si>
  <si>
    <t>TRIP04839</t>
  </si>
  <si>
    <t>TRIP04840</t>
  </si>
  <si>
    <t>TRIP04841</t>
  </si>
  <si>
    <t>TRIP04842</t>
  </si>
  <si>
    <t>TRIP04843</t>
  </si>
  <si>
    <t>TRIP04844</t>
  </si>
  <si>
    <t>TRIP04845</t>
  </si>
  <si>
    <t>TRIP04846</t>
  </si>
  <si>
    <t>TRIP04847</t>
  </si>
  <si>
    <t>TRIP04848</t>
  </si>
  <si>
    <t>TRIP04849</t>
  </si>
  <si>
    <t>TRIP04850</t>
  </si>
  <si>
    <t>TRIP04851</t>
  </si>
  <si>
    <t>TRIP04852</t>
  </si>
  <si>
    <t>TRIP04853</t>
  </si>
  <si>
    <t>TRIP04854</t>
  </si>
  <si>
    <t>TRIP04855</t>
  </si>
  <si>
    <t>TRIP04856</t>
  </si>
  <si>
    <t>TRIP04857</t>
  </si>
  <si>
    <t>TRIP04858</t>
  </si>
  <si>
    <t>TRIP04859</t>
  </si>
  <si>
    <t>TRIP04860</t>
  </si>
  <si>
    <t>TRIP04861</t>
  </si>
  <si>
    <t>TRIP04862</t>
  </si>
  <si>
    <t>TRIP04863</t>
  </si>
  <si>
    <t>TRIP04864</t>
  </si>
  <si>
    <t>TRIP04865</t>
  </si>
  <si>
    <t>TRIP04866</t>
  </si>
  <si>
    <t>TRIP04867</t>
  </si>
  <si>
    <t>TRIP04868</t>
  </si>
  <si>
    <t>TRIP04869</t>
  </si>
  <si>
    <t>TRIP04870</t>
  </si>
  <si>
    <t>TRIP04871</t>
  </si>
  <si>
    <t>TRIP04872</t>
  </si>
  <si>
    <t>TRIP04873</t>
  </si>
  <si>
    <t>TRIP04874</t>
  </si>
  <si>
    <t>TRIP04875</t>
  </si>
  <si>
    <t>TRIP04876</t>
  </si>
  <si>
    <t>TRIP04877</t>
  </si>
  <si>
    <t>TRIP04878</t>
  </si>
  <si>
    <t>TRIP04879</t>
  </si>
  <si>
    <t>TRIP04880</t>
  </si>
  <si>
    <t>TRIP04881</t>
  </si>
  <si>
    <t>TRIP04882</t>
  </si>
  <si>
    <t>TRIP04883</t>
  </si>
  <si>
    <t>TRIP04884</t>
  </si>
  <si>
    <t>TRIP04885</t>
  </si>
  <si>
    <t>TRIP04886</t>
  </si>
  <si>
    <t>TRIP04887</t>
  </si>
  <si>
    <t>TRIP04888</t>
  </si>
  <si>
    <t>TRIP04889</t>
  </si>
  <si>
    <t>TRIP04890</t>
  </si>
  <si>
    <t>TRIP04891</t>
  </si>
  <si>
    <t>TRIP04892</t>
  </si>
  <si>
    <t>TRIP04893</t>
  </si>
  <si>
    <t>TRIP04894</t>
  </si>
  <si>
    <t>TRIP04895</t>
  </si>
  <si>
    <t>TRIP04896</t>
  </si>
  <si>
    <t>TRIP04897</t>
  </si>
  <si>
    <t>TRIP04898</t>
  </si>
  <si>
    <t>TRIP04899</t>
  </si>
  <si>
    <t>TRIP04900</t>
  </si>
  <si>
    <t>TRIP04901</t>
  </si>
  <si>
    <t>TRIP04902</t>
  </si>
  <si>
    <t>TRIP04903</t>
  </si>
  <si>
    <t>TRIP04904</t>
  </si>
  <si>
    <t>TRIP04905</t>
  </si>
  <si>
    <t>TRIP04906</t>
  </si>
  <si>
    <t>TRIP04907</t>
  </si>
  <si>
    <t>TRIP04908</t>
  </si>
  <si>
    <t>TRIP04909</t>
  </si>
  <si>
    <t>TRIP04910</t>
  </si>
  <si>
    <t>TRIP04911</t>
  </si>
  <si>
    <t>TRIP04912</t>
  </si>
  <si>
    <t>TRIP04913</t>
  </si>
  <si>
    <t>TRIP04914</t>
  </si>
  <si>
    <t>TRIP04915</t>
  </si>
  <si>
    <t>TRIP04916</t>
  </si>
  <si>
    <t>TRIP04917</t>
  </si>
  <si>
    <t>TRIP04918</t>
  </si>
  <si>
    <t>TRIP04919</t>
  </si>
  <si>
    <t>TRIP04920</t>
  </si>
  <si>
    <t>TRIP04921</t>
  </si>
  <si>
    <t>TRIP04922</t>
  </si>
  <si>
    <t>TRIP04923</t>
  </si>
  <si>
    <t>TRIP04924</t>
  </si>
  <si>
    <t>TRIP04925</t>
  </si>
  <si>
    <t>TRIP04926</t>
  </si>
  <si>
    <t>TRIP04927</t>
  </si>
  <si>
    <t>TRIP04928</t>
  </si>
  <si>
    <t>TRIP04929</t>
  </si>
  <si>
    <t>TRIP04930</t>
  </si>
  <si>
    <t>TRIP04931</t>
  </si>
  <si>
    <t>TRIP04932</t>
  </si>
  <si>
    <t>TRIP04933</t>
  </si>
  <si>
    <t>TRIP04934</t>
  </si>
  <si>
    <t>TRIP04935</t>
  </si>
  <si>
    <t>TRIP04936</t>
  </si>
  <si>
    <t>TRIP04937</t>
  </si>
  <si>
    <t>TRIP04938</t>
  </si>
  <si>
    <t>TRIP04939</t>
  </si>
  <si>
    <t>TRIP04940</t>
  </si>
  <si>
    <t>TRIP04941</t>
  </si>
  <si>
    <t>TRIP04942</t>
  </si>
  <si>
    <t>TRIP04943</t>
  </si>
  <si>
    <t>TRIP04944</t>
  </si>
  <si>
    <t>TRIP04945</t>
  </si>
  <si>
    <t>TRIP04946</t>
  </si>
  <si>
    <t>TRIP04947</t>
  </si>
  <si>
    <t>TRIP04948</t>
  </si>
  <si>
    <t>TRIP04949</t>
  </si>
  <si>
    <t>TRIP04950</t>
  </si>
  <si>
    <t>TRIP04951</t>
  </si>
  <si>
    <t>TRIP04952</t>
  </si>
  <si>
    <t>TRIP04953</t>
  </si>
  <si>
    <t>TRIP04954</t>
  </si>
  <si>
    <t>TRIP04955</t>
  </si>
  <si>
    <t>TRIP04956</t>
  </si>
  <si>
    <t>TRIP04957</t>
  </si>
  <si>
    <t>TRIP04958</t>
  </si>
  <si>
    <t>TRIP04959</t>
  </si>
  <si>
    <t>TRIP04960</t>
  </si>
  <si>
    <t>TRIP04961</t>
  </si>
  <si>
    <t>TRIP04962</t>
  </si>
  <si>
    <t>TRIP04963</t>
  </si>
  <si>
    <t>TRIP04964</t>
  </si>
  <si>
    <t>TRIP04965</t>
  </si>
  <si>
    <t>TRIP04966</t>
  </si>
  <si>
    <t>TRIP04967</t>
  </si>
  <si>
    <t>TRIP04968</t>
  </si>
  <si>
    <t>TRIP04969</t>
  </si>
  <si>
    <t>TRIP04970</t>
  </si>
  <si>
    <t>TRIP04971</t>
  </si>
  <si>
    <t>TRIP04972</t>
  </si>
  <si>
    <t>TRIP04973</t>
  </si>
  <si>
    <t>TRIP04974</t>
  </si>
  <si>
    <t>TRIP04975</t>
  </si>
  <si>
    <t>TRIP04976</t>
  </si>
  <si>
    <t>TRIP04977</t>
  </si>
  <si>
    <t>TRIP04978</t>
  </si>
  <si>
    <t>TRIP04979</t>
  </si>
  <si>
    <t>TRIP04980</t>
  </si>
  <si>
    <t>TRIP04981</t>
  </si>
  <si>
    <t>TRIP04982</t>
  </si>
  <si>
    <t>TRIP04983</t>
  </si>
  <si>
    <t>TRIP04984</t>
  </si>
  <si>
    <t>TRIP04985</t>
  </si>
  <si>
    <t>TRIP04986</t>
  </si>
  <si>
    <t>TRIP04987</t>
  </si>
  <si>
    <t>TRIP04988</t>
  </si>
  <si>
    <t>TRIP04989</t>
  </si>
  <si>
    <t>TRIP04990</t>
  </si>
  <si>
    <t>TRIP04991</t>
  </si>
  <si>
    <t>TRIP04992</t>
  </si>
  <si>
    <t>TRIP04993</t>
  </si>
  <si>
    <t>TRIP04994</t>
  </si>
  <si>
    <t>TRIP04995</t>
  </si>
  <si>
    <t>TRIP04996</t>
  </si>
  <si>
    <t>TRIP04997</t>
  </si>
  <si>
    <t>TRIP04998</t>
  </si>
  <si>
    <t>TRIP04999</t>
  </si>
  <si>
    <t>TRIP05000</t>
  </si>
  <si>
    <t>Count of Trip_ID</t>
  </si>
  <si>
    <t>Row Labels</t>
  </si>
  <si>
    <t>Grand Total</t>
  </si>
  <si>
    <t>Sum of Total_Fare</t>
  </si>
  <si>
    <t>Total_trip</t>
  </si>
  <si>
    <t>Total_revenue</t>
  </si>
  <si>
    <t>Average_Trip_Distance</t>
  </si>
  <si>
    <t>Average_Customer_Rating</t>
  </si>
  <si>
    <t>Highest_Fare</t>
  </si>
  <si>
    <t>Lowest_Fare</t>
  </si>
  <si>
    <t>Average_Fare_per_trip</t>
  </si>
  <si>
    <t>Average of Total_Fare</t>
  </si>
  <si>
    <t>Jan</t>
  </si>
  <si>
    <t>Feb</t>
  </si>
  <si>
    <t>Mar</t>
  </si>
  <si>
    <t>Apr</t>
  </si>
  <si>
    <t>May</t>
  </si>
  <si>
    <t>Jun</t>
  </si>
  <si>
    <t>Jul</t>
  </si>
  <si>
    <t>Aug</t>
  </si>
  <si>
    <t>Sep</t>
  </si>
  <si>
    <t>Oct</t>
  </si>
  <si>
    <t>Nov</t>
  </si>
  <si>
    <t>Dec</t>
  </si>
  <si>
    <t>Uber Trip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</si>
</sst>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409]h:mm\ AM/PM;@"/>
    <numFmt numFmtId="166" formatCode="[$₹-4009]\ #,##0.00"/>
    <numFmt numFmtId="167" formatCode="[$₹-4009]\ #,##0;[Red][$₹-4009]\ #,##0"/>
  </numFmts>
  <fonts count="3" x14ac:knownFonts="1">
    <font>
      <sz val="11"/>
      <color theme="1"/>
      <name val="Aptos Narrow"/>
      <family val="2"/>
      <scheme val="minor"/>
    </font>
    <font>
      <b/>
      <sz val="11"/>
      <color theme="1"/>
      <name val="Aptos Narrow"/>
      <family val="2"/>
      <scheme val="minor"/>
    </font>
    <font>
      <b/>
      <sz val="48"/>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64" fontId="0" fillId="0" borderId="0" xfId="0" applyNumberFormat="1"/>
    <xf numFmtId="2"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2" fontId="0" fillId="2" borderId="1" xfId="0" applyNumberFormat="1" applyFill="1" applyBorder="1"/>
    <xf numFmtId="167" fontId="0" fillId="0" borderId="0" xfId="0" applyNumberFormat="1"/>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166" formatCode="[$₹-4009]\ #,##0.00"/>
    </dxf>
    <dxf>
      <numFmt numFmtId="166" formatCode="[$₹-4009]\ #,##0.00"/>
    </dxf>
    <dxf>
      <numFmt numFmtId="165" formatCode="[$-409]h:mm\ AM/PM;@"/>
    </dxf>
    <dxf>
      <numFmt numFmtId="2" formatCode="0.00"/>
    </dxf>
    <dxf>
      <numFmt numFmtId="0" formatCode="General"/>
    </dxf>
    <dxf>
      <numFmt numFmtId="0" formatCode="General"/>
    </dxf>
    <dxf>
      <numFmt numFmtId="164" formatCode="yyyy\-mm\-d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Trip Analysis.xlsx]Sheet2!PivotTable27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Count of Trip_ID</c:v>
                </c:pt>
              </c:strCache>
            </c:strRef>
          </c:tx>
          <c:spPr>
            <a:solidFill>
              <a:schemeClr val="accent1"/>
            </a:solidFill>
            <a:ln>
              <a:noFill/>
            </a:ln>
            <a:effectLst/>
          </c:spPr>
          <c:invertIfNegative val="0"/>
          <c:cat>
            <c:strRef>
              <c:f>Sheet2!$D$4:$D$9</c:f>
              <c:strCache>
                <c:ptCount val="5"/>
                <c:pt idx="0">
                  <c:v>Bangalore</c:v>
                </c:pt>
                <c:pt idx="1">
                  <c:v>Chennai</c:v>
                </c:pt>
                <c:pt idx="2">
                  <c:v>Delhi</c:v>
                </c:pt>
                <c:pt idx="3">
                  <c:v>Kolkata</c:v>
                </c:pt>
                <c:pt idx="4">
                  <c:v>Mumbai</c:v>
                </c:pt>
              </c:strCache>
            </c:strRef>
          </c:cat>
          <c:val>
            <c:numRef>
              <c:f>Sheet2!$E$4:$E$9</c:f>
              <c:numCache>
                <c:formatCode>General</c:formatCode>
                <c:ptCount val="5"/>
                <c:pt idx="0">
                  <c:v>1033</c:v>
                </c:pt>
                <c:pt idx="1">
                  <c:v>959</c:v>
                </c:pt>
                <c:pt idx="2">
                  <c:v>995</c:v>
                </c:pt>
                <c:pt idx="3">
                  <c:v>1027</c:v>
                </c:pt>
                <c:pt idx="4">
                  <c:v>986</c:v>
                </c:pt>
              </c:numCache>
            </c:numRef>
          </c:val>
          <c:extLst>
            <c:ext xmlns:c16="http://schemas.microsoft.com/office/drawing/2014/chart" uri="{C3380CC4-5D6E-409C-BE32-E72D297353CC}">
              <c16:uniqueId val="{00000000-1A6B-4136-A4DF-1023C4B3A49E}"/>
            </c:ext>
          </c:extLst>
        </c:ser>
        <c:ser>
          <c:idx val="1"/>
          <c:order val="1"/>
          <c:tx>
            <c:strRef>
              <c:f>Sheet2!$F$3</c:f>
              <c:strCache>
                <c:ptCount val="1"/>
                <c:pt idx="0">
                  <c:v>Average of Total_Fare</c:v>
                </c:pt>
              </c:strCache>
            </c:strRef>
          </c:tx>
          <c:spPr>
            <a:solidFill>
              <a:schemeClr val="accent2"/>
            </a:solidFill>
            <a:ln>
              <a:noFill/>
            </a:ln>
            <a:effectLst/>
          </c:spPr>
          <c:invertIfNegative val="0"/>
          <c:cat>
            <c:strRef>
              <c:f>Sheet2!$D$4:$D$9</c:f>
              <c:strCache>
                <c:ptCount val="5"/>
                <c:pt idx="0">
                  <c:v>Bangalore</c:v>
                </c:pt>
                <c:pt idx="1">
                  <c:v>Chennai</c:v>
                </c:pt>
                <c:pt idx="2">
                  <c:v>Delhi</c:v>
                </c:pt>
                <c:pt idx="3">
                  <c:v>Kolkata</c:v>
                </c:pt>
                <c:pt idx="4">
                  <c:v>Mumbai</c:v>
                </c:pt>
              </c:strCache>
            </c:strRef>
          </c:cat>
          <c:val>
            <c:numRef>
              <c:f>Sheet2!$F$4:$F$9</c:f>
              <c:numCache>
                <c:formatCode>[$₹-4009]\ #,##0.00</c:formatCode>
                <c:ptCount val="5"/>
                <c:pt idx="0">
                  <c:v>340.71180058083286</c:v>
                </c:pt>
                <c:pt idx="1">
                  <c:v>338.89250260688215</c:v>
                </c:pt>
                <c:pt idx="2">
                  <c:v>329.46910552763802</c:v>
                </c:pt>
                <c:pt idx="3">
                  <c:v>328.21237585199663</c:v>
                </c:pt>
                <c:pt idx="4">
                  <c:v>338.45705882352934</c:v>
                </c:pt>
              </c:numCache>
            </c:numRef>
          </c:val>
          <c:extLst>
            <c:ext xmlns:c16="http://schemas.microsoft.com/office/drawing/2014/chart" uri="{C3380CC4-5D6E-409C-BE32-E72D297353CC}">
              <c16:uniqueId val="{00000002-1A6B-4136-A4DF-1023C4B3A49E}"/>
            </c:ext>
          </c:extLst>
        </c:ser>
        <c:dLbls>
          <c:showLegendKey val="0"/>
          <c:showVal val="0"/>
          <c:showCatName val="0"/>
          <c:showSerName val="0"/>
          <c:showPercent val="0"/>
          <c:showBubbleSize val="0"/>
        </c:dLbls>
        <c:gapWidth val="219"/>
        <c:axId val="1692186496"/>
        <c:axId val="1692186976"/>
      </c:barChart>
      <c:catAx>
        <c:axId val="169218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186976"/>
        <c:crosses val="autoZero"/>
        <c:auto val="1"/>
        <c:lblAlgn val="ctr"/>
        <c:lblOffset val="100"/>
        <c:noMultiLvlLbl val="0"/>
      </c:catAx>
      <c:valAx>
        <c:axId val="16921869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18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Trip Analysis.xlsx]Sheet2!PivotTable28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Sheet2!$E$19</c:f>
              <c:strCache>
                <c:ptCount val="1"/>
                <c:pt idx="0">
                  <c:v>Total</c:v>
                </c:pt>
              </c:strCache>
            </c:strRef>
          </c:tx>
          <c:spPr>
            <a:ln w="28575" cap="rnd">
              <a:solidFill>
                <a:schemeClr val="accent1"/>
              </a:solidFill>
              <a:round/>
            </a:ln>
            <a:effectLst/>
          </c:spPr>
          <c:marker>
            <c:symbol val="none"/>
          </c:marker>
          <c:cat>
            <c:strRef>
              <c:f>Sheet2!$D$20:$D$32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Sheet2!$E$20:$E$32</c:f>
              <c:numCache>
                <c:formatCode>General</c:formatCode>
                <c:ptCount val="12"/>
                <c:pt idx="0">
                  <c:v>400</c:v>
                </c:pt>
                <c:pt idx="1">
                  <c:v>374</c:v>
                </c:pt>
                <c:pt idx="2">
                  <c:v>428</c:v>
                </c:pt>
                <c:pt idx="3">
                  <c:v>404</c:v>
                </c:pt>
                <c:pt idx="4">
                  <c:v>412</c:v>
                </c:pt>
                <c:pt idx="5">
                  <c:v>416</c:v>
                </c:pt>
                <c:pt idx="6">
                  <c:v>395</c:v>
                </c:pt>
                <c:pt idx="7">
                  <c:v>461</c:v>
                </c:pt>
                <c:pt idx="8">
                  <c:v>421</c:v>
                </c:pt>
                <c:pt idx="9">
                  <c:v>422</c:v>
                </c:pt>
                <c:pt idx="10">
                  <c:v>435</c:v>
                </c:pt>
                <c:pt idx="11">
                  <c:v>432</c:v>
                </c:pt>
              </c:numCache>
            </c:numRef>
          </c:val>
          <c:smooth val="0"/>
          <c:extLst>
            <c:ext xmlns:c16="http://schemas.microsoft.com/office/drawing/2014/chart" uri="{C3380CC4-5D6E-409C-BE32-E72D297353CC}">
              <c16:uniqueId val="{00000000-C737-4F75-B4E3-414011F9B08D}"/>
            </c:ext>
          </c:extLst>
        </c:ser>
        <c:dLbls>
          <c:showLegendKey val="0"/>
          <c:showVal val="0"/>
          <c:showCatName val="0"/>
          <c:showSerName val="0"/>
          <c:showPercent val="0"/>
          <c:showBubbleSize val="0"/>
        </c:dLbls>
        <c:smooth val="0"/>
        <c:axId val="1748667808"/>
        <c:axId val="1748668288"/>
      </c:lineChart>
      <c:catAx>
        <c:axId val="17486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668288"/>
        <c:crosses val="autoZero"/>
        <c:auto val="1"/>
        <c:lblAlgn val="ctr"/>
        <c:lblOffset val="100"/>
        <c:noMultiLvlLbl val="0"/>
      </c:catAx>
      <c:valAx>
        <c:axId val="174866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66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Trip Analysis.xlsx]Sheet2!PivotTable34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chemeClr val="accent1"/>
            </a:solidFill>
            <a:ln>
              <a:noFill/>
            </a:ln>
            <a:effectLst/>
          </c:spPr>
          <c:invertIfNegative val="0"/>
          <c:cat>
            <c:strRef>
              <c:f>Sheet2!$I$4:$I$9</c:f>
              <c:strCache>
                <c:ptCount val="5"/>
                <c:pt idx="0">
                  <c:v>Bangalore</c:v>
                </c:pt>
                <c:pt idx="1">
                  <c:v>Chennai</c:v>
                </c:pt>
                <c:pt idx="2">
                  <c:v>Delhi</c:v>
                </c:pt>
                <c:pt idx="3">
                  <c:v>Kolkata</c:v>
                </c:pt>
                <c:pt idx="4">
                  <c:v>Mumbai</c:v>
                </c:pt>
              </c:strCache>
            </c:strRef>
          </c:cat>
          <c:val>
            <c:numRef>
              <c:f>Sheet2!$J$4:$J$9</c:f>
              <c:numCache>
                <c:formatCode>[$₹-4009]\ #,##0;[Red][$₹-4009]\ #,##0</c:formatCode>
                <c:ptCount val="5"/>
                <c:pt idx="0">
                  <c:v>351955.29000000033</c:v>
                </c:pt>
                <c:pt idx="1">
                  <c:v>324997.90999999997</c:v>
                </c:pt>
                <c:pt idx="2">
                  <c:v>327821.75999999983</c:v>
                </c:pt>
                <c:pt idx="3">
                  <c:v>337074.11000000051</c:v>
                </c:pt>
                <c:pt idx="4">
                  <c:v>333718.65999999992</c:v>
                </c:pt>
              </c:numCache>
            </c:numRef>
          </c:val>
          <c:extLst>
            <c:ext xmlns:c16="http://schemas.microsoft.com/office/drawing/2014/chart" uri="{C3380CC4-5D6E-409C-BE32-E72D297353CC}">
              <c16:uniqueId val="{00000000-0371-42C5-94BC-83ECA1ADB184}"/>
            </c:ext>
          </c:extLst>
        </c:ser>
        <c:dLbls>
          <c:showLegendKey val="0"/>
          <c:showVal val="0"/>
          <c:showCatName val="0"/>
          <c:showSerName val="0"/>
          <c:showPercent val="0"/>
          <c:showBubbleSize val="0"/>
        </c:dLbls>
        <c:gapWidth val="182"/>
        <c:axId val="1752288672"/>
        <c:axId val="1752286272"/>
      </c:barChart>
      <c:catAx>
        <c:axId val="175228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86272"/>
        <c:crosses val="autoZero"/>
        <c:auto val="1"/>
        <c:lblAlgn val="ctr"/>
        <c:lblOffset val="100"/>
        <c:noMultiLvlLbl val="0"/>
      </c:catAx>
      <c:valAx>
        <c:axId val="1752286272"/>
        <c:scaling>
          <c:orientation val="minMax"/>
        </c:scaling>
        <c:delete val="0"/>
        <c:axPos val="b"/>
        <c:majorGridlines>
          <c:spPr>
            <a:ln w="9525" cap="flat" cmpd="sng" algn="ctr">
              <a:solidFill>
                <a:schemeClr val="tx1">
                  <a:lumMod val="15000"/>
                  <a:lumOff val="85000"/>
                </a:schemeClr>
              </a:solidFill>
              <a:round/>
            </a:ln>
            <a:effectLst/>
          </c:spPr>
        </c:majorGridlines>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8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Trip Analysis.xlsx]Sheet2!PivotTable41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Sheet2!$J$20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158-4A1E-9DD8-8094936C16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E158-4A1E-9DD8-8094936C16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158-4A1E-9DD8-8094936C16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E158-4A1E-9DD8-8094936C165C}"/>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58-4A1E-9DD8-8094936C165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58-4A1E-9DD8-8094936C165C}"/>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58-4A1E-9DD8-8094936C165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58-4A1E-9DD8-8094936C16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Sheet2!$I$21:$I$25</c:f>
              <c:strCache>
                <c:ptCount val="4"/>
                <c:pt idx="0">
                  <c:v>Card</c:v>
                </c:pt>
                <c:pt idx="1">
                  <c:v>Cash</c:v>
                </c:pt>
                <c:pt idx="2">
                  <c:v>UPI</c:v>
                </c:pt>
                <c:pt idx="3">
                  <c:v>Wallet</c:v>
                </c:pt>
              </c:strCache>
            </c:strRef>
          </c:cat>
          <c:val>
            <c:numRef>
              <c:f>Sheet2!$J$21:$J$25</c:f>
              <c:numCache>
                <c:formatCode>[$₹-4009]\ #,##0.00</c:formatCode>
                <c:ptCount val="4"/>
                <c:pt idx="0">
                  <c:v>396724.35000000056</c:v>
                </c:pt>
                <c:pt idx="1">
                  <c:v>411099.17000000068</c:v>
                </c:pt>
                <c:pt idx="2">
                  <c:v>439297.13000000064</c:v>
                </c:pt>
                <c:pt idx="3">
                  <c:v>428447.08</c:v>
                </c:pt>
              </c:numCache>
            </c:numRef>
          </c:val>
          <c:extLst>
            <c:ext xmlns:c16="http://schemas.microsoft.com/office/drawing/2014/chart" uri="{C3380CC4-5D6E-409C-BE32-E72D297353CC}">
              <c16:uniqueId val="{00000000-E158-4A1E-9DD8-8094936C16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fif"/><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30480</xdr:colOff>
      <xdr:row>2</xdr:row>
      <xdr:rowOff>22859</xdr:rowOff>
    </xdr:from>
    <xdr:to>
      <xdr:col>7</xdr:col>
      <xdr:colOff>1082040</xdr:colOff>
      <xdr:row>8</xdr:row>
      <xdr:rowOff>167640</xdr:rowOff>
    </xdr:to>
    <mc:AlternateContent xmlns:mc="http://schemas.openxmlformats.org/markup-compatibility/2006" xmlns:a14="http://schemas.microsoft.com/office/drawing/2010/main">
      <mc:Choice Requires="a14">
        <xdr:graphicFrame macro="">
          <xdr:nvGraphicFramePr>
            <xdr:cNvPr id="4" name="Pickup_City">
              <a:extLst>
                <a:ext uri="{FF2B5EF4-FFF2-40B4-BE49-F238E27FC236}">
                  <a16:creationId xmlns:a16="http://schemas.microsoft.com/office/drawing/2014/main" id="{3D3BA489-D285-4A71-457C-38AA407A66BA}"/>
                </a:ext>
              </a:extLst>
            </xdr:cNvPr>
            <xdr:cNvGraphicFramePr/>
          </xdr:nvGraphicFramePr>
          <xdr:xfrm>
            <a:off x="0" y="0"/>
            <a:ext cx="0" cy="0"/>
          </xdr:xfrm>
          <a:graphic>
            <a:graphicData uri="http://schemas.microsoft.com/office/drawing/2010/slicer">
              <sle:slicer xmlns:sle="http://schemas.microsoft.com/office/drawing/2010/slicer" name="Pickup_City"/>
            </a:graphicData>
          </a:graphic>
        </xdr:graphicFrame>
      </mc:Choice>
      <mc:Fallback xmlns="">
        <xdr:sp macro="" textlink="">
          <xdr:nvSpPr>
            <xdr:cNvPr id="0" name=""/>
            <xdr:cNvSpPr>
              <a:spLocks noTextEdit="1"/>
            </xdr:cNvSpPr>
          </xdr:nvSpPr>
          <xdr:spPr>
            <a:xfrm>
              <a:off x="5417820" y="769619"/>
              <a:ext cx="1905000" cy="1242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160020</xdr:colOff>
      <xdr:row>8</xdr:row>
      <xdr:rowOff>152400</xdr:rowOff>
    </xdr:from>
    <xdr:to>
      <xdr:col>7</xdr:col>
      <xdr:colOff>1082040</xdr:colOff>
      <xdr:row>17</xdr:row>
      <xdr:rowOff>167640</xdr:rowOff>
    </xdr:to>
    <xdr:graphicFrame macro="">
      <xdr:nvGraphicFramePr>
        <xdr:cNvPr id="2" name="Chart 1">
          <a:extLst>
            <a:ext uri="{FF2B5EF4-FFF2-40B4-BE49-F238E27FC236}">
              <a16:creationId xmlns:a16="http://schemas.microsoft.com/office/drawing/2014/main" id="{3E9F87AA-6C96-FCEF-C81B-3966A35A8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160020</xdr:rowOff>
    </xdr:from>
    <xdr:to>
      <xdr:col>7</xdr:col>
      <xdr:colOff>1082040</xdr:colOff>
      <xdr:row>32</xdr:row>
      <xdr:rowOff>22860</xdr:rowOff>
    </xdr:to>
    <xdr:graphicFrame macro="">
      <xdr:nvGraphicFramePr>
        <xdr:cNvPr id="5" name="Chart 4">
          <a:extLst>
            <a:ext uri="{FF2B5EF4-FFF2-40B4-BE49-F238E27FC236}">
              <a16:creationId xmlns:a16="http://schemas.microsoft.com/office/drawing/2014/main" id="{37F0166C-8946-4EF1-51CA-F19D023AC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9</xdr:row>
      <xdr:rowOff>22860</xdr:rowOff>
    </xdr:from>
    <xdr:to>
      <xdr:col>12</xdr:col>
      <xdr:colOff>419100</xdr:colOff>
      <xdr:row>19</xdr:row>
      <xdr:rowOff>0</xdr:rowOff>
    </xdr:to>
    <xdr:graphicFrame macro="">
      <xdr:nvGraphicFramePr>
        <xdr:cNvPr id="6" name="Chart 5">
          <a:extLst>
            <a:ext uri="{FF2B5EF4-FFF2-40B4-BE49-F238E27FC236}">
              <a16:creationId xmlns:a16="http://schemas.microsoft.com/office/drawing/2014/main" id="{B8BD9D94-F6AB-CAB1-B263-E79AE350A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15240</xdr:colOff>
      <xdr:row>2</xdr:row>
      <xdr:rowOff>15239</xdr:rowOff>
    </xdr:from>
    <xdr:to>
      <xdr:col>12</xdr:col>
      <xdr:colOff>411480</xdr:colOff>
      <xdr:row>9</xdr:row>
      <xdr:rowOff>0</xdr:rowOff>
    </xdr:to>
    <mc:AlternateContent xmlns:mc="http://schemas.openxmlformats.org/markup-compatibility/2006" xmlns:a14="http://schemas.microsoft.com/office/drawing/2010/main">
      <mc:Choice Requires="a14">
        <xdr:graphicFrame macro="">
          <xdr:nvGraphicFramePr>
            <xdr:cNvPr id="7" name="Pickup_City 1">
              <a:extLst>
                <a:ext uri="{FF2B5EF4-FFF2-40B4-BE49-F238E27FC236}">
                  <a16:creationId xmlns:a16="http://schemas.microsoft.com/office/drawing/2014/main" id="{B5F0ED64-73C9-C3A7-2475-6091CD29827E}"/>
                </a:ext>
              </a:extLst>
            </xdr:cNvPr>
            <xdr:cNvGraphicFramePr/>
          </xdr:nvGraphicFramePr>
          <xdr:xfrm>
            <a:off x="0" y="0"/>
            <a:ext cx="0" cy="0"/>
          </xdr:xfrm>
          <a:graphic>
            <a:graphicData uri="http://schemas.microsoft.com/office/drawing/2010/slicer">
              <sle:slicer xmlns:sle="http://schemas.microsoft.com/office/drawing/2010/slicer" name="Pickup_City 1"/>
            </a:graphicData>
          </a:graphic>
        </xdr:graphicFrame>
      </mc:Choice>
      <mc:Fallback xmlns="">
        <xdr:sp macro="" textlink="">
          <xdr:nvSpPr>
            <xdr:cNvPr id="0" name=""/>
            <xdr:cNvSpPr>
              <a:spLocks noTextEdit="1"/>
            </xdr:cNvSpPr>
          </xdr:nvSpPr>
          <xdr:spPr>
            <a:xfrm>
              <a:off x="9425940" y="761999"/>
              <a:ext cx="2522220" cy="1264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30480</xdr:colOff>
      <xdr:row>19</xdr:row>
      <xdr:rowOff>30480</xdr:rowOff>
    </xdr:from>
    <xdr:to>
      <xdr:col>12</xdr:col>
      <xdr:colOff>411480</xdr:colOff>
      <xdr:row>33</xdr:row>
      <xdr:rowOff>15240</xdr:rowOff>
    </xdr:to>
    <xdr:graphicFrame macro="">
      <xdr:nvGraphicFramePr>
        <xdr:cNvPr id="8" name="Chart 7">
          <a:extLst>
            <a:ext uri="{FF2B5EF4-FFF2-40B4-BE49-F238E27FC236}">
              <a16:creationId xmlns:a16="http://schemas.microsoft.com/office/drawing/2014/main" id="{41BCFD56-0B5E-E4B8-33B3-F6F6F0818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xdr:colOff>
      <xdr:row>0</xdr:row>
      <xdr:rowOff>0</xdr:rowOff>
    </xdr:from>
    <xdr:to>
      <xdr:col>3</xdr:col>
      <xdr:colOff>274320</xdr:colOff>
      <xdr:row>2</xdr:row>
      <xdr:rowOff>0</xdr:rowOff>
    </xdr:to>
    <xdr:pic>
      <xdr:nvPicPr>
        <xdr:cNvPr id="10" name="Picture 9">
          <a:extLst>
            <a:ext uri="{FF2B5EF4-FFF2-40B4-BE49-F238E27FC236}">
              <a16:creationId xmlns:a16="http://schemas.microsoft.com/office/drawing/2014/main" id="{7F6FA665-0BA6-3488-2CD2-4C89A805EC0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240" y="0"/>
          <a:ext cx="2560320" cy="746760"/>
        </a:xfrm>
        <a:prstGeom prst="rect">
          <a:avLst/>
        </a:prstGeom>
      </xdr:spPr>
    </xdr:pic>
    <xdr:clientData/>
  </xdr:twoCellAnchor>
  <xdr:twoCellAnchor editAs="oneCell">
    <xdr:from>
      <xdr:col>10</xdr:col>
      <xdr:colOff>7621</xdr:colOff>
      <xdr:row>0</xdr:row>
      <xdr:rowOff>0</xdr:rowOff>
    </xdr:from>
    <xdr:to>
      <xdr:col>13</xdr:col>
      <xdr:colOff>12705</xdr:colOff>
      <xdr:row>1</xdr:row>
      <xdr:rowOff>548640</xdr:rowOff>
    </xdr:to>
    <xdr:pic>
      <xdr:nvPicPr>
        <xdr:cNvPr id="12" name="Picture 11">
          <a:extLst>
            <a:ext uri="{FF2B5EF4-FFF2-40B4-BE49-F238E27FC236}">
              <a16:creationId xmlns:a16="http://schemas.microsoft.com/office/drawing/2014/main" id="{920BB4C6-5584-EDE8-C167-E20E31FAD63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418321" y="0"/>
          <a:ext cx="2565404" cy="7315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va" refreshedDate="46111.795405671299" createdVersion="8" refreshedVersion="8" minRefreshableVersion="3" recordCount="5000" xr:uid="{39A2CD59-1C94-478A-B191-6835343E6035}">
  <cacheSource type="worksheet">
    <worksheetSource name="uber_trip_analysis_5000_rows"/>
  </cacheSource>
  <cacheFields count="14">
    <cacheField name="Trip_ID" numFmtId="0">
      <sharedItems/>
    </cacheField>
    <cacheField name="Date" numFmtId="164">
      <sharedItems containsSemiMixedTypes="0" containsNonDate="0" containsDate="1" containsString="0" minDate="2025-01-01T00:00:00" maxDate="2026-01-01T00:00:00" count="365">
        <d v="2025-04-13T00:00:00"/>
        <d v="2025-08-03T00:00:00"/>
        <d v="2025-11-05T00:00:00"/>
        <d v="2025-06-10T00:00:00"/>
        <d v="2025-06-19T00:00:00"/>
        <d v="2025-02-20T00:00:00"/>
        <d v="2025-01-21T00:00:00"/>
        <d v="2025-09-22T00:00:00"/>
        <d v="2025-09-21T00:00:00"/>
        <d v="2025-02-23T00:00:00"/>
        <d v="2025-07-21T00:00:00"/>
        <d v="2025-09-09T00:00:00"/>
        <d v="2025-10-07T00:00:00"/>
        <d v="2025-10-28T00:00:00"/>
        <d v="2025-03-04T00:00:00"/>
        <d v="2025-08-19T00:00:00"/>
        <d v="2025-02-17T00:00:00"/>
        <d v="2025-02-04T00:00:00"/>
        <d v="2025-09-12T00:00:00"/>
        <d v="2025-06-28T00:00:00"/>
        <d v="2025-08-31T00:00:00"/>
        <d v="2025-10-11T00:00:00"/>
        <d v="2025-12-14T00:00:00"/>
        <d v="2025-04-26T00:00:00"/>
        <d v="2025-06-14T00:00:00"/>
        <d v="2025-04-06T00:00:00"/>
        <d v="2025-10-22T00:00:00"/>
        <d v="2025-01-02T00:00:00"/>
        <d v="2025-05-06T00:00:00"/>
        <d v="2025-07-22T00:00:00"/>
        <d v="2025-07-17T00:00:00"/>
        <d v="2025-11-22T00:00:00"/>
        <d v="2025-05-27T00:00:00"/>
        <d v="2025-12-04T00:00:00"/>
        <d v="2025-10-25T00:00:00"/>
        <d v="2025-01-09T00:00:00"/>
        <d v="2025-04-30T00:00:00"/>
        <d v="2025-12-06T00:00:00"/>
        <d v="2025-10-16T00:00:00"/>
        <d v="2025-05-08T00:00:00"/>
        <d v="2025-06-07T00:00:00"/>
        <d v="2025-10-04T00:00:00"/>
        <d v="2025-10-31T00:00:00"/>
        <d v="2025-12-15T00:00:00"/>
        <d v="2025-09-10T00:00:00"/>
        <d v="2025-08-11T00:00:00"/>
        <d v="2025-12-08T00:00:00"/>
        <d v="2025-10-26T00:00:00"/>
        <d v="2025-01-13T00:00:00"/>
        <d v="2025-05-22T00:00:00"/>
        <d v="2025-12-16T00:00:00"/>
        <d v="2025-04-16T00:00:00"/>
        <d v="2025-12-12T00:00:00"/>
        <d v="2025-05-09T00:00:00"/>
        <d v="2025-03-30T00:00:00"/>
        <d v="2025-03-10T00:00:00"/>
        <d v="2025-03-27T00:00:00"/>
        <d v="2025-07-23T00:00:00"/>
        <d v="2025-08-10T00:00:00"/>
        <d v="2025-01-04T00:00:00"/>
        <d v="2025-04-11T00:00:00"/>
        <d v="2025-01-12T00:00:00"/>
        <d v="2025-03-31T00:00:00"/>
        <d v="2025-07-15T00:00:00"/>
        <d v="2025-06-26T00:00:00"/>
        <d v="2025-07-09T00:00:00"/>
        <d v="2025-12-27T00:00:00"/>
        <d v="2025-07-06T00:00:00"/>
        <d v="2025-05-24T00:00:00"/>
        <d v="2025-05-02T00:00:00"/>
        <d v="2025-06-17T00:00:00"/>
        <d v="2025-12-05T00:00:00"/>
        <d v="2025-08-05T00:00:00"/>
        <d v="2025-07-01T00:00:00"/>
        <d v="2025-05-21T00:00:00"/>
        <d v="2025-11-08T00:00:00"/>
        <d v="2025-11-13T00:00:00"/>
        <d v="2025-08-15T00:00:00"/>
        <d v="2025-01-01T00:00:00"/>
        <d v="2025-11-26T00:00:00"/>
        <d v="2025-12-23T00:00:00"/>
        <d v="2025-07-31T00:00:00"/>
        <d v="2025-03-23T00:00:00"/>
        <d v="2025-08-30T00:00:00"/>
        <d v="2025-08-12T00:00:00"/>
        <d v="2025-10-10T00:00:00"/>
        <d v="2025-11-07T00:00:00"/>
        <d v="2025-01-23T00:00:00"/>
        <d v="2025-02-03T00:00:00"/>
        <d v="2025-09-16T00:00:00"/>
        <d v="2025-09-08T00:00:00"/>
        <d v="2025-03-07T00:00:00"/>
        <d v="2025-04-08T00:00:00"/>
        <d v="2025-06-15T00:00:00"/>
        <d v="2025-05-13T00:00:00"/>
        <d v="2025-04-21T00:00:00"/>
        <d v="2025-12-26T00:00:00"/>
        <d v="2025-03-02T00:00:00"/>
        <d v="2025-01-22T00:00:00"/>
        <d v="2025-03-19T00:00:00"/>
        <d v="2025-08-27T00:00:00"/>
        <d v="2025-09-14T00:00:00"/>
        <d v="2025-08-02T00:00:00"/>
        <d v="2025-01-14T00:00:00"/>
        <d v="2025-04-29T00:00:00"/>
        <d v="2025-08-21T00:00:00"/>
        <d v="2025-08-24T00:00:00"/>
        <d v="2025-11-11T00:00:00"/>
        <d v="2025-03-11T00:00:00"/>
        <d v="2025-06-01T00:00:00"/>
        <d v="2025-04-04T00:00:00"/>
        <d v="2025-01-26T00:00:00"/>
        <d v="2025-02-07T00:00:00"/>
        <d v="2025-06-27T00:00:00"/>
        <d v="2025-05-10T00:00:00"/>
        <d v="2025-11-30T00:00:00"/>
        <d v="2025-10-23T00:00:00"/>
        <d v="2025-09-27T00:00:00"/>
        <d v="2025-03-03T00:00:00"/>
        <d v="2025-04-14T00:00:00"/>
        <d v="2025-06-02T00:00:00"/>
        <d v="2025-02-08T00:00:00"/>
        <d v="2025-01-15T00:00:00"/>
        <d v="2025-06-08T00:00:00"/>
        <d v="2025-09-18T00:00:00"/>
        <d v="2025-08-06T00:00:00"/>
        <d v="2025-06-20T00:00:00"/>
        <d v="2025-05-07T00:00:00"/>
        <d v="2025-04-20T00:00:00"/>
        <d v="2025-05-29T00:00:00"/>
        <d v="2025-10-18T00:00:00"/>
        <d v="2025-12-13T00:00:00"/>
        <d v="2025-01-25T00:00:00"/>
        <d v="2025-05-30T00:00:00"/>
        <d v="2025-02-01T00:00:00"/>
        <d v="2025-01-18T00:00:00"/>
        <d v="2025-04-24T00:00:00"/>
        <d v="2025-12-25T00:00:00"/>
        <d v="2025-03-28T00:00:00"/>
        <d v="2025-09-04T00:00:00"/>
        <d v="2025-09-20T00:00:00"/>
        <d v="2025-07-07T00:00:00"/>
        <d v="2025-07-14T00:00:00"/>
        <d v="2025-08-14T00:00:00"/>
        <d v="2025-04-25T00:00:00"/>
        <d v="2025-09-03T00:00:00"/>
        <d v="2025-08-25T00:00:00"/>
        <d v="2025-06-30T00:00:00"/>
        <d v="2025-06-13T00:00:00"/>
        <d v="2025-06-03T00:00:00"/>
        <d v="2025-04-12T00:00:00"/>
        <d v="2025-01-17T00:00:00"/>
        <d v="2025-07-19T00:00:00"/>
        <d v="2025-11-24T00:00:00"/>
        <d v="2025-05-11T00:00:00"/>
        <d v="2025-04-18T00:00:00"/>
        <d v="2025-09-26T00:00:00"/>
        <d v="2025-01-29T00:00:00"/>
        <d v="2025-03-06T00:00:00"/>
        <d v="2025-05-26T00:00:00"/>
        <d v="2025-11-01T00:00:00"/>
        <d v="2025-04-09T00:00:00"/>
        <d v="2025-05-03T00:00:00"/>
        <d v="2025-02-09T00:00:00"/>
        <d v="2025-06-04T00:00:00"/>
        <d v="2025-01-31T00:00:00"/>
        <d v="2025-12-10T00:00:00"/>
        <d v="2025-07-12T00:00:00"/>
        <d v="2025-10-12T00:00:00"/>
        <d v="2025-02-02T00:00:00"/>
        <d v="2025-01-27T00:00:00"/>
        <d v="2025-02-27T00:00:00"/>
        <d v="2025-05-25T00:00:00"/>
        <d v="2025-11-16T00:00:00"/>
        <d v="2025-03-17T00:00:00"/>
        <d v="2025-11-14T00:00:00"/>
        <d v="2025-11-10T00:00:00"/>
        <d v="2025-08-26T00:00:00"/>
        <d v="2025-10-27T00:00:00"/>
        <d v="2025-02-28T00:00:00"/>
        <d v="2025-07-26T00:00:00"/>
        <d v="2025-01-24T00:00:00"/>
        <d v="2025-02-19T00:00:00"/>
        <d v="2025-08-16T00:00:00"/>
        <d v="2025-07-05T00:00:00"/>
        <d v="2025-08-13T00:00:00"/>
        <d v="2025-11-12T00:00:00"/>
        <d v="2025-03-21T00:00:00"/>
        <d v="2025-04-17T00:00:00"/>
        <d v="2025-10-21T00:00:00"/>
        <d v="2025-01-08T00:00:00"/>
        <d v="2025-02-22T00:00:00"/>
        <d v="2025-01-19T00:00:00"/>
        <d v="2025-07-18T00:00:00"/>
        <d v="2025-08-09T00:00:00"/>
        <d v="2025-10-19T00:00:00"/>
        <d v="2025-06-05T00:00:00"/>
        <d v="2025-03-18T00:00:00"/>
        <d v="2025-02-05T00:00:00"/>
        <d v="2025-12-28T00:00:00"/>
        <d v="2025-04-10T00:00:00"/>
        <d v="2025-03-26T00:00:00"/>
        <d v="2025-04-19T00:00:00"/>
        <d v="2025-12-19T00:00:00"/>
        <d v="2025-01-05T00:00:00"/>
        <d v="2025-01-03T00:00:00"/>
        <d v="2025-09-06T00:00:00"/>
        <d v="2025-06-12T00:00:00"/>
        <d v="2025-09-23T00:00:00"/>
        <d v="2025-11-17T00:00:00"/>
        <d v="2025-03-09T00:00:00"/>
        <d v="2025-09-11T00:00:00"/>
        <d v="2025-03-24T00:00:00"/>
        <d v="2025-04-02T00:00:00"/>
        <d v="2025-06-22T00:00:00"/>
        <d v="2025-11-04T00:00:00"/>
        <d v="2025-08-20T00:00:00"/>
        <d v="2025-03-20T00:00:00"/>
        <d v="2025-05-19T00:00:00"/>
        <d v="2025-08-08T00:00:00"/>
        <d v="2025-02-18T00:00:00"/>
        <d v="2025-01-10T00:00:00"/>
        <d v="2025-06-21T00:00:00"/>
        <d v="2025-09-15T00:00:00"/>
        <d v="2025-03-29T00:00:00"/>
        <d v="2025-07-10T00:00:00"/>
        <d v="2025-07-28T00:00:00"/>
        <d v="2025-05-12T00:00:00"/>
        <d v="2025-11-06T00:00:00"/>
        <d v="2025-01-20T00:00:00"/>
        <d v="2025-12-02T00:00:00"/>
        <d v="2025-11-15T00:00:00"/>
        <d v="2025-04-28T00:00:00"/>
        <d v="2025-12-22T00:00:00"/>
        <d v="2025-02-26T00:00:00"/>
        <d v="2025-09-05T00:00:00"/>
        <d v="2025-12-07T00:00:00"/>
        <d v="2025-05-05T00:00:00"/>
        <d v="2025-05-18T00:00:00"/>
        <d v="2025-08-01T00:00:00"/>
        <d v="2025-02-13T00:00:00"/>
        <d v="2025-10-24T00:00:00"/>
        <d v="2025-10-29T00:00:00"/>
        <d v="2025-07-30T00:00:00"/>
        <d v="2025-02-10T00:00:00"/>
        <d v="2025-07-20T00:00:00"/>
        <d v="2025-04-27T00:00:00"/>
        <d v="2025-12-21T00:00:00"/>
        <d v="2025-04-01T00:00:00"/>
        <d v="2025-10-02T00:00:00"/>
        <d v="2025-05-04T00:00:00"/>
        <d v="2025-09-25T00:00:00"/>
        <d v="2025-11-20T00:00:00"/>
        <d v="2025-11-28T00:00:00"/>
        <d v="2025-04-03T00:00:00"/>
        <d v="2025-08-29T00:00:00"/>
        <d v="2025-12-09T00:00:00"/>
        <d v="2025-03-25T00:00:00"/>
        <d v="2025-12-01T00:00:00"/>
        <d v="2025-11-09T00:00:00"/>
        <d v="2025-01-07T00:00:00"/>
        <d v="2025-12-29T00:00:00"/>
        <d v="2025-09-02T00:00:00"/>
        <d v="2025-09-30T00:00:00"/>
        <d v="2025-05-20T00:00:00"/>
        <d v="2025-06-24T00:00:00"/>
        <d v="2025-07-27T00:00:00"/>
        <d v="2025-07-03T00:00:00"/>
        <d v="2025-04-23T00:00:00"/>
        <d v="2025-09-17T00:00:00"/>
        <d v="2025-05-01T00:00:00"/>
        <d v="2025-11-03T00:00:00"/>
        <d v="2025-02-14T00:00:00"/>
        <d v="2025-10-15T00:00:00"/>
        <d v="2025-02-21T00:00:00"/>
        <d v="2025-08-23T00:00:00"/>
        <d v="2025-06-09T00:00:00"/>
        <d v="2025-04-15T00:00:00"/>
        <d v="2025-10-09T00:00:00"/>
        <d v="2025-11-19T00:00:00"/>
        <d v="2025-11-02T00:00:00"/>
        <d v="2025-02-16T00:00:00"/>
        <d v="2025-06-16T00:00:00"/>
        <d v="2025-09-28T00:00:00"/>
        <d v="2025-05-31T00:00:00"/>
        <d v="2025-04-07T00:00:00"/>
        <d v="2025-08-07T00:00:00"/>
        <d v="2025-03-14T00:00:00"/>
        <d v="2025-12-24T00:00:00"/>
        <d v="2025-02-15T00:00:00"/>
        <d v="2025-05-14T00:00:00"/>
        <d v="2025-06-11T00:00:00"/>
        <d v="2025-05-17T00:00:00"/>
        <d v="2025-12-20T00:00:00"/>
        <d v="2025-12-30T00:00:00"/>
        <d v="2025-03-01T00:00:00"/>
        <d v="2025-07-16T00:00:00"/>
        <d v="2025-03-16T00:00:00"/>
        <d v="2025-04-22T00:00:00"/>
        <d v="2025-10-20T00:00:00"/>
        <d v="2025-08-04T00:00:00"/>
        <d v="2025-01-11T00:00:00"/>
        <d v="2025-08-17T00:00:00"/>
        <d v="2025-01-06T00:00:00"/>
        <d v="2025-10-14T00:00:00"/>
        <d v="2025-07-08T00:00:00"/>
        <d v="2025-06-29T00:00:00"/>
        <d v="2025-03-13T00:00:00"/>
        <d v="2025-07-11T00:00:00"/>
        <d v="2025-09-01T00:00:00"/>
        <d v="2025-06-25T00:00:00"/>
        <d v="2025-10-30T00:00:00"/>
        <d v="2025-09-19T00:00:00"/>
        <d v="2025-12-03T00:00:00"/>
        <d v="2025-08-18T00:00:00"/>
        <d v="2025-10-08T00:00:00"/>
        <d v="2025-11-27T00:00:00"/>
        <d v="2025-11-29T00:00:00"/>
        <d v="2025-04-05T00:00:00"/>
        <d v="2025-10-03T00:00:00"/>
        <d v="2025-12-31T00:00:00"/>
        <d v="2025-08-28T00:00:00"/>
        <d v="2025-02-11T00:00:00"/>
        <d v="2025-10-06T00:00:00"/>
        <d v="2025-05-16T00:00:00"/>
        <d v="2025-11-23T00:00:00"/>
        <d v="2025-02-12T00:00:00"/>
        <d v="2025-02-25T00:00:00"/>
        <d v="2025-12-18T00:00:00"/>
        <d v="2025-03-22T00:00:00"/>
        <d v="2025-09-07T00:00:00"/>
        <d v="2025-07-04T00:00:00"/>
        <d v="2025-10-05T00:00:00"/>
        <d v="2025-01-16T00:00:00"/>
        <d v="2025-03-12T00:00:00"/>
        <d v="2025-05-23T00:00:00"/>
        <d v="2025-07-25T00:00:00"/>
        <d v="2025-10-01T00:00:00"/>
        <d v="2025-11-21T00:00:00"/>
        <d v="2025-06-18T00:00:00"/>
        <d v="2025-08-22T00:00:00"/>
        <d v="2025-11-25T00:00:00"/>
        <d v="2025-03-05T00:00:00"/>
        <d v="2025-09-13T00:00:00"/>
        <d v="2025-07-29T00:00:00"/>
        <d v="2025-07-24T00:00:00"/>
        <d v="2025-02-24T00:00:00"/>
        <d v="2025-12-11T00:00:00"/>
        <d v="2025-02-06T00:00:00"/>
        <d v="2025-01-28T00:00:00"/>
        <d v="2025-03-15T00:00:00"/>
        <d v="2025-11-18T00:00:00"/>
        <d v="2025-03-08T00:00:00"/>
        <d v="2025-05-15T00:00:00"/>
        <d v="2025-07-02T00:00:00"/>
        <d v="2025-07-13T00:00:00"/>
        <d v="2025-12-17T00:00:00"/>
        <d v="2025-10-13T00:00:00"/>
        <d v="2025-06-23T00:00:00"/>
        <d v="2025-09-24T00:00:00"/>
        <d v="2025-05-28T00:00:00"/>
        <d v="2025-10-17T00:00:00"/>
        <d v="2025-01-30T00:00:00"/>
        <d v="2025-06-06T00:00:00"/>
        <d v="2025-09-29T00:00:00"/>
      </sharedItems>
      <fieldGroup par="13"/>
    </cacheField>
    <cacheField name="Pickup_City" numFmtId="0">
      <sharedItems count="5">
        <s v="Kolkata"/>
        <s v="Bangalore"/>
        <s v="Delhi"/>
        <s v="Mumbai"/>
        <s v="Chennai"/>
      </sharedItems>
    </cacheField>
    <cacheField name="Drop_City" numFmtId="0">
      <sharedItems/>
    </cacheField>
    <cacheField name="Distance_km" numFmtId="2">
      <sharedItems containsSemiMixedTypes="0" containsString="0" containsNumber="1" minValue="1" maxValue="29.99"/>
    </cacheField>
    <cacheField name="Duration_min" numFmtId="165">
      <sharedItems containsSemiMixedTypes="0" containsNonDate="0" containsDate="1" containsString="0" minDate="1900-01-01T03:07:12" maxDate="1900-04-28T03:07:12"/>
    </cacheField>
    <cacheField name="Base_Fare" numFmtId="166">
      <sharedItems containsSemiMixedTypes="0" containsString="0" containsNumber="1" minValue="11.05" maxValue="583.57000000000005"/>
    </cacheField>
    <cacheField name="Surge_Multiplier" numFmtId="0">
      <sharedItems containsSemiMixedTypes="0" containsString="0" containsNumber="1" minValue="1" maxValue="2"/>
    </cacheField>
    <cacheField name="Total_Fare" numFmtId="166">
      <sharedItems containsSemiMixedTypes="0" containsString="0" containsNumber="1" minValue="11.05" maxValue="1151.5999999999999"/>
    </cacheField>
    <cacheField name="Customer_Rating" numFmtId="0">
      <sharedItems containsSemiMixedTypes="0" containsString="0" containsNumber="1" minValue="3" maxValue="5"/>
    </cacheField>
    <cacheField name="Vehicle_Type" numFmtId="0">
      <sharedItems count="5">
        <s v="UberPool"/>
        <s v="UberXL"/>
        <s v="UberAuto"/>
        <s v="UberGo"/>
        <s v="UberX"/>
      </sharedItems>
    </cacheField>
    <cacheField name="Payment_Method" numFmtId="0">
      <sharedItems count="4">
        <s v="Card"/>
        <s v="Cash"/>
        <s v="Wallet"/>
        <s v="UPI"/>
      </sharedItems>
    </cacheField>
    <cacheField name="Days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807530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RIP00001"/>
    <x v="0"/>
    <x v="0"/>
    <s v="Bangalore"/>
    <n v="24.1"/>
    <d v="1900-02-25T00:57:36"/>
    <n v="428.91"/>
    <n v="1"/>
    <n v="428.91"/>
    <n v="3.3"/>
    <x v="0"/>
    <x v="0"/>
  </r>
  <r>
    <s v="TRIP00002"/>
    <x v="1"/>
    <x v="1"/>
    <s v="Bangalore"/>
    <n v="2.68"/>
    <d v="1900-01-09T00:00:00"/>
    <n v="42.91"/>
    <n v="2"/>
    <n v="85.82"/>
    <n v="4.3"/>
    <x v="1"/>
    <x v="1"/>
  </r>
  <r>
    <s v="TRIP00003"/>
    <x v="2"/>
    <x v="2"/>
    <s v="Chennai"/>
    <n v="29.13"/>
    <d v="1900-04-15T18:14:24"/>
    <n v="353.15"/>
    <n v="2"/>
    <n v="706.3"/>
    <n v="5"/>
    <x v="0"/>
    <x v="0"/>
  </r>
  <r>
    <s v="TRIP00004"/>
    <x v="3"/>
    <x v="1"/>
    <s v="Bangalore"/>
    <n v="9.82"/>
    <d v="1900-01-28T22:48:00"/>
    <n v="140.62"/>
    <n v="1"/>
    <n v="140.62"/>
    <n v="4"/>
    <x v="0"/>
    <x v="0"/>
  </r>
  <r>
    <s v="TRIP00005"/>
    <x v="4"/>
    <x v="3"/>
    <s v="Mumbai"/>
    <n v="2.35"/>
    <d v="1900-01-08T06:43:12"/>
    <n v="28.97"/>
    <n v="1.2"/>
    <n v="34.76"/>
    <n v="4.5999999999999996"/>
    <x v="0"/>
    <x v="2"/>
  </r>
  <r>
    <s v="TRIP00006"/>
    <x v="5"/>
    <x v="3"/>
    <s v="Bangalore"/>
    <n v="12.09"/>
    <d v="1900-02-15T22:48:00"/>
    <n v="177.33"/>
    <n v="1"/>
    <n v="177.33"/>
    <n v="4.2"/>
    <x v="0"/>
    <x v="3"/>
  </r>
  <r>
    <s v="TRIP00007"/>
    <x v="6"/>
    <x v="1"/>
    <s v="Delhi"/>
    <n v="14.06"/>
    <d v="1900-01-27T11:45:36"/>
    <n v="273.07"/>
    <n v="1.2"/>
    <n v="327.68"/>
    <n v="4.5999999999999996"/>
    <x v="2"/>
    <x v="0"/>
  </r>
  <r>
    <s v="TRIP00008"/>
    <x v="7"/>
    <x v="4"/>
    <s v="Chennai"/>
    <n v="1.46"/>
    <d v="1900-01-02T14:09:36"/>
    <n v="18.12"/>
    <n v="2"/>
    <n v="36.24"/>
    <n v="3.2"/>
    <x v="2"/>
    <x v="1"/>
  </r>
  <r>
    <s v="TRIP00009"/>
    <x v="8"/>
    <x v="3"/>
    <s v="Bangalore"/>
    <n v="2"/>
    <d v="1900-01-06T15:21:36"/>
    <n v="25.18"/>
    <n v="2"/>
    <n v="50.36"/>
    <n v="4.5"/>
    <x v="3"/>
    <x v="1"/>
  </r>
  <r>
    <s v="TRIP00010"/>
    <x v="9"/>
    <x v="0"/>
    <s v="Bangalore"/>
    <n v="16.850000000000001"/>
    <d v="1900-02-07T22:19:12"/>
    <n v="331.88"/>
    <n v="1.2"/>
    <n v="398.26"/>
    <n v="3.9"/>
    <x v="2"/>
    <x v="1"/>
  </r>
  <r>
    <s v="TRIP00011"/>
    <x v="10"/>
    <x v="2"/>
    <s v="Delhi"/>
    <n v="26.95"/>
    <d v="1900-03-26T03:07:12"/>
    <n v="517.95000000000005"/>
    <n v="2"/>
    <n v="1035.9000000000001"/>
    <n v="4.0999999999999996"/>
    <x v="4"/>
    <x v="3"/>
  </r>
  <r>
    <s v="TRIP00012"/>
    <x v="11"/>
    <x v="0"/>
    <s v="Kolkata"/>
    <n v="2.31"/>
    <d v="1900-01-05T02:52:48"/>
    <n v="32.08"/>
    <n v="1.2"/>
    <n v="38.5"/>
    <n v="4.0999999999999996"/>
    <x v="3"/>
    <x v="0"/>
  </r>
  <r>
    <s v="TRIP00013"/>
    <x v="12"/>
    <x v="0"/>
    <s v="Kolkata"/>
    <n v="11.35"/>
    <d v="1900-01-28T01:55:12"/>
    <n v="175.1"/>
    <n v="1"/>
    <n v="175.1"/>
    <n v="3.6"/>
    <x v="0"/>
    <x v="2"/>
  </r>
  <r>
    <s v="TRIP00014"/>
    <x v="13"/>
    <x v="2"/>
    <s v="Delhi"/>
    <n v="3.16"/>
    <d v="1900-01-11T13:26:24"/>
    <n v="56"/>
    <n v="2"/>
    <n v="112"/>
    <n v="3.6"/>
    <x v="3"/>
    <x v="0"/>
  </r>
  <r>
    <s v="TRIP00015"/>
    <x v="14"/>
    <x v="3"/>
    <s v="Delhi"/>
    <n v="24.65"/>
    <d v="1900-03-24T03:36:00"/>
    <n v="426.2"/>
    <n v="1"/>
    <n v="426.2"/>
    <n v="4.2"/>
    <x v="3"/>
    <x v="2"/>
  </r>
  <r>
    <s v="TRIP00016"/>
    <x v="15"/>
    <x v="4"/>
    <s v="Kolkata"/>
    <n v="19.88"/>
    <d v="1900-03-16T03:21:36"/>
    <n v="367.79"/>
    <n v="2"/>
    <n v="735.58"/>
    <n v="3.7"/>
    <x v="0"/>
    <x v="1"/>
  </r>
  <r>
    <s v="TRIP00017"/>
    <x v="16"/>
    <x v="1"/>
    <s v="Chennai"/>
    <n v="11.75"/>
    <d v="1900-02-07T05:16:48"/>
    <n v="195.75"/>
    <n v="2"/>
    <n v="391.5"/>
    <n v="4.3"/>
    <x v="4"/>
    <x v="0"/>
  </r>
  <r>
    <s v="TRIP00018"/>
    <x v="17"/>
    <x v="2"/>
    <s v="Bangalore"/>
    <n v="14.69"/>
    <d v="1900-01-31T21:21:36"/>
    <n v="251.68"/>
    <n v="1"/>
    <n v="251.68"/>
    <n v="4.4000000000000004"/>
    <x v="0"/>
    <x v="2"/>
  </r>
  <r>
    <s v="TRIP00019"/>
    <x v="18"/>
    <x v="3"/>
    <s v="Chennai"/>
    <n v="8.43"/>
    <d v="1900-01-16T12:57:36"/>
    <n v="144.21"/>
    <n v="1.2"/>
    <n v="173.05"/>
    <n v="3.1"/>
    <x v="1"/>
    <x v="1"/>
  </r>
  <r>
    <s v="TRIP00020"/>
    <x v="19"/>
    <x v="1"/>
    <s v="Mumbai"/>
    <n v="1.91"/>
    <d v="1900-01-05T06:00:00"/>
    <n v="25.1"/>
    <n v="2"/>
    <n v="50.2"/>
    <n v="4.4000000000000004"/>
    <x v="1"/>
    <x v="1"/>
  </r>
  <r>
    <s v="TRIP00021"/>
    <x v="15"/>
    <x v="2"/>
    <s v="Chennai"/>
    <n v="12.9"/>
    <d v="1900-02-13T06:57:36"/>
    <n v="158.51"/>
    <n v="2"/>
    <n v="317.02"/>
    <n v="4.2"/>
    <x v="0"/>
    <x v="0"/>
  </r>
  <r>
    <s v="TRIP00022"/>
    <x v="20"/>
    <x v="0"/>
    <s v="Chennai"/>
    <n v="5.68"/>
    <d v="1900-01-20T22:04:48"/>
    <n v="102.7"/>
    <n v="1"/>
    <n v="102.7"/>
    <n v="3.2"/>
    <x v="4"/>
    <x v="3"/>
  </r>
  <r>
    <s v="TRIP00023"/>
    <x v="21"/>
    <x v="0"/>
    <s v="Mumbai"/>
    <n v="24.31"/>
    <d v="1900-02-25T16:33:36"/>
    <n v="460.08"/>
    <n v="1.5"/>
    <n v="690.12"/>
    <n v="3.6"/>
    <x v="4"/>
    <x v="2"/>
  </r>
  <r>
    <s v="TRIP00024"/>
    <x v="22"/>
    <x v="2"/>
    <s v="Mumbai"/>
    <n v="11.33"/>
    <d v="1900-02-11T05:02:24"/>
    <n v="144.13"/>
    <n v="1.5"/>
    <n v="216.2"/>
    <n v="3.9"/>
    <x v="0"/>
    <x v="2"/>
  </r>
  <r>
    <s v="TRIP00025"/>
    <x v="23"/>
    <x v="0"/>
    <s v="Chennai"/>
    <n v="11.22"/>
    <d v="1900-01-28T06:43:12"/>
    <n v="130.66999999999999"/>
    <n v="1.5"/>
    <n v="196"/>
    <n v="3.8"/>
    <x v="4"/>
    <x v="0"/>
  </r>
  <r>
    <s v="TRIP00026"/>
    <x v="24"/>
    <x v="2"/>
    <s v="Chennai"/>
    <n v="21.08"/>
    <d v="1900-02-21T12:28:48"/>
    <n v="262.26"/>
    <n v="1.5"/>
    <n v="393.39"/>
    <n v="3.6"/>
    <x v="3"/>
    <x v="0"/>
  </r>
  <r>
    <s v="TRIP00027"/>
    <x v="25"/>
    <x v="1"/>
    <s v="Kolkata"/>
    <n v="17.18"/>
    <d v="1900-02-16T05:45:36"/>
    <n v="182.95"/>
    <n v="1.2"/>
    <n v="219.54"/>
    <n v="4.9000000000000004"/>
    <x v="3"/>
    <x v="3"/>
  </r>
  <r>
    <s v="TRIP00028"/>
    <x v="26"/>
    <x v="2"/>
    <s v="Kolkata"/>
    <n v="15.42"/>
    <d v="1900-02-08T02:52:48"/>
    <n v="198.12"/>
    <n v="1"/>
    <n v="198.12"/>
    <n v="3.5"/>
    <x v="0"/>
    <x v="1"/>
  </r>
  <r>
    <s v="TRIP00029"/>
    <x v="27"/>
    <x v="1"/>
    <s v="Kolkata"/>
    <n v="15.58"/>
    <d v="1900-01-31T18:14:24"/>
    <n v="199.21"/>
    <n v="1"/>
    <n v="199.21"/>
    <n v="4.3"/>
    <x v="3"/>
    <x v="2"/>
  </r>
  <r>
    <s v="TRIP00030"/>
    <x v="28"/>
    <x v="3"/>
    <s v="Delhi"/>
    <n v="5.2"/>
    <d v="1900-01-14T11:45:36"/>
    <n v="103.25"/>
    <n v="2"/>
    <n v="206.5"/>
    <n v="4.2"/>
    <x v="2"/>
    <x v="3"/>
  </r>
  <r>
    <s v="TRIP00031"/>
    <x v="29"/>
    <x v="4"/>
    <s v="Mumbai"/>
    <n v="11.72"/>
    <d v="1900-01-28T02:52:48"/>
    <n v="211.33"/>
    <n v="1"/>
    <n v="211.33"/>
    <n v="4.3"/>
    <x v="2"/>
    <x v="2"/>
  </r>
  <r>
    <s v="TRIP00032"/>
    <x v="30"/>
    <x v="0"/>
    <s v="Mumbai"/>
    <n v="12.57"/>
    <d v="1900-02-13T16:04:48"/>
    <n v="226.05"/>
    <n v="1"/>
    <n v="226.05"/>
    <n v="3.6"/>
    <x v="3"/>
    <x v="0"/>
  </r>
  <r>
    <s v="TRIP00033"/>
    <x v="31"/>
    <x v="3"/>
    <s v="Mumbai"/>
    <n v="21.18"/>
    <d v="1900-03-18T17:16:48"/>
    <n v="280.83999999999997"/>
    <n v="2"/>
    <n v="561.67999999999995"/>
    <n v="3"/>
    <x v="3"/>
    <x v="3"/>
  </r>
  <r>
    <s v="TRIP00034"/>
    <x v="32"/>
    <x v="3"/>
    <s v="Mumbai"/>
    <n v="11.11"/>
    <d v="1900-01-23T08:38:24"/>
    <n v="215.59"/>
    <n v="2"/>
    <n v="431.18"/>
    <n v="3.8"/>
    <x v="1"/>
    <x v="3"/>
  </r>
  <r>
    <s v="TRIP00035"/>
    <x v="33"/>
    <x v="3"/>
    <s v="Mumbai"/>
    <n v="25.29"/>
    <d v="1900-03-24T18:14:24"/>
    <n v="438.84"/>
    <n v="1.2"/>
    <n v="526.61"/>
    <n v="4.8"/>
    <x v="4"/>
    <x v="2"/>
  </r>
  <r>
    <s v="TRIP00036"/>
    <x v="34"/>
    <x v="2"/>
    <s v="Chennai"/>
    <n v="8.48"/>
    <d v="1900-01-27T03:36:00"/>
    <n v="154.1"/>
    <n v="1"/>
    <n v="154.1"/>
    <n v="4"/>
    <x v="0"/>
    <x v="3"/>
  </r>
  <r>
    <s v="TRIP00037"/>
    <x v="27"/>
    <x v="4"/>
    <s v="Mumbai"/>
    <n v="29.89"/>
    <d v="1900-04-26T11:45:36"/>
    <n v="465.77"/>
    <n v="2"/>
    <n v="931.54"/>
    <n v="4.3"/>
    <x v="4"/>
    <x v="1"/>
  </r>
  <r>
    <s v="TRIP00038"/>
    <x v="35"/>
    <x v="1"/>
    <s v="Bangalore"/>
    <n v="9.09"/>
    <d v="1900-01-29T21:50:24"/>
    <n v="167.86"/>
    <n v="2"/>
    <n v="335.72"/>
    <n v="4.8"/>
    <x v="4"/>
    <x v="2"/>
  </r>
  <r>
    <s v="TRIP00039"/>
    <x v="36"/>
    <x v="1"/>
    <s v="Kolkata"/>
    <n v="26.75"/>
    <d v="1900-04-08T00:28:48"/>
    <n v="517.78"/>
    <n v="2"/>
    <n v="1035.56"/>
    <n v="4.8"/>
    <x v="2"/>
    <x v="1"/>
  </r>
  <r>
    <s v="TRIP00040"/>
    <x v="37"/>
    <x v="0"/>
    <s v="Mumbai"/>
    <n v="17.84"/>
    <d v="1900-02-16T23:02:24"/>
    <n v="346.12"/>
    <n v="1"/>
    <n v="346.12"/>
    <n v="3"/>
    <x v="1"/>
    <x v="3"/>
  </r>
  <r>
    <s v="TRIP00041"/>
    <x v="33"/>
    <x v="2"/>
    <s v="Bangalore"/>
    <n v="15.08"/>
    <d v="1900-02-11T16:19:12"/>
    <n v="300.76"/>
    <n v="2"/>
    <n v="601.52"/>
    <n v="4.4000000000000004"/>
    <x v="4"/>
    <x v="3"/>
  </r>
  <r>
    <s v="TRIP00042"/>
    <x v="38"/>
    <x v="3"/>
    <s v="Mumbai"/>
    <n v="15.32"/>
    <d v="1900-02-04T02:52:48"/>
    <n v="209.34"/>
    <n v="2"/>
    <n v="418.68"/>
    <n v="4.7"/>
    <x v="1"/>
    <x v="3"/>
  </r>
  <r>
    <s v="TRIP00043"/>
    <x v="39"/>
    <x v="2"/>
    <s v="Mumbai"/>
    <n v="17.48"/>
    <d v="1900-02-06T05:31:12"/>
    <n v="239.08"/>
    <n v="1.5"/>
    <n v="358.62"/>
    <n v="3.5"/>
    <x v="4"/>
    <x v="2"/>
  </r>
  <r>
    <s v="TRIP00044"/>
    <x v="40"/>
    <x v="3"/>
    <s v="Bangalore"/>
    <n v="29.22"/>
    <d v="1900-03-21T09:50:24"/>
    <n v="552.86"/>
    <n v="1.5"/>
    <n v="829.29"/>
    <n v="3.9"/>
    <x v="3"/>
    <x v="2"/>
  </r>
  <r>
    <s v="TRIP00045"/>
    <x v="41"/>
    <x v="0"/>
    <s v="Bangalore"/>
    <n v="15.58"/>
    <d v="1900-02-17T03:21:36"/>
    <n v="232.53"/>
    <n v="1"/>
    <n v="232.53"/>
    <n v="3.5"/>
    <x v="0"/>
    <x v="3"/>
  </r>
  <r>
    <s v="TRIP00046"/>
    <x v="42"/>
    <x v="4"/>
    <s v="Delhi"/>
    <n v="9.14"/>
    <d v="1900-01-17T17:16:48"/>
    <n v="150.4"/>
    <n v="1"/>
    <n v="150.4"/>
    <n v="5"/>
    <x v="3"/>
    <x v="0"/>
  </r>
  <r>
    <s v="TRIP00047"/>
    <x v="40"/>
    <x v="3"/>
    <s v="Chennai"/>
    <n v="28.66"/>
    <d v="1900-04-18T18:14:24"/>
    <n v="392.69"/>
    <n v="1"/>
    <n v="392.69"/>
    <n v="4.9000000000000004"/>
    <x v="0"/>
    <x v="1"/>
  </r>
  <r>
    <s v="TRIP00048"/>
    <x v="43"/>
    <x v="0"/>
    <s v="Mumbai"/>
    <n v="13.42"/>
    <d v="1900-02-20T18:57:36"/>
    <n v="263.52"/>
    <n v="1"/>
    <n v="263.52"/>
    <n v="3.2"/>
    <x v="4"/>
    <x v="2"/>
  </r>
  <r>
    <s v="TRIP00049"/>
    <x v="44"/>
    <x v="2"/>
    <s v="Delhi"/>
    <n v="12.17"/>
    <d v="1900-02-13T01:26:24"/>
    <n v="160.27000000000001"/>
    <n v="2"/>
    <n v="320.54000000000002"/>
    <n v="3.7"/>
    <x v="1"/>
    <x v="3"/>
  </r>
  <r>
    <s v="TRIP00050"/>
    <x v="45"/>
    <x v="1"/>
    <s v="Kolkata"/>
    <n v="25.48"/>
    <d v="1900-04-07T08:24:00"/>
    <n v="272.74"/>
    <n v="1.2"/>
    <n v="327.29000000000002"/>
    <n v="4.2"/>
    <x v="2"/>
    <x v="3"/>
  </r>
  <r>
    <s v="TRIP00051"/>
    <x v="46"/>
    <x v="1"/>
    <s v="Bangalore"/>
    <n v="11.4"/>
    <d v="1900-01-27T14:09:36"/>
    <n v="147.66"/>
    <n v="1.2"/>
    <n v="177.19"/>
    <n v="4.5"/>
    <x v="0"/>
    <x v="3"/>
  </r>
  <r>
    <s v="TRIP00052"/>
    <x v="47"/>
    <x v="4"/>
    <s v="Kolkata"/>
    <n v="21.56"/>
    <d v="1900-03-06T23:02:24"/>
    <n v="279.52999999999997"/>
    <n v="1.2"/>
    <n v="335.44"/>
    <n v="4.5999999999999996"/>
    <x v="4"/>
    <x v="1"/>
  </r>
  <r>
    <s v="TRIP00053"/>
    <x v="48"/>
    <x v="3"/>
    <s v="Bangalore"/>
    <n v="3.37"/>
    <d v="1900-01-05T18:28:48"/>
    <n v="54.86"/>
    <n v="2"/>
    <n v="109.72"/>
    <n v="4.3"/>
    <x v="3"/>
    <x v="0"/>
  </r>
  <r>
    <s v="TRIP00054"/>
    <x v="49"/>
    <x v="0"/>
    <s v="Kolkata"/>
    <n v="26.81"/>
    <d v="1900-03-11T17:45:36"/>
    <n v="368.79"/>
    <n v="1.2"/>
    <n v="442.55"/>
    <n v="3.9"/>
    <x v="0"/>
    <x v="1"/>
  </r>
  <r>
    <s v="TRIP00055"/>
    <x v="46"/>
    <x v="1"/>
    <s v="Chennai"/>
    <n v="10.52"/>
    <d v="1900-01-23T07:12:00"/>
    <n v="208.49"/>
    <n v="1.2"/>
    <n v="250.19"/>
    <n v="4.2"/>
    <x v="1"/>
    <x v="1"/>
  </r>
  <r>
    <s v="TRIP00056"/>
    <x v="46"/>
    <x v="2"/>
    <s v="Mumbai"/>
    <n v="8.26"/>
    <d v="1900-01-16T03:50:24"/>
    <n v="107.65"/>
    <n v="1.5"/>
    <n v="161.47999999999999"/>
    <n v="3.3"/>
    <x v="0"/>
    <x v="3"/>
  </r>
  <r>
    <s v="TRIP00057"/>
    <x v="8"/>
    <x v="2"/>
    <s v="Bangalore"/>
    <n v="23.33"/>
    <d v="1900-02-24T17:31:12"/>
    <n v="378.62"/>
    <n v="2"/>
    <n v="757.24"/>
    <n v="4.7"/>
    <x v="1"/>
    <x v="2"/>
  </r>
  <r>
    <s v="TRIP00058"/>
    <x v="50"/>
    <x v="0"/>
    <s v="Delhi"/>
    <n v="16.68"/>
    <d v="1900-02-22T14:52:48"/>
    <n v="287.91000000000003"/>
    <n v="1"/>
    <n v="287.91000000000003"/>
    <n v="4.9000000000000004"/>
    <x v="0"/>
    <x v="3"/>
  </r>
  <r>
    <s v="TRIP00059"/>
    <x v="51"/>
    <x v="1"/>
    <s v="Kolkata"/>
    <n v="10.37"/>
    <d v="1900-02-05T05:31:12"/>
    <n v="131.79"/>
    <n v="2"/>
    <n v="263.58"/>
    <n v="4.5"/>
    <x v="3"/>
    <x v="1"/>
  </r>
  <r>
    <s v="TRIP00060"/>
    <x v="52"/>
    <x v="1"/>
    <s v="Kolkata"/>
    <n v="1.74"/>
    <d v="1900-01-05T19:55:12"/>
    <n v="31.95"/>
    <n v="1"/>
    <n v="31.95"/>
    <n v="4.4000000000000004"/>
    <x v="0"/>
    <x v="3"/>
  </r>
  <r>
    <s v="TRIP00061"/>
    <x v="53"/>
    <x v="1"/>
    <s v="Kolkata"/>
    <n v="6.03"/>
    <d v="1900-01-12T22:48:00"/>
    <n v="75.39"/>
    <n v="1.2"/>
    <n v="90.47"/>
    <n v="3.2"/>
    <x v="3"/>
    <x v="0"/>
  </r>
  <r>
    <s v="TRIP00062"/>
    <x v="54"/>
    <x v="3"/>
    <s v="Kolkata"/>
    <n v="20.149999999999999"/>
    <d v="1900-02-19T13:55:12"/>
    <n v="393.91"/>
    <n v="1.5"/>
    <n v="590.86"/>
    <n v="4.3"/>
    <x v="4"/>
    <x v="3"/>
  </r>
  <r>
    <s v="TRIP00063"/>
    <x v="55"/>
    <x v="3"/>
    <s v="Kolkata"/>
    <n v="18.739999999999998"/>
    <d v="1900-02-21T05:02:24"/>
    <n v="233.82"/>
    <n v="2"/>
    <n v="467.64"/>
    <n v="3.3"/>
    <x v="1"/>
    <x v="1"/>
  </r>
  <r>
    <s v="TRIP00064"/>
    <x v="56"/>
    <x v="0"/>
    <s v="Kolkata"/>
    <n v="1.42"/>
    <d v="1900-01-02T04:04:48"/>
    <n v="14.85"/>
    <n v="1"/>
    <n v="14.85"/>
    <n v="3.6"/>
    <x v="4"/>
    <x v="3"/>
  </r>
  <r>
    <s v="TRIP00065"/>
    <x v="57"/>
    <x v="4"/>
    <s v="Bangalore"/>
    <n v="1.5"/>
    <d v="1900-01-04T06:57:36"/>
    <n v="27.1"/>
    <n v="2"/>
    <n v="54.2"/>
    <n v="3.3"/>
    <x v="0"/>
    <x v="2"/>
  </r>
  <r>
    <s v="TRIP00066"/>
    <x v="58"/>
    <x v="2"/>
    <s v="Bangalore"/>
    <n v="19.84"/>
    <d v="1900-02-09T14:09:36"/>
    <n v="386.71"/>
    <n v="2"/>
    <n v="773.42"/>
    <n v="3.1"/>
    <x v="0"/>
    <x v="0"/>
  </r>
  <r>
    <s v="TRIP00067"/>
    <x v="45"/>
    <x v="4"/>
    <s v="Mumbai"/>
    <n v="1.44"/>
    <d v="1900-01-04T13:40:48"/>
    <n v="21.61"/>
    <n v="2"/>
    <n v="43.22"/>
    <n v="4.3"/>
    <x v="3"/>
    <x v="1"/>
  </r>
  <r>
    <s v="TRIP00068"/>
    <x v="59"/>
    <x v="3"/>
    <s v="Chennai"/>
    <n v="18.86"/>
    <d v="1900-03-13T07:40:48"/>
    <n v="366.69"/>
    <n v="2"/>
    <n v="733.38"/>
    <n v="4.2"/>
    <x v="4"/>
    <x v="2"/>
  </r>
  <r>
    <s v="TRIP00069"/>
    <x v="37"/>
    <x v="0"/>
    <s v="Chennai"/>
    <n v="17.690000000000001"/>
    <d v="1900-02-17T02:38:24"/>
    <n v="290.7"/>
    <n v="1"/>
    <n v="290.7"/>
    <n v="4.5999999999999996"/>
    <x v="0"/>
    <x v="0"/>
  </r>
  <r>
    <s v="TRIP00070"/>
    <x v="60"/>
    <x v="3"/>
    <s v="Delhi"/>
    <n v="19.149999999999999"/>
    <d v="1900-03-09T17:16:48"/>
    <n v="316.26"/>
    <n v="1.5"/>
    <n v="474.39"/>
    <n v="3.4"/>
    <x v="3"/>
    <x v="2"/>
  </r>
  <r>
    <s v="TRIP00071"/>
    <x v="61"/>
    <x v="4"/>
    <s v="Delhi"/>
    <n v="3.92"/>
    <d v="1900-01-06T23:31:12"/>
    <n v="42.9"/>
    <n v="1.5"/>
    <n v="64.349999999999994"/>
    <n v="3.7"/>
    <x v="1"/>
    <x v="1"/>
  </r>
  <r>
    <s v="TRIP00072"/>
    <x v="62"/>
    <x v="2"/>
    <s v="Kolkata"/>
    <n v="10.25"/>
    <d v="1900-02-05T19:40:48"/>
    <n v="104.89"/>
    <n v="1.2"/>
    <n v="125.87"/>
    <n v="3.5"/>
    <x v="3"/>
    <x v="2"/>
  </r>
  <r>
    <s v="TRIP00073"/>
    <x v="63"/>
    <x v="2"/>
    <s v="Chennai"/>
    <n v="21.09"/>
    <d v="1900-02-24T20:52:48"/>
    <n v="408.44"/>
    <n v="2"/>
    <n v="816.88"/>
    <n v="4.5"/>
    <x v="4"/>
    <x v="3"/>
  </r>
  <r>
    <s v="TRIP00074"/>
    <x v="41"/>
    <x v="3"/>
    <s v="Kolkata"/>
    <n v="29.06"/>
    <d v="1900-03-29T23:16:48"/>
    <n v="413.66"/>
    <n v="2"/>
    <n v="827.32"/>
    <n v="4.5999999999999996"/>
    <x v="0"/>
    <x v="3"/>
  </r>
  <r>
    <s v="TRIP00075"/>
    <x v="64"/>
    <x v="0"/>
    <s v="Mumbai"/>
    <n v="22.22"/>
    <d v="1900-02-18T02:38:24"/>
    <n v="277.75"/>
    <n v="2"/>
    <n v="555.5"/>
    <n v="3.7"/>
    <x v="2"/>
    <x v="1"/>
  </r>
  <r>
    <s v="TRIP00076"/>
    <x v="65"/>
    <x v="1"/>
    <s v="Mumbai"/>
    <n v="17.29"/>
    <d v="1900-02-10T19:55:12"/>
    <n v="290.45"/>
    <n v="1.5"/>
    <n v="435.67"/>
    <n v="4.5"/>
    <x v="3"/>
    <x v="1"/>
  </r>
  <r>
    <s v="TRIP00077"/>
    <x v="66"/>
    <x v="1"/>
    <s v="Kolkata"/>
    <n v="11.95"/>
    <d v="1900-02-04T16:04:48"/>
    <n v="178.84"/>
    <n v="1"/>
    <n v="178.84"/>
    <n v="3.6"/>
    <x v="1"/>
    <x v="2"/>
  </r>
  <r>
    <s v="TRIP00078"/>
    <x v="67"/>
    <x v="2"/>
    <s v="Mumbai"/>
    <n v="3.9"/>
    <d v="1900-01-07T05:16:48"/>
    <n v="76.38"/>
    <n v="1.5"/>
    <n v="114.57"/>
    <n v="3.2"/>
    <x v="4"/>
    <x v="3"/>
  </r>
  <r>
    <s v="TRIP00079"/>
    <x v="21"/>
    <x v="1"/>
    <s v="Kolkata"/>
    <n v="28.55"/>
    <d v="1900-04-20T09:07:12"/>
    <n v="449.22"/>
    <n v="1.5"/>
    <n v="673.83"/>
    <n v="3.2"/>
    <x v="4"/>
    <x v="0"/>
  </r>
  <r>
    <s v="TRIP00080"/>
    <x v="55"/>
    <x v="1"/>
    <s v="Mumbai"/>
    <n v="9.5"/>
    <d v="1900-01-24T05:45:36"/>
    <n v="158.88999999999999"/>
    <n v="2"/>
    <n v="317.77999999999997"/>
    <n v="4.9000000000000004"/>
    <x v="0"/>
    <x v="3"/>
  </r>
  <r>
    <s v="TRIP00081"/>
    <x v="68"/>
    <x v="1"/>
    <s v="Delhi"/>
    <n v="23.9"/>
    <d v="1900-02-20T03:50:24"/>
    <n v="357.17"/>
    <n v="1.5"/>
    <n v="535.76"/>
    <n v="5"/>
    <x v="0"/>
    <x v="1"/>
  </r>
  <r>
    <s v="TRIP00082"/>
    <x v="69"/>
    <x v="3"/>
    <s v="Mumbai"/>
    <n v="13.8"/>
    <d v="1900-02-20T02:24:00"/>
    <n v="186.43"/>
    <n v="1.2"/>
    <n v="223.72"/>
    <n v="4.9000000000000004"/>
    <x v="2"/>
    <x v="2"/>
  </r>
  <r>
    <s v="TRIP00083"/>
    <x v="35"/>
    <x v="1"/>
    <s v="Bangalore"/>
    <n v="23.08"/>
    <d v="1900-03-14T16:48:00"/>
    <n v="254.14"/>
    <n v="1.5"/>
    <n v="381.21"/>
    <n v="3.9"/>
    <x v="1"/>
    <x v="3"/>
  </r>
  <r>
    <s v="TRIP00084"/>
    <x v="70"/>
    <x v="3"/>
    <s v="Chennai"/>
    <n v="3.11"/>
    <d v="1900-01-10T07:55:12"/>
    <n v="53.06"/>
    <n v="1"/>
    <n v="53.06"/>
    <n v="4"/>
    <x v="4"/>
    <x v="1"/>
  </r>
  <r>
    <s v="TRIP00085"/>
    <x v="71"/>
    <x v="4"/>
    <s v="Bangalore"/>
    <n v="17.86"/>
    <d v="1900-03-06T13:12:00"/>
    <n v="335.83"/>
    <n v="1"/>
    <n v="335.83"/>
    <n v="4.9000000000000004"/>
    <x v="4"/>
    <x v="0"/>
  </r>
  <r>
    <s v="TRIP00086"/>
    <x v="72"/>
    <x v="3"/>
    <s v="Delhi"/>
    <n v="18.16"/>
    <d v="1900-02-17T00:57:36"/>
    <n v="310.20999999999998"/>
    <n v="1.5"/>
    <n v="465.31"/>
    <n v="4.5999999999999996"/>
    <x v="3"/>
    <x v="3"/>
  </r>
  <r>
    <s v="TRIP00087"/>
    <x v="73"/>
    <x v="1"/>
    <s v="Mumbai"/>
    <n v="21.45"/>
    <d v="1900-02-21T13:40:48"/>
    <n v="285.33999999999997"/>
    <n v="1.2"/>
    <n v="342.41"/>
    <n v="4"/>
    <x v="0"/>
    <x v="3"/>
  </r>
  <r>
    <s v="TRIP00088"/>
    <x v="74"/>
    <x v="2"/>
    <s v="Delhi"/>
    <n v="12.75"/>
    <d v="1900-02-08T01:40:48"/>
    <n v="221.97"/>
    <n v="2"/>
    <n v="443.94"/>
    <n v="3.2"/>
    <x v="1"/>
    <x v="0"/>
  </r>
  <r>
    <s v="TRIP00089"/>
    <x v="66"/>
    <x v="4"/>
    <s v="Delhi"/>
    <n v="22.58"/>
    <d v="1900-03-15T22:04:48"/>
    <n v="279.43"/>
    <n v="1"/>
    <n v="279.43"/>
    <n v="3.7"/>
    <x v="3"/>
    <x v="2"/>
  </r>
  <r>
    <s v="TRIP00090"/>
    <x v="75"/>
    <x v="4"/>
    <s v="Mumbai"/>
    <n v="16.32"/>
    <d v="1900-02-14T21:07:12"/>
    <n v="294.10000000000002"/>
    <n v="1"/>
    <n v="294.10000000000002"/>
    <n v="4.9000000000000004"/>
    <x v="1"/>
    <x v="2"/>
  </r>
  <r>
    <s v="TRIP00091"/>
    <x v="76"/>
    <x v="2"/>
    <s v="Kolkata"/>
    <n v="10.36"/>
    <d v="1900-01-20T14:52:48"/>
    <n v="199.39"/>
    <n v="2"/>
    <n v="398.78"/>
    <n v="3.1"/>
    <x v="0"/>
    <x v="3"/>
  </r>
  <r>
    <s v="TRIP00092"/>
    <x v="77"/>
    <x v="1"/>
    <s v="Mumbai"/>
    <n v="21.17"/>
    <d v="1900-02-13T12:43:12"/>
    <n v="246.89"/>
    <n v="1"/>
    <n v="246.89"/>
    <n v="4.4000000000000004"/>
    <x v="1"/>
    <x v="0"/>
  </r>
  <r>
    <s v="TRIP00093"/>
    <x v="78"/>
    <x v="0"/>
    <s v="Bangalore"/>
    <n v="19.2"/>
    <d v="1900-02-28T20:09:36"/>
    <n v="365.02"/>
    <n v="1"/>
    <n v="365.02"/>
    <n v="4.8"/>
    <x v="0"/>
    <x v="3"/>
  </r>
  <r>
    <s v="TRIP00094"/>
    <x v="79"/>
    <x v="1"/>
    <s v="Delhi"/>
    <n v="28.56"/>
    <d v="1900-04-16T23:16:48"/>
    <n v="415.74"/>
    <n v="2"/>
    <n v="831.48"/>
    <n v="3.7"/>
    <x v="2"/>
    <x v="3"/>
  </r>
  <r>
    <s v="TRIP00095"/>
    <x v="69"/>
    <x v="0"/>
    <s v="Chennai"/>
    <n v="6.46"/>
    <d v="1900-01-17T21:50:24"/>
    <n v="87.43"/>
    <n v="1.2"/>
    <n v="104.92"/>
    <n v="3.5"/>
    <x v="4"/>
    <x v="0"/>
  </r>
  <r>
    <s v="TRIP00096"/>
    <x v="80"/>
    <x v="3"/>
    <s v="Chennai"/>
    <n v="29.26"/>
    <d v="1900-04-25T05:31:12"/>
    <n v="496.88"/>
    <n v="1"/>
    <n v="496.88"/>
    <n v="3.6"/>
    <x v="3"/>
    <x v="2"/>
  </r>
  <r>
    <s v="TRIP00097"/>
    <x v="81"/>
    <x v="2"/>
    <s v="Chennai"/>
    <n v="18.48"/>
    <d v="1900-02-14T23:16:48"/>
    <n v="209.41"/>
    <n v="1.5"/>
    <n v="314.12"/>
    <n v="4.5999999999999996"/>
    <x v="0"/>
    <x v="0"/>
  </r>
  <r>
    <s v="TRIP00098"/>
    <x v="82"/>
    <x v="1"/>
    <s v="Delhi"/>
    <n v="13.08"/>
    <d v="1900-02-09T08:38:24"/>
    <n v="251.03"/>
    <n v="1.2"/>
    <n v="301.24"/>
    <n v="4.9000000000000004"/>
    <x v="0"/>
    <x v="1"/>
  </r>
  <r>
    <s v="TRIP00099"/>
    <x v="83"/>
    <x v="0"/>
    <s v="Kolkata"/>
    <n v="17"/>
    <d v="1900-02-07T14:24:00"/>
    <n v="239.91"/>
    <n v="1.2"/>
    <n v="287.89"/>
    <n v="4.5999999999999996"/>
    <x v="1"/>
    <x v="3"/>
  </r>
  <r>
    <s v="TRIP00100"/>
    <x v="84"/>
    <x v="3"/>
    <s v="Kolkata"/>
    <n v="29.57"/>
    <d v="1900-03-21T10:04:48"/>
    <n v="517.35"/>
    <n v="1"/>
    <n v="517.35"/>
    <n v="4.9000000000000004"/>
    <x v="4"/>
    <x v="3"/>
  </r>
  <r>
    <s v="TRIP00101"/>
    <x v="85"/>
    <x v="3"/>
    <s v="Delhi"/>
    <n v="17.5"/>
    <d v="1900-02-05T05:16:48"/>
    <n v="181.44"/>
    <n v="1.5"/>
    <n v="272.16000000000003"/>
    <n v="3.5"/>
    <x v="1"/>
    <x v="2"/>
  </r>
  <r>
    <s v="TRIP00102"/>
    <x v="86"/>
    <x v="0"/>
    <s v="Mumbai"/>
    <n v="26.08"/>
    <d v="1900-04-03T13:26:24"/>
    <n v="521.53"/>
    <n v="1.2"/>
    <n v="625.84"/>
    <n v="4.8"/>
    <x v="4"/>
    <x v="1"/>
  </r>
  <r>
    <s v="TRIP00103"/>
    <x v="87"/>
    <x v="3"/>
    <s v="Kolkata"/>
    <n v="23.3"/>
    <d v="1900-03-30T15:07:12"/>
    <n v="430.97"/>
    <n v="1"/>
    <n v="430.97"/>
    <n v="3.5"/>
    <x v="0"/>
    <x v="0"/>
  </r>
  <r>
    <s v="TRIP00104"/>
    <x v="78"/>
    <x v="0"/>
    <s v="Chennai"/>
    <n v="28.67"/>
    <d v="1900-04-01T02:24:00"/>
    <n v="352.25"/>
    <n v="1"/>
    <n v="352.25"/>
    <n v="4.5"/>
    <x v="3"/>
    <x v="2"/>
  </r>
  <r>
    <s v="TRIP00105"/>
    <x v="88"/>
    <x v="2"/>
    <s v="Mumbai"/>
    <n v="11.39"/>
    <d v="1900-01-24T08:52:48"/>
    <n v="190.39"/>
    <n v="1.2"/>
    <n v="228.47"/>
    <n v="4"/>
    <x v="0"/>
    <x v="2"/>
  </r>
  <r>
    <s v="TRIP00106"/>
    <x v="89"/>
    <x v="0"/>
    <s v="Chennai"/>
    <n v="16.079999999999998"/>
    <d v="1900-02-27T13:40:48"/>
    <n v="249.55"/>
    <n v="1"/>
    <n v="249.55"/>
    <n v="3.2"/>
    <x v="0"/>
    <x v="0"/>
  </r>
  <r>
    <s v="TRIP00107"/>
    <x v="90"/>
    <x v="0"/>
    <s v="Kolkata"/>
    <n v="12.7"/>
    <d v="1900-01-27T19:12:00"/>
    <n v="130.66"/>
    <n v="1.5"/>
    <n v="195.99"/>
    <n v="4.5999999999999996"/>
    <x v="2"/>
    <x v="1"/>
  </r>
  <r>
    <s v="TRIP00108"/>
    <x v="91"/>
    <x v="4"/>
    <s v="Bangalore"/>
    <n v="24.35"/>
    <d v="1900-04-01T16:19:12"/>
    <n v="393.8"/>
    <n v="1.2"/>
    <n v="472.56"/>
    <n v="3.7"/>
    <x v="4"/>
    <x v="3"/>
  </r>
  <r>
    <s v="TRIP00109"/>
    <x v="92"/>
    <x v="1"/>
    <s v="Chennai"/>
    <n v="19.46"/>
    <d v="1900-02-28T12:14:24"/>
    <n v="212.31"/>
    <n v="1.2"/>
    <n v="254.77"/>
    <n v="3.7"/>
    <x v="1"/>
    <x v="3"/>
  </r>
  <r>
    <s v="TRIP00110"/>
    <x v="93"/>
    <x v="3"/>
    <s v="Mumbai"/>
    <n v="14.08"/>
    <d v="1900-02-21T19:12:00"/>
    <n v="182.75"/>
    <n v="1.2"/>
    <n v="219.3"/>
    <n v="4.7"/>
    <x v="1"/>
    <x v="0"/>
  </r>
  <r>
    <s v="TRIP00111"/>
    <x v="94"/>
    <x v="2"/>
    <s v="Mumbai"/>
    <n v="24.1"/>
    <d v="1900-03-10T08:09:36"/>
    <n v="443.94"/>
    <n v="1"/>
    <n v="443.94"/>
    <n v="3.5"/>
    <x v="1"/>
    <x v="3"/>
  </r>
  <r>
    <s v="TRIP00112"/>
    <x v="55"/>
    <x v="1"/>
    <s v="Delhi"/>
    <n v="29.42"/>
    <d v="1900-03-27T19:55:12"/>
    <n v="390.92"/>
    <n v="1.5"/>
    <n v="586.38"/>
    <n v="4.2"/>
    <x v="0"/>
    <x v="2"/>
  </r>
  <r>
    <s v="TRIP00113"/>
    <x v="95"/>
    <x v="1"/>
    <s v="Kolkata"/>
    <n v="4.74"/>
    <d v="1900-01-09T16:33:36"/>
    <n v="54.6"/>
    <n v="1.2"/>
    <n v="65.52"/>
    <n v="4.4000000000000004"/>
    <x v="0"/>
    <x v="3"/>
  </r>
  <r>
    <s v="TRIP00114"/>
    <x v="96"/>
    <x v="2"/>
    <s v="Bangalore"/>
    <n v="21.2"/>
    <d v="1900-02-27T20:24:00"/>
    <n v="397.36"/>
    <n v="1.5"/>
    <n v="596.04"/>
    <n v="4.3"/>
    <x v="1"/>
    <x v="2"/>
  </r>
  <r>
    <s v="TRIP00115"/>
    <x v="97"/>
    <x v="4"/>
    <s v="Chennai"/>
    <n v="6.58"/>
    <d v="1900-01-12T16:48:00"/>
    <n v="76.92"/>
    <n v="2"/>
    <n v="153.84"/>
    <n v="3.7"/>
    <x v="4"/>
    <x v="3"/>
  </r>
  <r>
    <s v="TRIP00116"/>
    <x v="98"/>
    <x v="4"/>
    <s v="Chennai"/>
    <n v="3.57"/>
    <d v="1900-01-07T00:00:00"/>
    <n v="52.15"/>
    <n v="1.2"/>
    <n v="62.58"/>
    <n v="4.8"/>
    <x v="4"/>
    <x v="0"/>
  </r>
  <r>
    <s v="TRIP00117"/>
    <x v="99"/>
    <x v="3"/>
    <s v="Delhi"/>
    <n v="10.57"/>
    <d v="1900-01-26T22:33:36"/>
    <n v="115.46"/>
    <n v="1.5"/>
    <n v="173.19"/>
    <n v="4.3"/>
    <x v="1"/>
    <x v="0"/>
  </r>
  <r>
    <s v="TRIP00118"/>
    <x v="100"/>
    <x v="3"/>
    <s v="Kolkata"/>
    <n v="15.84"/>
    <d v="1900-02-04T15:36:00"/>
    <n v="218.16"/>
    <n v="1"/>
    <n v="218.16"/>
    <n v="3.6"/>
    <x v="4"/>
    <x v="0"/>
  </r>
  <r>
    <s v="TRIP00119"/>
    <x v="101"/>
    <x v="2"/>
    <s v="Kolkata"/>
    <n v="3.45"/>
    <d v="1900-01-10T00:28:48"/>
    <n v="68.53"/>
    <n v="1.5"/>
    <n v="102.8"/>
    <n v="3.7"/>
    <x v="0"/>
    <x v="1"/>
  </r>
  <r>
    <s v="TRIP00120"/>
    <x v="102"/>
    <x v="4"/>
    <s v="Delhi"/>
    <n v="7.85"/>
    <d v="1900-01-26T15:07:12"/>
    <n v="120.2"/>
    <n v="1.2"/>
    <n v="144.24"/>
    <n v="4.5"/>
    <x v="4"/>
    <x v="0"/>
  </r>
  <r>
    <s v="TRIP00121"/>
    <x v="103"/>
    <x v="2"/>
    <s v="Delhi"/>
    <n v="5.28"/>
    <d v="1900-01-10T23:16:48"/>
    <n v="89.08"/>
    <n v="1.5"/>
    <n v="133.62"/>
    <n v="4"/>
    <x v="3"/>
    <x v="2"/>
  </r>
  <r>
    <s v="TRIP00122"/>
    <x v="100"/>
    <x v="2"/>
    <s v="Kolkata"/>
    <n v="1.88"/>
    <d v="1900-01-06T00:28:48"/>
    <n v="25.46"/>
    <n v="1.5"/>
    <n v="38.19"/>
    <n v="3.5"/>
    <x v="3"/>
    <x v="0"/>
  </r>
  <r>
    <s v="TRIP00123"/>
    <x v="104"/>
    <x v="2"/>
    <s v="Kolkata"/>
    <n v="11.94"/>
    <d v="1900-01-23T08:38:24"/>
    <n v="157.86000000000001"/>
    <n v="1.5"/>
    <n v="236.79"/>
    <n v="3.2"/>
    <x v="2"/>
    <x v="0"/>
  </r>
  <r>
    <s v="TRIP00124"/>
    <x v="28"/>
    <x v="4"/>
    <s v="Bangalore"/>
    <n v="4.47"/>
    <d v="1900-01-15T21:36:00"/>
    <n v="71.23"/>
    <n v="2"/>
    <n v="142.46"/>
    <n v="3.7"/>
    <x v="3"/>
    <x v="1"/>
  </r>
  <r>
    <s v="TRIP00125"/>
    <x v="105"/>
    <x v="2"/>
    <s v="Bangalore"/>
    <n v="15.45"/>
    <d v="1900-02-01T14:09:36"/>
    <n v="237.48"/>
    <n v="1.2"/>
    <n v="284.98"/>
    <n v="4.0999999999999996"/>
    <x v="0"/>
    <x v="1"/>
  </r>
  <r>
    <s v="TRIP00126"/>
    <x v="106"/>
    <x v="3"/>
    <s v="Delhi"/>
    <n v="4.7"/>
    <d v="1900-01-11T01:40:48"/>
    <n v="64.06"/>
    <n v="1.2"/>
    <n v="76.87"/>
    <n v="4.2"/>
    <x v="2"/>
    <x v="0"/>
  </r>
  <r>
    <s v="TRIP00127"/>
    <x v="107"/>
    <x v="0"/>
    <s v="Mumbai"/>
    <n v="29.61"/>
    <d v="1900-04-04T02:09:36"/>
    <n v="366.34"/>
    <n v="1.2"/>
    <n v="439.61"/>
    <n v="3.5"/>
    <x v="4"/>
    <x v="3"/>
  </r>
  <r>
    <s v="TRIP00128"/>
    <x v="108"/>
    <x v="2"/>
    <s v="Bangalore"/>
    <n v="8.1300000000000008"/>
    <d v="1900-01-17T20:52:48"/>
    <n v="96.47"/>
    <n v="1.2"/>
    <n v="115.76"/>
    <n v="4.5999999999999996"/>
    <x v="4"/>
    <x v="2"/>
  </r>
  <r>
    <s v="TRIP00129"/>
    <x v="109"/>
    <x v="2"/>
    <s v="Chennai"/>
    <n v="27.01"/>
    <d v="1900-02-26T08:24:00"/>
    <n v="411.77"/>
    <n v="2"/>
    <n v="823.54"/>
    <n v="4.4000000000000004"/>
    <x v="2"/>
    <x v="3"/>
  </r>
  <r>
    <s v="TRIP00130"/>
    <x v="45"/>
    <x v="4"/>
    <s v="Bangalore"/>
    <n v="27"/>
    <d v="1900-03-25T02:24:00"/>
    <n v="517.70000000000005"/>
    <n v="1.5"/>
    <n v="776.55"/>
    <n v="4.5999999999999996"/>
    <x v="4"/>
    <x v="3"/>
  </r>
  <r>
    <s v="TRIP00131"/>
    <x v="110"/>
    <x v="0"/>
    <s v="Kolkata"/>
    <n v="5.96"/>
    <d v="1900-01-18T21:21:36"/>
    <n v="114.99"/>
    <n v="1.5"/>
    <n v="172.48"/>
    <n v="4.0999999999999996"/>
    <x v="4"/>
    <x v="3"/>
  </r>
  <r>
    <s v="TRIP00132"/>
    <x v="111"/>
    <x v="0"/>
    <s v="Mumbai"/>
    <n v="9.1199999999999992"/>
    <d v="1900-01-31T06:43:12"/>
    <n v="108.26"/>
    <n v="1.2"/>
    <n v="129.91"/>
    <n v="4.4000000000000004"/>
    <x v="2"/>
    <x v="1"/>
  </r>
  <r>
    <s v="TRIP00133"/>
    <x v="81"/>
    <x v="2"/>
    <s v="Bangalore"/>
    <n v="15.72"/>
    <d v="1900-02-07T01:26:24"/>
    <n v="175.25"/>
    <n v="1.2"/>
    <n v="210.3"/>
    <n v="4.5"/>
    <x v="4"/>
    <x v="3"/>
  </r>
  <r>
    <s v="TRIP00134"/>
    <x v="112"/>
    <x v="2"/>
    <s v="Mumbai"/>
    <n v="17.86"/>
    <d v="1900-02-09T05:31:12"/>
    <n v="264.52999999999997"/>
    <n v="1.5"/>
    <n v="396.79"/>
    <n v="4.2"/>
    <x v="0"/>
    <x v="0"/>
  </r>
  <r>
    <s v="TRIP00135"/>
    <x v="113"/>
    <x v="2"/>
    <s v="Bangalore"/>
    <n v="14.17"/>
    <d v="1900-02-11T21:21:36"/>
    <n v="219.48"/>
    <n v="1.2"/>
    <n v="263.38"/>
    <n v="3.6"/>
    <x v="3"/>
    <x v="1"/>
  </r>
  <r>
    <s v="TRIP00136"/>
    <x v="114"/>
    <x v="3"/>
    <s v="Mumbai"/>
    <n v="3.55"/>
    <d v="1900-01-07T02:09:36"/>
    <n v="35.6"/>
    <n v="1"/>
    <n v="35.6"/>
    <n v="4.2"/>
    <x v="2"/>
    <x v="1"/>
  </r>
  <r>
    <s v="TRIP00137"/>
    <x v="112"/>
    <x v="3"/>
    <s v="Chennai"/>
    <n v="12.94"/>
    <d v="1900-02-02T21:50:24"/>
    <n v="249.68"/>
    <n v="1.2"/>
    <n v="299.62"/>
    <n v="4.5"/>
    <x v="1"/>
    <x v="2"/>
  </r>
  <r>
    <s v="TRIP00138"/>
    <x v="115"/>
    <x v="1"/>
    <s v="Kolkata"/>
    <n v="28.06"/>
    <d v="1900-04-20T17:31:12"/>
    <n v="338.12"/>
    <n v="1.5"/>
    <n v="507.18"/>
    <n v="3.1"/>
    <x v="1"/>
    <x v="3"/>
  </r>
  <r>
    <s v="TRIP00139"/>
    <x v="116"/>
    <x v="0"/>
    <s v="Chennai"/>
    <n v="21.93"/>
    <d v="1900-02-13T23:16:48"/>
    <n v="390.69"/>
    <n v="1.5"/>
    <n v="586.04"/>
    <n v="4.5999999999999996"/>
    <x v="3"/>
    <x v="3"/>
  </r>
  <r>
    <s v="TRIP00140"/>
    <x v="117"/>
    <x v="0"/>
    <s v="Kolkata"/>
    <n v="24.19"/>
    <d v="1900-03-28T07:12:00"/>
    <n v="286.99"/>
    <n v="1.5"/>
    <n v="430.48"/>
    <n v="4.3"/>
    <x v="3"/>
    <x v="2"/>
  </r>
  <r>
    <s v="TRIP00141"/>
    <x v="118"/>
    <x v="2"/>
    <s v="Chennai"/>
    <n v="11.41"/>
    <d v="1900-02-10T20:09:36"/>
    <n v="158.88"/>
    <n v="2"/>
    <n v="317.76"/>
    <n v="3.9"/>
    <x v="3"/>
    <x v="0"/>
  </r>
  <r>
    <s v="TRIP00142"/>
    <x v="119"/>
    <x v="3"/>
    <s v="Chennai"/>
    <n v="11.93"/>
    <d v="1900-02-02T21:36:00"/>
    <n v="155.25"/>
    <n v="1.5"/>
    <n v="232.88"/>
    <n v="3.9"/>
    <x v="3"/>
    <x v="3"/>
  </r>
  <r>
    <s v="TRIP00143"/>
    <x v="120"/>
    <x v="0"/>
    <s v="Delhi"/>
    <n v="11.31"/>
    <d v="1900-01-30T11:31:12"/>
    <n v="173.25"/>
    <n v="1"/>
    <n v="173.25"/>
    <n v="4.8"/>
    <x v="1"/>
    <x v="1"/>
  </r>
  <r>
    <s v="TRIP00144"/>
    <x v="121"/>
    <x v="3"/>
    <s v="Delhi"/>
    <n v="4.3899999999999997"/>
    <d v="1900-01-16T00:43:12"/>
    <n v="71.459999999999994"/>
    <n v="2"/>
    <n v="142.91999999999999"/>
    <n v="4.4000000000000004"/>
    <x v="4"/>
    <x v="0"/>
  </r>
  <r>
    <s v="TRIP00145"/>
    <x v="122"/>
    <x v="4"/>
    <s v="Bangalore"/>
    <n v="26.48"/>
    <d v="1900-03-19T04:48:00"/>
    <n v="461.14"/>
    <n v="1.5"/>
    <n v="691.71"/>
    <n v="4.5999999999999996"/>
    <x v="3"/>
    <x v="0"/>
  </r>
  <r>
    <s v="TRIP00146"/>
    <x v="112"/>
    <x v="1"/>
    <s v="Mumbai"/>
    <n v="22.82"/>
    <d v="1900-03-17T21:50:24"/>
    <n v="405.87"/>
    <n v="1"/>
    <n v="405.87"/>
    <n v="3.1"/>
    <x v="3"/>
    <x v="0"/>
  </r>
  <r>
    <s v="TRIP00147"/>
    <x v="56"/>
    <x v="1"/>
    <s v="Kolkata"/>
    <n v="21.71"/>
    <d v="1900-03-04T20:52:48"/>
    <n v="380.93"/>
    <n v="1.2"/>
    <n v="457.12"/>
    <n v="4.5999999999999996"/>
    <x v="0"/>
    <x v="1"/>
  </r>
  <r>
    <s v="TRIP00148"/>
    <x v="123"/>
    <x v="0"/>
    <s v="Kolkata"/>
    <n v="11.99"/>
    <d v="1900-02-02T22:33:36"/>
    <n v="192.31"/>
    <n v="1.5"/>
    <n v="288.47000000000003"/>
    <n v="4.5999999999999996"/>
    <x v="3"/>
    <x v="1"/>
  </r>
  <r>
    <s v="TRIP00149"/>
    <x v="124"/>
    <x v="1"/>
    <s v="Kolkata"/>
    <n v="15.1"/>
    <d v="1900-02-10T13:12:00"/>
    <n v="267.55"/>
    <n v="1.5"/>
    <n v="401.33"/>
    <n v="4.3"/>
    <x v="4"/>
    <x v="1"/>
  </r>
  <r>
    <s v="TRIP00150"/>
    <x v="20"/>
    <x v="3"/>
    <s v="Delhi"/>
    <n v="17.399999999999999"/>
    <d v="1900-02-27T17:16:48"/>
    <n v="278.23"/>
    <n v="2"/>
    <n v="556.46"/>
    <n v="3.4"/>
    <x v="2"/>
    <x v="1"/>
  </r>
  <r>
    <s v="TRIP00151"/>
    <x v="79"/>
    <x v="4"/>
    <s v="Mumbai"/>
    <n v="10.93"/>
    <d v="1900-01-25T19:55:12"/>
    <n v="155.6"/>
    <n v="1.2"/>
    <n v="186.72"/>
    <n v="4.9000000000000004"/>
    <x v="0"/>
    <x v="1"/>
  </r>
  <r>
    <s v="TRIP00152"/>
    <x v="125"/>
    <x v="1"/>
    <s v="Delhi"/>
    <n v="18"/>
    <d v="1900-02-22T05:02:24"/>
    <n v="290.06"/>
    <n v="1.5"/>
    <n v="435.09"/>
    <n v="4.5"/>
    <x v="4"/>
    <x v="0"/>
  </r>
  <r>
    <s v="TRIP00153"/>
    <x v="126"/>
    <x v="2"/>
    <s v="Delhi"/>
    <n v="28.03"/>
    <d v="1900-03-27T17:45:36"/>
    <n v="475.57"/>
    <n v="2"/>
    <n v="951.14"/>
    <n v="3"/>
    <x v="3"/>
    <x v="2"/>
  </r>
  <r>
    <s v="TRIP00154"/>
    <x v="127"/>
    <x v="2"/>
    <s v="Chennai"/>
    <n v="5.42"/>
    <d v="1900-01-16T02:09:36"/>
    <n v="87.08"/>
    <n v="1.2"/>
    <n v="104.5"/>
    <n v="3.2"/>
    <x v="2"/>
    <x v="0"/>
  </r>
  <r>
    <s v="TRIP00155"/>
    <x v="116"/>
    <x v="4"/>
    <s v="Mumbai"/>
    <n v="25.37"/>
    <d v="1900-04-05T22:48:00"/>
    <n v="284.86"/>
    <n v="1"/>
    <n v="284.86"/>
    <n v="5"/>
    <x v="1"/>
    <x v="2"/>
  </r>
  <r>
    <s v="TRIP00156"/>
    <x v="128"/>
    <x v="0"/>
    <s v="Kolkata"/>
    <n v="6.4"/>
    <d v="1900-01-22T12:28:48"/>
    <n v="85.26"/>
    <n v="1.2"/>
    <n v="102.31"/>
    <n v="4"/>
    <x v="2"/>
    <x v="3"/>
  </r>
  <r>
    <s v="TRIP00157"/>
    <x v="129"/>
    <x v="0"/>
    <s v="Kolkata"/>
    <n v="12"/>
    <d v="1900-02-09T20:38:24"/>
    <n v="144.66999999999999"/>
    <n v="1"/>
    <n v="144.66999999999999"/>
    <n v="3"/>
    <x v="0"/>
    <x v="0"/>
  </r>
  <r>
    <s v="TRIP00158"/>
    <x v="130"/>
    <x v="2"/>
    <s v="Bangalore"/>
    <n v="12.55"/>
    <d v="1900-02-06T14:09:36"/>
    <n v="240.94"/>
    <n v="1.2"/>
    <n v="289.13"/>
    <n v="3.9"/>
    <x v="0"/>
    <x v="1"/>
  </r>
  <r>
    <s v="TRIP00159"/>
    <x v="131"/>
    <x v="0"/>
    <s v="Chennai"/>
    <n v="14.11"/>
    <d v="1900-02-02T13:26:24"/>
    <n v="204.94"/>
    <n v="1.5"/>
    <n v="307.41000000000003"/>
    <n v="3.5"/>
    <x v="4"/>
    <x v="3"/>
  </r>
  <r>
    <s v="TRIP00160"/>
    <x v="132"/>
    <x v="4"/>
    <s v="Chennai"/>
    <n v="15.45"/>
    <d v="1900-02-11T20:09:36"/>
    <n v="295.83999999999997"/>
    <n v="1"/>
    <n v="295.83999999999997"/>
    <n v="4.5999999999999996"/>
    <x v="1"/>
    <x v="3"/>
  </r>
  <r>
    <s v="TRIP00161"/>
    <x v="133"/>
    <x v="3"/>
    <s v="Kolkata"/>
    <n v="7.38"/>
    <d v="1900-01-16T21:36:00"/>
    <n v="111.82"/>
    <n v="1"/>
    <n v="111.82"/>
    <n v="4.9000000000000004"/>
    <x v="2"/>
    <x v="1"/>
  </r>
  <r>
    <s v="TRIP00162"/>
    <x v="64"/>
    <x v="3"/>
    <s v="Bangalore"/>
    <n v="17.16"/>
    <d v="1900-03-03T20:38:24"/>
    <n v="263.42"/>
    <n v="2"/>
    <n v="526.84"/>
    <n v="4"/>
    <x v="4"/>
    <x v="1"/>
  </r>
  <r>
    <s v="TRIP00163"/>
    <x v="101"/>
    <x v="0"/>
    <s v="Delhi"/>
    <n v="9.99"/>
    <d v="1900-01-26T22:04:48"/>
    <n v="142.54"/>
    <n v="2"/>
    <n v="285.08"/>
    <n v="4.8"/>
    <x v="4"/>
    <x v="2"/>
  </r>
  <r>
    <s v="TRIP00164"/>
    <x v="134"/>
    <x v="1"/>
    <s v="Mumbai"/>
    <n v="14.58"/>
    <d v="1900-02-15T09:07:12"/>
    <n v="200.87"/>
    <n v="2"/>
    <n v="401.74"/>
    <n v="4.0999999999999996"/>
    <x v="1"/>
    <x v="0"/>
  </r>
  <r>
    <s v="TRIP00165"/>
    <x v="135"/>
    <x v="3"/>
    <s v="Kolkata"/>
    <n v="9.5299999999999994"/>
    <d v="1900-01-31T16:04:48"/>
    <n v="145.58000000000001"/>
    <n v="1.2"/>
    <n v="174.7"/>
    <n v="3.9"/>
    <x v="4"/>
    <x v="1"/>
  </r>
  <r>
    <s v="TRIP00166"/>
    <x v="136"/>
    <x v="1"/>
    <s v="Delhi"/>
    <n v="15.41"/>
    <d v="1900-02-22T09:50:24"/>
    <n v="169.97"/>
    <n v="2"/>
    <n v="339.94"/>
    <n v="4.7"/>
    <x v="2"/>
    <x v="0"/>
  </r>
  <r>
    <s v="TRIP00167"/>
    <x v="137"/>
    <x v="3"/>
    <s v="Bangalore"/>
    <n v="22.84"/>
    <d v="1900-02-26T02:52:48"/>
    <n v="433.37"/>
    <n v="1.2"/>
    <n v="520.04"/>
    <n v="3.8"/>
    <x v="2"/>
    <x v="2"/>
  </r>
  <r>
    <s v="TRIP00168"/>
    <x v="138"/>
    <x v="0"/>
    <s v="Mumbai"/>
    <n v="29.39"/>
    <d v="1900-04-17T03:21:36"/>
    <n v="548.71"/>
    <n v="2"/>
    <n v="1097.42"/>
    <n v="3.1"/>
    <x v="1"/>
    <x v="1"/>
  </r>
  <r>
    <s v="TRIP00169"/>
    <x v="139"/>
    <x v="1"/>
    <s v="Mumbai"/>
    <n v="8.36"/>
    <d v="1900-01-19T00:00:00"/>
    <n v="125.86"/>
    <n v="2"/>
    <n v="251.72"/>
    <n v="3.2"/>
    <x v="3"/>
    <x v="2"/>
  </r>
  <r>
    <s v="TRIP00170"/>
    <x v="100"/>
    <x v="1"/>
    <s v="Mumbai"/>
    <n v="17.510000000000002"/>
    <d v="1900-03-06T02:24:00"/>
    <n v="272.58"/>
    <n v="2"/>
    <n v="545.16"/>
    <n v="3.2"/>
    <x v="4"/>
    <x v="0"/>
  </r>
  <r>
    <s v="TRIP00171"/>
    <x v="25"/>
    <x v="0"/>
    <s v="Bangalore"/>
    <n v="29.67"/>
    <d v="1900-04-04T03:07:12"/>
    <n v="536.09"/>
    <n v="2"/>
    <n v="1072.18"/>
    <n v="3.8"/>
    <x v="2"/>
    <x v="3"/>
  </r>
  <r>
    <s v="TRIP00172"/>
    <x v="24"/>
    <x v="2"/>
    <s v="Bangalore"/>
    <n v="5.09"/>
    <d v="1900-01-13T07:40:48"/>
    <n v="67.39"/>
    <n v="1.2"/>
    <n v="80.87"/>
    <n v="3"/>
    <x v="0"/>
    <x v="1"/>
  </r>
  <r>
    <s v="TRIP00173"/>
    <x v="140"/>
    <x v="4"/>
    <s v="Delhi"/>
    <n v="22.34"/>
    <d v="1900-03-22T13:40:48"/>
    <n v="250.83"/>
    <n v="1.5"/>
    <n v="376.24"/>
    <n v="4.2"/>
    <x v="1"/>
    <x v="3"/>
  </r>
  <r>
    <s v="TRIP00174"/>
    <x v="141"/>
    <x v="3"/>
    <s v="Bangalore"/>
    <n v="21.41"/>
    <d v="1900-03-21T19:26:24"/>
    <n v="347.86"/>
    <n v="1.5"/>
    <n v="521.79"/>
    <n v="3.5"/>
    <x v="1"/>
    <x v="2"/>
  </r>
  <r>
    <s v="TRIP00175"/>
    <x v="142"/>
    <x v="1"/>
    <s v="Chennai"/>
    <n v="18.12"/>
    <d v="1900-02-13T22:48:00"/>
    <n v="294.3"/>
    <n v="1.2"/>
    <n v="353.16"/>
    <n v="4.5"/>
    <x v="2"/>
    <x v="1"/>
  </r>
  <r>
    <s v="TRIP00176"/>
    <x v="143"/>
    <x v="2"/>
    <s v="Delhi"/>
    <n v="25.97"/>
    <d v="1900-03-03T08:09:36"/>
    <n v="512.79"/>
    <n v="2"/>
    <n v="1025.58"/>
    <n v="3.3"/>
    <x v="4"/>
    <x v="2"/>
  </r>
  <r>
    <s v="TRIP00177"/>
    <x v="10"/>
    <x v="4"/>
    <s v="Delhi"/>
    <n v="17.41"/>
    <d v="1900-03-09T03:07:12"/>
    <n v="256.11"/>
    <n v="2"/>
    <n v="512.22"/>
    <n v="3.9"/>
    <x v="1"/>
    <x v="1"/>
  </r>
  <r>
    <s v="TRIP00178"/>
    <x v="144"/>
    <x v="2"/>
    <s v="Mumbai"/>
    <n v="15.86"/>
    <d v="1900-02-23T06:00:00"/>
    <n v="269.44"/>
    <n v="1"/>
    <n v="269.44"/>
    <n v="3.5"/>
    <x v="1"/>
    <x v="0"/>
  </r>
  <r>
    <s v="TRIP00179"/>
    <x v="145"/>
    <x v="4"/>
    <s v="Chennai"/>
    <n v="19.71"/>
    <d v="1900-02-24T00:57:36"/>
    <n v="223.17"/>
    <n v="1"/>
    <n v="223.17"/>
    <n v="3.3"/>
    <x v="3"/>
    <x v="1"/>
  </r>
  <r>
    <s v="TRIP00180"/>
    <x v="1"/>
    <x v="4"/>
    <s v="Chennai"/>
    <n v="20.81"/>
    <d v="1900-03-15T20:38:24"/>
    <n v="318.32"/>
    <n v="1.2"/>
    <n v="381.98"/>
    <n v="4.2"/>
    <x v="3"/>
    <x v="3"/>
  </r>
  <r>
    <s v="TRIP00181"/>
    <x v="88"/>
    <x v="1"/>
    <s v="Kolkata"/>
    <n v="17.07"/>
    <d v="1900-02-24T09:07:12"/>
    <n v="312.33999999999997"/>
    <n v="1.5"/>
    <n v="468.51"/>
    <n v="3.2"/>
    <x v="2"/>
    <x v="3"/>
  </r>
  <r>
    <s v="TRIP00182"/>
    <x v="46"/>
    <x v="4"/>
    <s v="Delhi"/>
    <n v="4.97"/>
    <d v="1900-01-17T21:21:36"/>
    <n v="93.13"/>
    <n v="2"/>
    <n v="186.26"/>
    <n v="3.5"/>
    <x v="2"/>
    <x v="0"/>
  </r>
  <r>
    <s v="TRIP00183"/>
    <x v="146"/>
    <x v="4"/>
    <s v="Mumbai"/>
    <n v="20.29"/>
    <d v="1900-02-15T16:48:00"/>
    <n v="388.43"/>
    <n v="1.2"/>
    <n v="466.12"/>
    <n v="3.8"/>
    <x v="3"/>
    <x v="1"/>
  </r>
  <r>
    <s v="TRIP00184"/>
    <x v="65"/>
    <x v="0"/>
    <s v="Delhi"/>
    <n v="16.05"/>
    <d v="1900-02-01T14:38:24"/>
    <n v="187.19"/>
    <n v="1.5"/>
    <n v="280.77999999999997"/>
    <n v="3.4"/>
    <x v="2"/>
    <x v="1"/>
  </r>
  <r>
    <s v="TRIP00185"/>
    <x v="147"/>
    <x v="3"/>
    <s v="Delhi"/>
    <n v="18.489999999999998"/>
    <d v="1900-02-14T01:12:00"/>
    <n v="256.88"/>
    <n v="2"/>
    <n v="513.76"/>
    <n v="3.9"/>
    <x v="2"/>
    <x v="2"/>
  </r>
  <r>
    <s v="TRIP00186"/>
    <x v="148"/>
    <x v="1"/>
    <s v="Mumbai"/>
    <n v="21.85"/>
    <d v="1900-02-24T16:19:12"/>
    <n v="342.26"/>
    <n v="1.2"/>
    <n v="410.71"/>
    <n v="3.8"/>
    <x v="0"/>
    <x v="2"/>
  </r>
  <r>
    <s v="TRIP00187"/>
    <x v="109"/>
    <x v="0"/>
    <s v="Bangalore"/>
    <n v="28.17"/>
    <d v="1900-04-06T14:38:24"/>
    <n v="342.25"/>
    <n v="2"/>
    <n v="684.5"/>
    <n v="4.0999999999999996"/>
    <x v="1"/>
    <x v="0"/>
  </r>
  <r>
    <s v="TRIP00188"/>
    <x v="77"/>
    <x v="1"/>
    <s v="Mumbai"/>
    <n v="25.4"/>
    <d v="1900-04-02T19:12:00"/>
    <n v="496.63"/>
    <n v="1.5"/>
    <n v="744.94"/>
    <n v="3.7"/>
    <x v="3"/>
    <x v="2"/>
  </r>
  <r>
    <s v="TRIP00189"/>
    <x v="149"/>
    <x v="2"/>
    <s v="Mumbai"/>
    <n v="14.75"/>
    <d v="1900-02-07T15:50:24"/>
    <n v="199.35"/>
    <n v="1"/>
    <n v="199.35"/>
    <n v="4"/>
    <x v="0"/>
    <x v="3"/>
  </r>
  <r>
    <s v="TRIP00190"/>
    <x v="119"/>
    <x v="1"/>
    <s v="Delhi"/>
    <n v="13.61"/>
    <d v="1900-02-01T22:19:12"/>
    <n v="247.58"/>
    <n v="1"/>
    <n v="247.58"/>
    <n v="3"/>
    <x v="4"/>
    <x v="1"/>
  </r>
  <r>
    <s v="TRIP00191"/>
    <x v="150"/>
    <x v="4"/>
    <s v="Mumbai"/>
    <n v="18.12"/>
    <d v="1900-02-17T07:40:48"/>
    <n v="197.79"/>
    <n v="1.5"/>
    <n v="296.68"/>
    <n v="4.9000000000000004"/>
    <x v="2"/>
    <x v="1"/>
  </r>
  <r>
    <s v="TRIP00192"/>
    <x v="151"/>
    <x v="1"/>
    <s v="Bangalore"/>
    <n v="28.56"/>
    <d v="1900-03-22T14:24:00"/>
    <n v="338.47"/>
    <n v="1.2"/>
    <n v="406.16"/>
    <n v="4.9000000000000004"/>
    <x v="0"/>
    <x v="2"/>
  </r>
  <r>
    <s v="TRIP00193"/>
    <x v="71"/>
    <x v="1"/>
    <s v="Delhi"/>
    <n v="22.23"/>
    <d v="1900-03-20T07:40:48"/>
    <n v="368.75"/>
    <n v="1.2"/>
    <n v="442.5"/>
    <n v="4.3"/>
    <x v="1"/>
    <x v="0"/>
  </r>
  <r>
    <s v="TRIP00194"/>
    <x v="152"/>
    <x v="2"/>
    <s v="Bangalore"/>
    <n v="8.24"/>
    <d v="1900-01-23T13:12:00"/>
    <n v="100.63"/>
    <n v="1.2"/>
    <n v="120.76"/>
    <n v="3.1"/>
    <x v="1"/>
    <x v="2"/>
  </r>
  <r>
    <s v="TRIP00195"/>
    <x v="111"/>
    <x v="3"/>
    <s v="Bangalore"/>
    <n v="2.14"/>
    <d v="1900-01-06T07:12:00"/>
    <n v="41.2"/>
    <n v="1.5"/>
    <n v="61.8"/>
    <n v="4.0999999999999996"/>
    <x v="0"/>
    <x v="2"/>
  </r>
  <r>
    <s v="TRIP00196"/>
    <x v="56"/>
    <x v="2"/>
    <s v="Delhi"/>
    <n v="27.55"/>
    <d v="1900-02-24T23:16:48"/>
    <n v="467.64"/>
    <n v="1"/>
    <n v="467.64"/>
    <n v="3.4"/>
    <x v="3"/>
    <x v="3"/>
  </r>
  <r>
    <s v="TRIP00197"/>
    <x v="153"/>
    <x v="3"/>
    <s v="Mumbai"/>
    <n v="29.16"/>
    <d v="1900-04-22T09:21:36"/>
    <n v="429.88"/>
    <n v="1.2"/>
    <n v="515.86"/>
    <n v="3.1"/>
    <x v="0"/>
    <x v="1"/>
  </r>
  <r>
    <s v="TRIP00198"/>
    <x v="0"/>
    <x v="2"/>
    <s v="Mumbai"/>
    <n v="2.0699999999999998"/>
    <d v="1900-01-05T14:38:24"/>
    <n v="25.46"/>
    <n v="2"/>
    <n v="50.92"/>
    <n v="4"/>
    <x v="1"/>
    <x v="0"/>
  </r>
  <r>
    <s v="TRIP00199"/>
    <x v="154"/>
    <x v="2"/>
    <s v="Chennai"/>
    <n v="21.19"/>
    <d v="1900-02-24T18:43:12"/>
    <n v="365.48"/>
    <n v="2"/>
    <n v="730.96"/>
    <n v="4.0999999999999996"/>
    <x v="4"/>
    <x v="2"/>
  </r>
  <r>
    <s v="TRIP00200"/>
    <x v="59"/>
    <x v="3"/>
    <s v="Delhi"/>
    <n v="23.93"/>
    <d v="1900-03-03T02:52:48"/>
    <n v="389.08"/>
    <n v="2"/>
    <n v="778.16"/>
    <n v="3.9"/>
    <x v="4"/>
    <x v="0"/>
  </r>
  <r>
    <s v="TRIP00201"/>
    <x v="155"/>
    <x v="4"/>
    <s v="Bangalore"/>
    <n v="7.76"/>
    <d v="1900-01-14T21:36:00"/>
    <n v="145.12"/>
    <n v="1.2"/>
    <n v="174.14"/>
    <n v="3"/>
    <x v="4"/>
    <x v="0"/>
  </r>
  <r>
    <s v="TRIP00202"/>
    <x v="156"/>
    <x v="4"/>
    <s v="Kolkata"/>
    <n v="16.34"/>
    <d v="1900-03-03T08:52:48"/>
    <n v="293.92"/>
    <n v="1.5"/>
    <n v="440.88"/>
    <n v="3"/>
    <x v="4"/>
    <x v="0"/>
  </r>
  <r>
    <s v="TRIP00203"/>
    <x v="157"/>
    <x v="4"/>
    <s v="Kolkata"/>
    <n v="23.25"/>
    <d v="1900-03-05T04:33:36"/>
    <n v="344.07"/>
    <n v="1"/>
    <n v="344.07"/>
    <n v="4.2"/>
    <x v="2"/>
    <x v="2"/>
  </r>
  <r>
    <s v="TRIP00204"/>
    <x v="106"/>
    <x v="3"/>
    <s v="Chennai"/>
    <n v="29.54"/>
    <d v="1900-04-13T11:16:48"/>
    <n v="418.81"/>
    <n v="1.5"/>
    <n v="628.22"/>
    <n v="4"/>
    <x v="3"/>
    <x v="0"/>
  </r>
  <r>
    <s v="TRIP00205"/>
    <x v="158"/>
    <x v="2"/>
    <s v="Delhi"/>
    <n v="7.92"/>
    <d v="1900-01-16T14:09:36"/>
    <n v="107.29"/>
    <n v="1.2"/>
    <n v="128.75"/>
    <n v="4.7"/>
    <x v="4"/>
    <x v="2"/>
  </r>
  <r>
    <s v="TRIP00206"/>
    <x v="159"/>
    <x v="3"/>
    <s v="Chennai"/>
    <n v="7.77"/>
    <d v="1900-01-15T04:33:36"/>
    <n v="79.09"/>
    <n v="1.2"/>
    <n v="94.91"/>
    <n v="3.1"/>
    <x v="3"/>
    <x v="2"/>
  </r>
  <r>
    <s v="TRIP00207"/>
    <x v="160"/>
    <x v="1"/>
    <s v="Kolkata"/>
    <n v="12.36"/>
    <d v="1900-01-26T19:12:00"/>
    <n v="241.81"/>
    <n v="1"/>
    <n v="241.81"/>
    <n v="4.5999999999999996"/>
    <x v="2"/>
    <x v="2"/>
  </r>
  <r>
    <s v="TRIP00208"/>
    <x v="30"/>
    <x v="3"/>
    <s v="Mumbai"/>
    <n v="29.49"/>
    <d v="1900-04-20T03:07:12"/>
    <n v="472.08"/>
    <n v="1.2"/>
    <n v="566.5"/>
    <n v="4.2"/>
    <x v="0"/>
    <x v="0"/>
  </r>
  <r>
    <s v="TRIP00209"/>
    <x v="120"/>
    <x v="0"/>
    <s v="Kolkata"/>
    <n v="22.56"/>
    <d v="1900-02-16T01:12:00"/>
    <n v="316.2"/>
    <n v="1"/>
    <n v="316.2"/>
    <n v="4.3"/>
    <x v="1"/>
    <x v="3"/>
  </r>
  <r>
    <s v="TRIP00210"/>
    <x v="20"/>
    <x v="1"/>
    <s v="Bangalore"/>
    <n v="15.87"/>
    <d v="1900-02-07T01:26:24"/>
    <n v="186.71"/>
    <n v="1.2"/>
    <n v="224.05"/>
    <n v="3.1"/>
    <x v="4"/>
    <x v="0"/>
  </r>
  <r>
    <s v="TRIP00211"/>
    <x v="89"/>
    <x v="3"/>
    <s v="Chennai"/>
    <n v="24.96"/>
    <d v="1900-03-29T21:21:36"/>
    <n v="406.79"/>
    <n v="1.5"/>
    <n v="610.19000000000005"/>
    <n v="4.8"/>
    <x v="2"/>
    <x v="3"/>
  </r>
  <r>
    <s v="TRIP00212"/>
    <x v="161"/>
    <x v="1"/>
    <s v="Kolkata"/>
    <n v="18.32"/>
    <d v="1900-02-23T21:07:12"/>
    <n v="230.87"/>
    <n v="1.5"/>
    <n v="346.3"/>
    <n v="4.5"/>
    <x v="3"/>
    <x v="2"/>
  </r>
  <r>
    <s v="TRIP00213"/>
    <x v="118"/>
    <x v="2"/>
    <s v="Bangalore"/>
    <n v="29.89"/>
    <d v="1900-04-22T10:19:12"/>
    <n v="437.4"/>
    <n v="1"/>
    <n v="437.4"/>
    <n v="3.4"/>
    <x v="4"/>
    <x v="2"/>
  </r>
  <r>
    <s v="TRIP00214"/>
    <x v="54"/>
    <x v="2"/>
    <s v="Chennai"/>
    <n v="18.2"/>
    <d v="1900-02-25T12:28:48"/>
    <n v="198.65"/>
    <n v="1"/>
    <n v="198.65"/>
    <n v="3.8"/>
    <x v="4"/>
    <x v="1"/>
  </r>
  <r>
    <s v="TRIP00215"/>
    <x v="162"/>
    <x v="1"/>
    <s v="Bangalore"/>
    <n v="4.76"/>
    <d v="1900-01-16T23:31:12"/>
    <n v="93.09"/>
    <n v="2"/>
    <n v="186.18"/>
    <n v="3.1"/>
    <x v="2"/>
    <x v="0"/>
  </r>
  <r>
    <s v="TRIP00216"/>
    <x v="163"/>
    <x v="4"/>
    <s v="Bangalore"/>
    <n v="28.02"/>
    <d v="1900-04-06T05:45:36"/>
    <n v="359.05"/>
    <n v="2"/>
    <n v="718.1"/>
    <n v="3.7"/>
    <x v="0"/>
    <x v="3"/>
  </r>
  <r>
    <s v="TRIP00217"/>
    <x v="153"/>
    <x v="0"/>
    <s v="Kolkata"/>
    <n v="21.18"/>
    <d v="1900-02-12T10:19:12"/>
    <n v="324.61"/>
    <n v="1"/>
    <n v="324.61"/>
    <n v="3.4"/>
    <x v="2"/>
    <x v="0"/>
  </r>
  <r>
    <s v="TRIP00218"/>
    <x v="21"/>
    <x v="1"/>
    <s v="Chennai"/>
    <n v="3.21"/>
    <d v="1900-01-10T21:07:12"/>
    <n v="47.99"/>
    <n v="2"/>
    <n v="95.98"/>
    <n v="4"/>
    <x v="1"/>
    <x v="2"/>
  </r>
  <r>
    <s v="TRIP00219"/>
    <x v="144"/>
    <x v="4"/>
    <s v="Mumbai"/>
    <n v="24.92"/>
    <d v="1900-03-07T04:04:48"/>
    <n v="418.16"/>
    <n v="1.5"/>
    <n v="627.24"/>
    <n v="4.7"/>
    <x v="3"/>
    <x v="0"/>
  </r>
  <r>
    <s v="TRIP00220"/>
    <x v="38"/>
    <x v="1"/>
    <s v="Delhi"/>
    <n v="26.48"/>
    <d v="1900-04-04T04:33:36"/>
    <n v="439.16"/>
    <n v="1"/>
    <n v="439.16"/>
    <n v="3.3"/>
    <x v="1"/>
    <x v="2"/>
  </r>
  <r>
    <s v="TRIP00221"/>
    <x v="42"/>
    <x v="2"/>
    <s v="Mumbai"/>
    <n v="21.54"/>
    <d v="1900-03-19T03:21:36"/>
    <n v="365.64"/>
    <n v="1.2"/>
    <n v="438.77"/>
    <n v="3.2"/>
    <x v="3"/>
    <x v="0"/>
  </r>
  <r>
    <s v="TRIP00222"/>
    <x v="164"/>
    <x v="3"/>
    <s v="Kolkata"/>
    <n v="22.83"/>
    <d v="1900-02-20T21:36:00"/>
    <n v="429.4"/>
    <n v="1.2"/>
    <n v="515.28"/>
    <n v="3.9"/>
    <x v="2"/>
    <x v="2"/>
  </r>
  <r>
    <s v="TRIP00223"/>
    <x v="165"/>
    <x v="2"/>
    <s v="Chennai"/>
    <n v="24.95"/>
    <d v="1900-02-24T07:55:12"/>
    <n v="333.11"/>
    <n v="1.2"/>
    <n v="399.73"/>
    <n v="4.8"/>
    <x v="0"/>
    <x v="0"/>
  </r>
  <r>
    <s v="TRIP00224"/>
    <x v="82"/>
    <x v="1"/>
    <s v="Chennai"/>
    <n v="24.72"/>
    <d v="1900-03-30T13:55:12"/>
    <n v="372.65"/>
    <n v="1.5"/>
    <n v="558.97"/>
    <n v="3.4"/>
    <x v="0"/>
    <x v="0"/>
  </r>
  <r>
    <s v="TRIP00225"/>
    <x v="48"/>
    <x v="3"/>
    <s v="Bangalore"/>
    <n v="18.89"/>
    <d v="1900-03-14T20:24:00"/>
    <n v="308.25"/>
    <n v="1.5"/>
    <n v="462.38"/>
    <n v="3.8"/>
    <x v="0"/>
    <x v="1"/>
  </r>
  <r>
    <s v="TRIP00226"/>
    <x v="166"/>
    <x v="3"/>
    <s v="Mumbai"/>
    <n v="24.74"/>
    <d v="1900-02-23T20:09:36"/>
    <n v="317.5"/>
    <n v="1.5"/>
    <n v="476.25"/>
    <n v="4.0999999999999996"/>
    <x v="2"/>
    <x v="2"/>
  </r>
  <r>
    <s v="TRIP00227"/>
    <x v="84"/>
    <x v="4"/>
    <s v="Delhi"/>
    <n v="25.36"/>
    <d v="1900-03-10T14:38:24"/>
    <n v="299.12"/>
    <n v="1"/>
    <n v="299.12"/>
    <n v="3.2"/>
    <x v="4"/>
    <x v="1"/>
  </r>
  <r>
    <s v="TRIP00228"/>
    <x v="63"/>
    <x v="1"/>
    <s v="Mumbai"/>
    <n v="6.04"/>
    <d v="1900-01-20T09:21:36"/>
    <n v="117.62"/>
    <n v="2"/>
    <n v="235.24"/>
    <n v="4.4000000000000004"/>
    <x v="0"/>
    <x v="3"/>
  </r>
  <r>
    <s v="TRIP00229"/>
    <x v="167"/>
    <x v="4"/>
    <s v="Delhi"/>
    <n v="2.68"/>
    <d v="1900-01-04T18:14:24"/>
    <n v="49.64"/>
    <n v="1.2"/>
    <n v="59.57"/>
    <n v="4.9000000000000004"/>
    <x v="3"/>
    <x v="1"/>
  </r>
  <r>
    <s v="TRIP00230"/>
    <x v="168"/>
    <x v="4"/>
    <s v="Bangalore"/>
    <n v="13.93"/>
    <d v="1900-02-13T21:36:00"/>
    <n v="222.1"/>
    <n v="2"/>
    <n v="444.2"/>
    <n v="3"/>
    <x v="0"/>
    <x v="3"/>
  </r>
  <r>
    <s v="TRIP00231"/>
    <x v="169"/>
    <x v="4"/>
    <s v="Delhi"/>
    <n v="10.38"/>
    <d v="1900-01-29T21:36:00"/>
    <n v="183.77"/>
    <n v="1.2"/>
    <n v="220.52"/>
    <n v="3"/>
    <x v="2"/>
    <x v="1"/>
  </r>
  <r>
    <s v="TRIP00232"/>
    <x v="143"/>
    <x v="2"/>
    <s v="Bangalore"/>
    <n v="29.92"/>
    <d v="1900-03-25T08:09:36"/>
    <n v="434.25"/>
    <n v="1.5"/>
    <n v="651.38"/>
    <n v="4.0999999999999996"/>
    <x v="0"/>
    <x v="1"/>
  </r>
  <r>
    <s v="TRIP00233"/>
    <x v="168"/>
    <x v="4"/>
    <s v="Kolkata"/>
    <n v="21.12"/>
    <d v="1900-02-19T13:40:48"/>
    <n v="228.6"/>
    <n v="1.2"/>
    <n v="274.32"/>
    <n v="3.5"/>
    <x v="2"/>
    <x v="3"/>
  </r>
  <r>
    <s v="TRIP00234"/>
    <x v="170"/>
    <x v="0"/>
    <s v="Chennai"/>
    <n v="26.17"/>
    <d v="1900-04-11T18:14:24"/>
    <n v="269.89"/>
    <n v="1"/>
    <n v="269.89"/>
    <n v="4.9000000000000004"/>
    <x v="0"/>
    <x v="1"/>
  </r>
  <r>
    <s v="TRIP00235"/>
    <x v="80"/>
    <x v="0"/>
    <s v="Bangalore"/>
    <n v="19.52"/>
    <d v="1900-02-22T13:26:24"/>
    <n v="248.73"/>
    <n v="1.5"/>
    <n v="373.1"/>
    <n v="3.6"/>
    <x v="4"/>
    <x v="3"/>
  </r>
  <r>
    <s v="TRIP00236"/>
    <x v="171"/>
    <x v="2"/>
    <s v="Chennai"/>
    <n v="26.93"/>
    <d v="1900-03-06T06:00:00"/>
    <n v="326.69"/>
    <n v="2"/>
    <n v="653.38"/>
    <n v="4.7"/>
    <x v="1"/>
    <x v="3"/>
  </r>
  <r>
    <s v="TRIP00237"/>
    <x v="12"/>
    <x v="4"/>
    <s v="Kolkata"/>
    <n v="11.69"/>
    <d v="1900-02-11T14:09:36"/>
    <n v="172.22"/>
    <n v="2"/>
    <n v="344.44"/>
    <n v="3.3"/>
    <x v="1"/>
    <x v="1"/>
  </r>
  <r>
    <s v="TRIP00238"/>
    <x v="172"/>
    <x v="2"/>
    <s v="Delhi"/>
    <n v="3.64"/>
    <d v="1900-01-07T09:36:00"/>
    <n v="52.91"/>
    <n v="1.2"/>
    <n v="63.49"/>
    <n v="4.5"/>
    <x v="1"/>
    <x v="2"/>
  </r>
  <r>
    <s v="TRIP00239"/>
    <x v="43"/>
    <x v="4"/>
    <s v="Chennai"/>
    <n v="4.8099999999999996"/>
    <d v="1900-01-08T22:19:12"/>
    <n v="92.39"/>
    <n v="1.5"/>
    <n v="138.58000000000001"/>
    <n v="3.4"/>
    <x v="4"/>
    <x v="2"/>
  </r>
  <r>
    <s v="TRIP00240"/>
    <x v="122"/>
    <x v="4"/>
    <s v="Kolkata"/>
    <n v="14.96"/>
    <d v="1900-02-01T10:19:12"/>
    <n v="168.33"/>
    <n v="2"/>
    <n v="336.66"/>
    <n v="3.5"/>
    <x v="1"/>
    <x v="0"/>
  </r>
  <r>
    <s v="TRIP00241"/>
    <x v="35"/>
    <x v="4"/>
    <s v="Kolkata"/>
    <n v="6.82"/>
    <d v="1900-01-19T08:24:00"/>
    <n v="72.58"/>
    <n v="1.2"/>
    <n v="87.1"/>
    <n v="3.7"/>
    <x v="3"/>
    <x v="1"/>
  </r>
  <r>
    <s v="TRIP00242"/>
    <x v="166"/>
    <x v="3"/>
    <s v="Delhi"/>
    <n v="13.56"/>
    <d v="1900-02-21T19:40:48"/>
    <n v="155.88"/>
    <n v="1"/>
    <n v="155.88"/>
    <n v="3.1"/>
    <x v="0"/>
    <x v="3"/>
  </r>
  <r>
    <s v="TRIP00243"/>
    <x v="173"/>
    <x v="0"/>
    <s v="Mumbai"/>
    <n v="12.47"/>
    <d v="1900-02-17T06:00:00"/>
    <n v="214.72"/>
    <n v="1.5"/>
    <n v="322.08"/>
    <n v="4.4000000000000004"/>
    <x v="4"/>
    <x v="1"/>
  </r>
  <r>
    <s v="TRIP00244"/>
    <x v="38"/>
    <x v="0"/>
    <s v="Chennai"/>
    <n v="28.63"/>
    <d v="1900-04-18T05:45:36"/>
    <n v="493.66"/>
    <n v="1.5"/>
    <n v="740.49"/>
    <n v="3.2"/>
    <x v="4"/>
    <x v="1"/>
  </r>
  <r>
    <s v="TRIP00245"/>
    <x v="174"/>
    <x v="2"/>
    <s v="Delhi"/>
    <n v="29.61"/>
    <d v="1900-03-07T15:50:24"/>
    <n v="443.82"/>
    <n v="1.2"/>
    <n v="532.58000000000004"/>
    <n v="3.4"/>
    <x v="2"/>
    <x v="3"/>
  </r>
  <r>
    <s v="TRIP00246"/>
    <x v="3"/>
    <x v="2"/>
    <s v="Delhi"/>
    <n v="17.23"/>
    <d v="1900-02-02T19:12:00"/>
    <n v="228.55"/>
    <n v="1.2"/>
    <n v="274.26"/>
    <n v="4.0999999999999996"/>
    <x v="1"/>
    <x v="1"/>
  </r>
  <r>
    <s v="TRIP00247"/>
    <x v="105"/>
    <x v="4"/>
    <s v="Bangalore"/>
    <n v="11.17"/>
    <d v="1900-01-22T01:55:12"/>
    <n v="120.48"/>
    <n v="1.2"/>
    <n v="144.58000000000001"/>
    <n v="3.6"/>
    <x v="3"/>
    <x v="1"/>
  </r>
  <r>
    <s v="TRIP00248"/>
    <x v="93"/>
    <x v="1"/>
    <s v="Chennai"/>
    <n v="17.46"/>
    <d v="1900-02-27T00:00:00"/>
    <n v="314.38"/>
    <n v="1.2"/>
    <n v="377.26"/>
    <n v="3.1"/>
    <x v="0"/>
    <x v="2"/>
  </r>
  <r>
    <s v="TRIP00249"/>
    <x v="160"/>
    <x v="1"/>
    <s v="Bangalore"/>
    <n v="28.59"/>
    <d v="1900-03-04T06:43:12"/>
    <n v="542.13"/>
    <n v="1"/>
    <n v="542.13"/>
    <n v="4.9000000000000004"/>
    <x v="3"/>
    <x v="2"/>
  </r>
  <r>
    <s v="TRIP00250"/>
    <x v="137"/>
    <x v="0"/>
    <s v="Kolkata"/>
    <n v="18.78"/>
    <d v="1900-02-16T18:43:12"/>
    <n v="363.43"/>
    <n v="2"/>
    <n v="726.86"/>
    <n v="4.4000000000000004"/>
    <x v="0"/>
    <x v="1"/>
  </r>
  <r>
    <s v="TRIP00251"/>
    <x v="175"/>
    <x v="1"/>
    <s v="Mumbai"/>
    <n v="23.72"/>
    <d v="1900-03-16T11:45:36"/>
    <n v="352.1"/>
    <n v="1.5"/>
    <n v="528.15"/>
    <n v="4.8"/>
    <x v="0"/>
    <x v="1"/>
  </r>
  <r>
    <s v="TRIP00252"/>
    <x v="176"/>
    <x v="1"/>
    <s v="Delhi"/>
    <n v="23.73"/>
    <d v="1900-03-10T06:43:12"/>
    <n v="246.97"/>
    <n v="2"/>
    <n v="493.94"/>
    <n v="4.5"/>
    <x v="3"/>
    <x v="3"/>
  </r>
  <r>
    <s v="TRIP00253"/>
    <x v="61"/>
    <x v="1"/>
    <s v="Delhi"/>
    <n v="8.17"/>
    <d v="1900-01-17T22:48:00"/>
    <n v="152.91999999999999"/>
    <n v="1.2"/>
    <n v="183.5"/>
    <n v="3.7"/>
    <x v="2"/>
    <x v="1"/>
  </r>
  <r>
    <s v="TRIP00254"/>
    <x v="177"/>
    <x v="0"/>
    <s v="Kolkata"/>
    <n v="10.77"/>
    <d v="1900-01-24T11:02:24"/>
    <n v="192.75"/>
    <n v="1.5"/>
    <n v="289.12"/>
    <n v="3.1"/>
    <x v="3"/>
    <x v="1"/>
  </r>
  <r>
    <s v="TRIP00255"/>
    <x v="178"/>
    <x v="0"/>
    <s v="Mumbai"/>
    <n v="17.11"/>
    <d v="1900-02-26T19:55:12"/>
    <n v="210.19"/>
    <n v="2"/>
    <n v="420.38"/>
    <n v="4.0999999999999996"/>
    <x v="1"/>
    <x v="1"/>
  </r>
  <r>
    <s v="TRIP00256"/>
    <x v="179"/>
    <x v="1"/>
    <s v="Kolkata"/>
    <n v="19.86"/>
    <d v="1900-02-15T15:36:00"/>
    <n v="333.69"/>
    <n v="1"/>
    <n v="333.69"/>
    <n v="3.8"/>
    <x v="2"/>
    <x v="0"/>
  </r>
  <r>
    <s v="TRIP00257"/>
    <x v="180"/>
    <x v="4"/>
    <s v="Delhi"/>
    <n v="8.4700000000000006"/>
    <d v="1900-01-23T18:43:12"/>
    <n v="158.24"/>
    <n v="1.5"/>
    <n v="237.36"/>
    <n v="3.8"/>
    <x v="2"/>
    <x v="1"/>
  </r>
  <r>
    <s v="TRIP00258"/>
    <x v="181"/>
    <x v="4"/>
    <s v="Chennai"/>
    <n v="13.34"/>
    <d v="1900-02-03T21:50:24"/>
    <n v="182.9"/>
    <n v="2"/>
    <n v="365.8"/>
    <n v="4"/>
    <x v="3"/>
    <x v="1"/>
  </r>
  <r>
    <s v="TRIP00259"/>
    <x v="182"/>
    <x v="1"/>
    <s v="Delhi"/>
    <n v="26.14"/>
    <d v="1900-03-22T12:43:12"/>
    <n v="376.05"/>
    <n v="1"/>
    <n v="376.05"/>
    <n v="3.8"/>
    <x v="3"/>
    <x v="2"/>
  </r>
  <r>
    <s v="TRIP00260"/>
    <x v="183"/>
    <x v="4"/>
    <s v="Bangalore"/>
    <n v="26.33"/>
    <d v="1900-04-09T02:09:36"/>
    <n v="374.34"/>
    <n v="1.2"/>
    <n v="449.21"/>
    <n v="5"/>
    <x v="1"/>
    <x v="0"/>
  </r>
  <r>
    <s v="TRIP00261"/>
    <x v="184"/>
    <x v="4"/>
    <s v="Chennai"/>
    <n v="27.46"/>
    <d v="1900-03-06T11:45:36"/>
    <n v="445.67"/>
    <n v="2"/>
    <n v="891.34"/>
    <n v="4.7"/>
    <x v="0"/>
    <x v="1"/>
  </r>
  <r>
    <s v="TRIP00262"/>
    <x v="185"/>
    <x v="1"/>
    <s v="Kolkata"/>
    <n v="4.82"/>
    <d v="1900-01-15T12:57:36"/>
    <n v="92.02"/>
    <n v="1.5"/>
    <n v="138.03"/>
    <n v="4.3"/>
    <x v="4"/>
    <x v="1"/>
  </r>
  <r>
    <s v="TRIP00263"/>
    <x v="103"/>
    <x v="3"/>
    <s v="Mumbai"/>
    <n v="29.17"/>
    <d v="1900-03-08T21:36:00"/>
    <n v="540.91999999999996"/>
    <n v="1"/>
    <n v="540.91999999999996"/>
    <n v="3.9"/>
    <x v="3"/>
    <x v="2"/>
  </r>
  <r>
    <s v="TRIP00264"/>
    <x v="186"/>
    <x v="2"/>
    <s v="Kolkata"/>
    <n v="12.75"/>
    <d v="1900-02-08T14:52:48"/>
    <n v="201.38"/>
    <n v="2"/>
    <n v="402.76"/>
    <n v="4.2"/>
    <x v="3"/>
    <x v="1"/>
  </r>
  <r>
    <s v="TRIP00265"/>
    <x v="31"/>
    <x v="2"/>
    <s v="Delhi"/>
    <n v="19.91"/>
    <d v="1900-02-20T06:00:00"/>
    <n v="278.55"/>
    <n v="1.5"/>
    <n v="417.83"/>
    <n v="4.3"/>
    <x v="4"/>
    <x v="2"/>
  </r>
  <r>
    <s v="TRIP00266"/>
    <x v="148"/>
    <x v="4"/>
    <s v="Delhi"/>
    <n v="29.12"/>
    <d v="1900-03-24T16:04:48"/>
    <n v="359.94"/>
    <n v="1.5"/>
    <n v="539.91"/>
    <n v="3.9"/>
    <x v="3"/>
    <x v="1"/>
  </r>
  <r>
    <s v="TRIP00267"/>
    <x v="187"/>
    <x v="4"/>
    <s v="Bangalore"/>
    <n v="16.07"/>
    <d v="1900-02-10T23:16:48"/>
    <n v="293.89999999999998"/>
    <n v="1"/>
    <n v="293.89999999999998"/>
    <n v="3.9"/>
    <x v="2"/>
    <x v="2"/>
  </r>
  <r>
    <s v="TRIP00268"/>
    <x v="8"/>
    <x v="1"/>
    <s v="Bangalore"/>
    <n v="18.899999999999999"/>
    <d v="1900-03-04T12:28:48"/>
    <n v="220.57"/>
    <n v="2"/>
    <n v="441.14"/>
    <n v="3.8"/>
    <x v="0"/>
    <x v="1"/>
  </r>
  <r>
    <s v="TRIP00269"/>
    <x v="188"/>
    <x v="4"/>
    <s v="Kolkata"/>
    <n v="22.36"/>
    <d v="1900-03-14T09:50:24"/>
    <n v="329.73"/>
    <n v="1"/>
    <n v="329.73"/>
    <n v="4.4000000000000004"/>
    <x v="3"/>
    <x v="2"/>
  </r>
  <r>
    <s v="TRIP00270"/>
    <x v="75"/>
    <x v="0"/>
    <s v="Mumbai"/>
    <n v="17.98"/>
    <d v="1900-03-07T04:19:12"/>
    <n v="216.81"/>
    <n v="1"/>
    <n v="216.81"/>
    <n v="3.1"/>
    <x v="4"/>
    <x v="0"/>
  </r>
  <r>
    <s v="TRIP00271"/>
    <x v="115"/>
    <x v="4"/>
    <s v="Kolkata"/>
    <n v="2.66"/>
    <d v="1900-01-07T03:36:00"/>
    <n v="51.51"/>
    <n v="1"/>
    <n v="51.51"/>
    <n v="4.3"/>
    <x v="3"/>
    <x v="2"/>
  </r>
  <r>
    <s v="TRIP00272"/>
    <x v="17"/>
    <x v="2"/>
    <s v="Mumbai"/>
    <n v="14.11"/>
    <d v="1900-02-22T13:40:48"/>
    <n v="185.71"/>
    <n v="1"/>
    <n v="185.71"/>
    <n v="4.2"/>
    <x v="2"/>
    <x v="0"/>
  </r>
  <r>
    <s v="TRIP00273"/>
    <x v="61"/>
    <x v="2"/>
    <s v="Bangalore"/>
    <n v="5.3"/>
    <d v="1900-01-20T01:26:24"/>
    <n v="104.15"/>
    <n v="1.5"/>
    <n v="156.22999999999999"/>
    <n v="3"/>
    <x v="1"/>
    <x v="3"/>
  </r>
  <r>
    <s v="TRIP00274"/>
    <x v="72"/>
    <x v="3"/>
    <s v="Delhi"/>
    <n v="19.53"/>
    <d v="1900-03-12T23:02:24"/>
    <n v="284.11"/>
    <n v="1.5"/>
    <n v="426.16"/>
    <n v="4"/>
    <x v="4"/>
    <x v="2"/>
  </r>
  <r>
    <s v="TRIP00275"/>
    <x v="189"/>
    <x v="0"/>
    <s v="Chennai"/>
    <n v="5.05"/>
    <d v="1900-01-09T09:36:00"/>
    <n v="66.05"/>
    <n v="2"/>
    <n v="132.1"/>
    <n v="4.9000000000000004"/>
    <x v="1"/>
    <x v="2"/>
  </r>
  <r>
    <s v="TRIP00276"/>
    <x v="190"/>
    <x v="3"/>
    <s v="Delhi"/>
    <n v="29.13"/>
    <d v="1900-03-03T17:31:12"/>
    <n v="487.23"/>
    <n v="2"/>
    <n v="974.46"/>
    <n v="3.5"/>
    <x v="0"/>
    <x v="1"/>
  </r>
  <r>
    <s v="TRIP00277"/>
    <x v="56"/>
    <x v="3"/>
    <s v="Mumbai"/>
    <n v="8.4"/>
    <d v="1900-01-26T22:04:48"/>
    <n v="166.21"/>
    <n v="1.5"/>
    <n v="249.32"/>
    <n v="4.4000000000000004"/>
    <x v="4"/>
    <x v="0"/>
  </r>
  <r>
    <s v="TRIP00278"/>
    <x v="136"/>
    <x v="0"/>
    <s v="Bangalore"/>
    <n v="8.08"/>
    <d v="1900-01-28T14:09:36"/>
    <n v="150.66"/>
    <n v="1"/>
    <n v="150.66"/>
    <n v="3.1"/>
    <x v="2"/>
    <x v="1"/>
  </r>
  <r>
    <s v="TRIP00279"/>
    <x v="153"/>
    <x v="0"/>
    <s v="Delhi"/>
    <n v="24.07"/>
    <d v="1900-04-01T08:52:48"/>
    <n v="385.27"/>
    <n v="1.5"/>
    <n v="577.9"/>
    <n v="4.3"/>
    <x v="2"/>
    <x v="2"/>
  </r>
  <r>
    <s v="TRIP00280"/>
    <x v="191"/>
    <x v="2"/>
    <s v="Kolkata"/>
    <n v="20.34"/>
    <d v="1900-03-04T03:50:24"/>
    <n v="274.3"/>
    <n v="1.2"/>
    <n v="329.16"/>
    <n v="5"/>
    <x v="3"/>
    <x v="1"/>
  </r>
  <r>
    <s v="TRIP00281"/>
    <x v="14"/>
    <x v="0"/>
    <s v="Chennai"/>
    <n v="29.34"/>
    <d v="1900-03-22T13:26:24"/>
    <n v="548.88"/>
    <n v="1"/>
    <n v="548.88"/>
    <n v="3.2"/>
    <x v="4"/>
    <x v="0"/>
  </r>
  <r>
    <s v="TRIP00282"/>
    <x v="123"/>
    <x v="1"/>
    <s v="Delhi"/>
    <n v="22.42"/>
    <d v="1900-03-24T05:31:12"/>
    <n v="314.81"/>
    <n v="1.2"/>
    <n v="377.77"/>
    <n v="4.9000000000000004"/>
    <x v="0"/>
    <x v="3"/>
  </r>
  <r>
    <s v="TRIP00283"/>
    <x v="192"/>
    <x v="3"/>
    <s v="Kolkata"/>
    <n v="24.43"/>
    <d v="1900-03-26T02:38:24"/>
    <n v="439.21"/>
    <n v="1.5"/>
    <n v="658.82"/>
    <n v="4.7"/>
    <x v="2"/>
    <x v="1"/>
  </r>
  <r>
    <s v="TRIP00284"/>
    <x v="53"/>
    <x v="3"/>
    <s v="Delhi"/>
    <n v="4.49"/>
    <d v="1900-01-12T20:52:48"/>
    <n v="45.16"/>
    <n v="1.5"/>
    <n v="67.739999999999995"/>
    <n v="4.3"/>
    <x v="0"/>
    <x v="1"/>
  </r>
  <r>
    <s v="TRIP00285"/>
    <x v="193"/>
    <x v="1"/>
    <s v="Mumbai"/>
    <n v="17.34"/>
    <d v="1900-02-15T20:52:48"/>
    <n v="268.51"/>
    <n v="1"/>
    <n v="268.51"/>
    <n v="3.5"/>
    <x v="3"/>
    <x v="2"/>
  </r>
  <r>
    <s v="TRIP00286"/>
    <x v="130"/>
    <x v="3"/>
    <s v="Bangalore"/>
    <n v="7.59"/>
    <d v="1900-01-15T06:57:36"/>
    <n v="121.7"/>
    <n v="1.2"/>
    <n v="146.04"/>
    <n v="4.3"/>
    <x v="0"/>
    <x v="3"/>
  </r>
  <r>
    <s v="TRIP00287"/>
    <x v="7"/>
    <x v="3"/>
    <s v="Chennai"/>
    <n v="12.01"/>
    <d v="1900-02-12T18:14:24"/>
    <n v="182.44"/>
    <n v="1.2"/>
    <n v="218.93"/>
    <n v="4.8"/>
    <x v="1"/>
    <x v="1"/>
  </r>
  <r>
    <s v="TRIP00288"/>
    <x v="194"/>
    <x v="2"/>
    <s v="Mumbai"/>
    <n v="10.9"/>
    <d v="1900-01-29T02:09:36"/>
    <n v="152.47"/>
    <n v="1"/>
    <n v="152.47"/>
    <n v="3.5"/>
    <x v="0"/>
    <x v="1"/>
  </r>
  <r>
    <s v="TRIP00289"/>
    <x v="183"/>
    <x v="1"/>
    <s v="Delhi"/>
    <n v="18.63"/>
    <d v="1900-03-05T18:14:24"/>
    <n v="337.76"/>
    <n v="1.2"/>
    <n v="405.31"/>
    <n v="4.4000000000000004"/>
    <x v="0"/>
    <x v="3"/>
  </r>
  <r>
    <s v="TRIP00290"/>
    <x v="6"/>
    <x v="4"/>
    <s v="Kolkata"/>
    <n v="6.68"/>
    <d v="1900-01-12T11:02:24"/>
    <n v="110.05"/>
    <n v="2"/>
    <n v="220.1"/>
    <n v="4.9000000000000004"/>
    <x v="0"/>
    <x v="2"/>
  </r>
  <r>
    <s v="TRIP00291"/>
    <x v="195"/>
    <x v="0"/>
    <s v="Mumbai"/>
    <n v="27.88"/>
    <d v="1900-02-27T02:52:48"/>
    <n v="539.32000000000005"/>
    <n v="1.2"/>
    <n v="647.17999999999995"/>
    <n v="3.4"/>
    <x v="3"/>
    <x v="3"/>
  </r>
  <r>
    <s v="TRIP00292"/>
    <x v="115"/>
    <x v="4"/>
    <s v="Kolkata"/>
    <n v="15.09"/>
    <d v="1900-02-05T22:19:12"/>
    <n v="193.89"/>
    <n v="1.5"/>
    <n v="290.83"/>
    <n v="4.9000000000000004"/>
    <x v="2"/>
    <x v="3"/>
  </r>
  <r>
    <s v="TRIP00293"/>
    <x v="196"/>
    <x v="2"/>
    <s v="Bangalore"/>
    <n v="16.64"/>
    <d v="1900-02-11T15:21:36"/>
    <n v="267.95999999999998"/>
    <n v="1.2"/>
    <n v="321.55"/>
    <n v="3.8"/>
    <x v="2"/>
    <x v="0"/>
  </r>
  <r>
    <s v="TRIP00294"/>
    <x v="197"/>
    <x v="1"/>
    <s v="Delhi"/>
    <n v="12.99"/>
    <d v="1900-01-28T03:36:00"/>
    <n v="153.43"/>
    <n v="1.5"/>
    <n v="230.14"/>
    <n v="4.7"/>
    <x v="2"/>
    <x v="2"/>
  </r>
  <r>
    <s v="TRIP00295"/>
    <x v="121"/>
    <x v="3"/>
    <s v="Chennai"/>
    <n v="16.23"/>
    <d v="1900-02-23T11:31:12"/>
    <n v="179.65"/>
    <n v="1.2"/>
    <n v="215.58"/>
    <n v="3.4"/>
    <x v="1"/>
    <x v="2"/>
  </r>
  <r>
    <s v="TRIP00296"/>
    <x v="198"/>
    <x v="1"/>
    <s v="Delhi"/>
    <n v="13.31"/>
    <d v="1900-01-27T22:33:36"/>
    <n v="241.68"/>
    <n v="2"/>
    <n v="483.36"/>
    <n v="3.1"/>
    <x v="4"/>
    <x v="0"/>
  </r>
  <r>
    <s v="TRIP00297"/>
    <x v="199"/>
    <x v="0"/>
    <s v="Bangalore"/>
    <n v="4.26"/>
    <d v="1900-01-07T12:57:36"/>
    <n v="69.78"/>
    <n v="1"/>
    <n v="69.78"/>
    <n v="4.8"/>
    <x v="4"/>
    <x v="0"/>
  </r>
  <r>
    <s v="TRIP00298"/>
    <x v="111"/>
    <x v="2"/>
    <s v="Chennai"/>
    <n v="7.15"/>
    <d v="1900-01-22T00:57:36"/>
    <n v="100.89"/>
    <n v="1"/>
    <n v="100.89"/>
    <n v="4.8"/>
    <x v="4"/>
    <x v="2"/>
  </r>
  <r>
    <s v="TRIP00299"/>
    <x v="109"/>
    <x v="2"/>
    <s v="Chennai"/>
    <n v="11.25"/>
    <d v="1900-01-26T19:55:12"/>
    <n v="200.31"/>
    <n v="1.2"/>
    <n v="240.37"/>
    <n v="4.5"/>
    <x v="1"/>
    <x v="3"/>
  </r>
  <r>
    <s v="TRIP00300"/>
    <x v="200"/>
    <x v="1"/>
    <s v="Kolkata"/>
    <n v="13.29"/>
    <d v="1900-02-12T07:40:48"/>
    <n v="145.6"/>
    <n v="2"/>
    <n v="291.2"/>
    <n v="3.3"/>
    <x v="4"/>
    <x v="0"/>
  </r>
  <r>
    <s v="TRIP00301"/>
    <x v="83"/>
    <x v="2"/>
    <s v="Mumbai"/>
    <n v="5.44"/>
    <d v="1900-01-12T10:33:36"/>
    <n v="101.69"/>
    <n v="1"/>
    <n v="101.69"/>
    <n v="3.4"/>
    <x v="3"/>
    <x v="2"/>
  </r>
  <r>
    <s v="TRIP00302"/>
    <x v="133"/>
    <x v="0"/>
    <s v="Mumbai"/>
    <n v="1.69"/>
    <d v="1900-01-04T13:12:00"/>
    <n v="27.16"/>
    <n v="2"/>
    <n v="54.32"/>
    <n v="4.3"/>
    <x v="3"/>
    <x v="3"/>
  </r>
  <r>
    <s v="TRIP00303"/>
    <x v="99"/>
    <x v="3"/>
    <s v="Kolkata"/>
    <n v="19.329999999999998"/>
    <d v="1900-02-08T22:04:48"/>
    <n v="220.7"/>
    <n v="2"/>
    <n v="441.4"/>
    <n v="3.3"/>
    <x v="0"/>
    <x v="3"/>
  </r>
  <r>
    <s v="TRIP00304"/>
    <x v="201"/>
    <x v="3"/>
    <s v="Chennai"/>
    <n v="20.6"/>
    <d v="1900-02-27T10:33:36"/>
    <n v="297.83"/>
    <n v="1"/>
    <n v="297.83"/>
    <n v="4.4000000000000004"/>
    <x v="1"/>
    <x v="0"/>
  </r>
  <r>
    <s v="TRIP00305"/>
    <x v="12"/>
    <x v="3"/>
    <s v="Mumbai"/>
    <n v="4.72"/>
    <d v="1900-01-09T10:04:48"/>
    <n v="81.39"/>
    <n v="1.2"/>
    <n v="97.67"/>
    <n v="4.8"/>
    <x v="4"/>
    <x v="3"/>
  </r>
  <r>
    <s v="TRIP00306"/>
    <x v="202"/>
    <x v="0"/>
    <s v="Bangalore"/>
    <n v="3.3"/>
    <d v="1900-01-06T04:04:48"/>
    <n v="62.51"/>
    <n v="1.5"/>
    <n v="93.76"/>
    <n v="3.8"/>
    <x v="3"/>
    <x v="0"/>
  </r>
  <r>
    <s v="TRIP00307"/>
    <x v="203"/>
    <x v="2"/>
    <s v="Mumbai"/>
    <n v="7.57"/>
    <d v="1900-01-19T12:14:24"/>
    <n v="80.959999999999994"/>
    <n v="1"/>
    <n v="80.959999999999994"/>
    <n v="4.7"/>
    <x v="2"/>
    <x v="1"/>
  </r>
  <r>
    <s v="TRIP00308"/>
    <x v="204"/>
    <x v="0"/>
    <s v="Chennai"/>
    <n v="3.03"/>
    <d v="1900-01-08T22:33:36"/>
    <n v="38.520000000000003"/>
    <n v="2"/>
    <n v="77.040000000000006"/>
    <n v="4.3"/>
    <x v="0"/>
    <x v="2"/>
  </r>
  <r>
    <s v="TRIP00309"/>
    <x v="178"/>
    <x v="1"/>
    <s v="Delhi"/>
    <n v="10.41"/>
    <d v="1900-01-26T18:00:00"/>
    <n v="173.79"/>
    <n v="1.5"/>
    <n v="260.68"/>
    <n v="3.8"/>
    <x v="4"/>
    <x v="3"/>
  </r>
  <r>
    <s v="TRIP00310"/>
    <x v="150"/>
    <x v="3"/>
    <s v="Delhi"/>
    <n v="17.18"/>
    <d v="1900-02-27T11:16:48"/>
    <n v="251.72"/>
    <n v="2"/>
    <n v="503.44"/>
    <n v="4.2"/>
    <x v="2"/>
    <x v="2"/>
  </r>
  <r>
    <s v="TRIP00311"/>
    <x v="198"/>
    <x v="4"/>
    <s v="Chennai"/>
    <n v="28.89"/>
    <d v="1900-04-03T11:16:48"/>
    <n v="506.97"/>
    <n v="1.5"/>
    <n v="760.46"/>
    <n v="4.0999999999999996"/>
    <x v="2"/>
    <x v="1"/>
  </r>
  <r>
    <s v="TRIP00312"/>
    <x v="40"/>
    <x v="1"/>
    <s v="Chennai"/>
    <n v="14.06"/>
    <d v="1900-02-17T09:07:12"/>
    <n v="189.47"/>
    <n v="2"/>
    <n v="378.94"/>
    <n v="5"/>
    <x v="3"/>
    <x v="0"/>
  </r>
  <r>
    <s v="TRIP00313"/>
    <x v="205"/>
    <x v="3"/>
    <s v="Mumbai"/>
    <n v="27.89"/>
    <d v="1900-03-08T20:52:48"/>
    <n v="390.27"/>
    <n v="2"/>
    <n v="780.54"/>
    <n v="3"/>
    <x v="2"/>
    <x v="3"/>
  </r>
  <r>
    <s v="TRIP00314"/>
    <x v="96"/>
    <x v="0"/>
    <s v="Kolkata"/>
    <n v="23.29"/>
    <d v="1900-02-25T22:19:12"/>
    <n v="389.31"/>
    <n v="2"/>
    <n v="778.62"/>
    <n v="4.2"/>
    <x v="1"/>
    <x v="3"/>
  </r>
  <r>
    <s v="TRIP00315"/>
    <x v="15"/>
    <x v="2"/>
    <s v="Mumbai"/>
    <n v="26.08"/>
    <d v="1900-03-23T21:36:00"/>
    <n v="392.98"/>
    <n v="2"/>
    <n v="785.96"/>
    <n v="4.4000000000000004"/>
    <x v="3"/>
    <x v="2"/>
  </r>
  <r>
    <s v="TRIP00316"/>
    <x v="49"/>
    <x v="4"/>
    <s v="Chennai"/>
    <n v="4.41"/>
    <d v="1900-01-09T19:55:12"/>
    <n v="59.17"/>
    <n v="1"/>
    <n v="59.17"/>
    <n v="3.2"/>
    <x v="1"/>
    <x v="1"/>
  </r>
  <r>
    <s v="TRIP00317"/>
    <x v="206"/>
    <x v="1"/>
    <s v="Bangalore"/>
    <n v="17.059999999999999"/>
    <d v="1900-02-12T12:57:36"/>
    <n v="238.33"/>
    <n v="1.5"/>
    <n v="357.5"/>
    <n v="4.9000000000000004"/>
    <x v="2"/>
    <x v="3"/>
  </r>
  <r>
    <s v="TRIP00318"/>
    <x v="86"/>
    <x v="4"/>
    <s v="Kolkata"/>
    <n v="5.69"/>
    <d v="1900-01-19T07:55:12"/>
    <n v="89.59"/>
    <n v="2"/>
    <n v="179.18"/>
    <n v="4.7"/>
    <x v="1"/>
    <x v="0"/>
  </r>
  <r>
    <s v="TRIP00319"/>
    <x v="61"/>
    <x v="0"/>
    <s v="Bangalore"/>
    <n v="27.99"/>
    <d v="1900-03-02T11:45:36"/>
    <n v="508.7"/>
    <n v="1.5"/>
    <n v="763.05"/>
    <n v="4.3"/>
    <x v="0"/>
    <x v="2"/>
  </r>
  <r>
    <s v="TRIP00320"/>
    <x v="40"/>
    <x v="2"/>
    <s v="Bangalore"/>
    <n v="21.92"/>
    <d v="1900-02-18T00:43:12"/>
    <n v="265.67"/>
    <n v="1.2"/>
    <n v="318.8"/>
    <n v="3.2"/>
    <x v="0"/>
    <x v="0"/>
  </r>
  <r>
    <s v="TRIP00321"/>
    <x v="207"/>
    <x v="3"/>
    <s v="Chennai"/>
    <n v="6.03"/>
    <d v="1900-01-19T10:33:36"/>
    <n v="81.17"/>
    <n v="2"/>
    <n v="162.34"/>
    <n v="4.0999999999999996"/>
    <x v="2"/>
    <x v="3"/>
  </r>
  <r>
    <s v="TRIP00322"/>
    <x v="208"/>
    <x v="1"/>
    <s v="Delhi"/>
    <n v="24.85"/>
    <d v="1900-02-24T06:57:36"/>
    <n v="462.71"/>
    <n v="2"/>
    <n v="925.42"/>
    <n v="4.2"/>
    <x v="1"/>
    <x v="2"/>
  </r>
  <r>
    <s v="TRIP00323"/>
    <x v="209"/>
    <x v="1"/>
    <s v="Mumbai"/>
    <n v="18.579999999999998"/>
    <d v="1900-03-05T13:55:12"/>
    <n v="218.29"/>
    <n v="1.5"/>
    <n v="327.44"/>
    <n v="4.9000000000000004"/>
    <x v="2"/>
    <x v="1"/>
  </r>
  <r>
    <s v="TRIP00324"/>
    <x v="132"/>
    <x v="2"/>
    <s v="Chennai"/>
    <n v="20.32"/>
    <d v="1900-02-13T14:09:36"/>
    <n v="300.38"/>
    <n v="2"/>
    <n v="600.76"/>
    <n v="3.3"/>
    <x v="2"/>
    <x v="2"/>
  </r>
  <r>
    <s v="TRIP00325"/>
    <x v="210"/>
    <x v="3"/>
    <s v="Bangalore"/>
    <n v="3.32"/>
    <d v="1900-01-10T19:12:00"/>
    <n v="37.25"/>
    <n v="2"/>
    <n v="74.5"/>
    <n v="3.6"/>
    <x v="1"/>
    <x v="3"/>
  </r>
  <r>
    <s v="TRIP00326"/>
    <x v="115"/>
    <x v="1"/>
    <s v="Chennai"/>
    <n v="26.41"/>
    <d v="1900-03-07T11:45:36"/>
    <n v="488.97"/>
    <n v="2"/>
    <n v="977.94"/>
    <n v="3.4"/>
    <x v="0"/>
    <x v="2"/>
  </r>
  <r>
    <s v="TRIP00327"/>
    <x v="211"/>
    <x v="0"/>
    <s v="Mumbai"/>
    <n v="18.47"/>
    <d v="1900-02-18T10:04:48"/>
    <n v="256.08"/>
    <n v="1"/>
    <n v="256.08"/>
    <n v="4.5999999999999996"/>
    <x v="3"/>
    <x v="1"/>
  </r>
  <r>
    <s v="TRIP00328"/>
    <x v="208"/>
    <x v="1"/>
    <s v="Mumbai"/>
    <n v="7.14"/>
    <d v="1900-01-20T04:48:00"/>
    <n v="125.25"/>
    <n v="1.5"/>
    <n v="187.88"/>
    <n v="4.4000000000000004"/>
    <x v="3"/>
    <x v="2"/>
  </r>
  <r>
    <s v="TRIP00329"/>
    <x v="212"/>
    <x v="4"/>
    <s v="Bangalore"/>
    <n v="5.95"/>
    <d v="1900-01-11T18:57:36"/>
    <n v="106.07"/>
    <n v="1.2"/>
    <n v="127.28"/>
    <n v="3.2"/>
    <x v="2"/>
    <x v="1"/>
  </r>
  <r>
    <s v="TRIP00330"/>
    <x v="187"/>
    <x v="1"/>
    <s v="Chennai"/>
    <n v="21.06"/>
    <d v="1900-03-08T03:36:00"/>
    <n v="343.95"/>
    <n v="2"/>
    <n v="687.9"/>
    <n v="4.5999999999999996"/>
    <x v="4"/>
    <x v="1"/>
  </r>
  <r>
    <s v="TRIP00331"/>
    <x v="137"/>
    <x v="3"/>
    <s v="Delhi"/>
    <n v="7.4"/>
    <d v="1900-01-16T08:52:48"/>
    <n v="122.52"/>
    <n v="1.2"/>
    <n v="147.02000000000001"/>
    <n v="3.9"/>
    <x v="0"/>
    <x v="3"/>
  </r>
  <r>
    <s v="TRIP00332"/>
    <x v="14"/>
    <x v="0"/>
    <s v="Chennai"/>
    <n v="23.97"/>
    <d v="1900-03-07T08:24:00"/>
    <n v="396.48"/>
    <n v="1.5"/>
    <n v="594.72"/>
    <n v="3.7"/>
    <x v="4"/>
    <x v="0"/>
  </r>
  <r>
    <s v="TRIP00333"/>
    <x v="213"/>
    <x v="2"/>
    <s v="Chennai"/>
    <n v="14.97"/>
    <d v="1900-02-03T05:45:36"/>
    <n v="207.65"/>
    <n v="1"/>
    <n v="207.65"/>
    <n v="3"/>
    <x v="1"/>
    <x v="3"/>
  </r>
  <r>
    <s v="TRIP00334"/>
    <x v="118"/>
    <x v="1"/>
    <s v="Bangalore"/>
    <n v="14.96"/>
    <d v="1900-01-29T11:45:36"/>
    <n v="188.47"/>
    <n v="1.2"/>
    <n v="226.16"/>
    <n v="4.4000000000000004"/>
    <x v="1"/>
    <x v="1"/>
  </r>
  <r>
    <s v="TRIP00335"/>
    <x v="158"/>
    <x v="2"/>
    <s v="Delhi"/>
    <n v="10.38"/>
    <d v="1900-02-06T01:55:12"/>
    <n v="169.12"/>
    <n v="1"/>
    <n v="169.12"/>
    <n v="4.5999999999999996"/>
    <x v="0"/>
    <x v="3"/>
  </r>
  <r>
    <s v="TRIP00336"/>
    <x v="214"/>
    <x v="4"/>
    <s v="Kolkata"/>
    <n v="2.2400000000000002"/>
    <d v="1900-01-05T03:21:36"/>
    <n v="28.36"/>
    <n v="1.5"/>
    <n v="42.54"/>
    <n v="3.9"/>
    <x v="1"/>
    <x v="1"/>
  </r>
  <r>
    <s v="TRIP00337"/>
    <x v="215"/>
    <x v="4"/>
    <s v="Delhi"/>
    <n v="8.7100000000000009"/>
    <d v="1900-01-19T00:28:48"/>
    <n v="98.18"/>
    <n v="1.2"/>
    <n v="117.82"/>
    <n v="3.6"/>
    <x v="3"/>
    <x v="1"/>
  </r>
  <r>
    <s v="TRIP00338"/>
    <x v="11"/>
    <x v="1"/>
    <s v="Chennai"/>
    <n v="19.899999999999999"/>
    <d v="1900-03-12T01:40:48"/>
    <n v="321.2"/>
    <n v="1"/>
    <n v="321.2"/>
    <n v="3.9"/>
    <x v="4"/>
    <x v="0"/>
  </r>
  <r>
    <s v="TRIP00339"/>
    <x v="6"/>
    <x v="2"/>
    <s v="Bangalore"/>
    <n v="28.73"/>
    <d v="1900-03-05T02:38:24"/>
    <n v="316.64999999999998"/>
    <n v="2"/>
    <n v="633.29999999999995"/>
    <n v="3.6"/>
    <x v="4"/>
    <x v="1"/>
  </r>
  <r>
    <s v="TRIP00340"/>
    <x v="53"/>
    <x v="2"/>
    <s v="Bangalore"/>
    <n v="24.46"/>
    <d v="1900-02-20T15:50:24"/>
    <n v="312.93"/>
    <n v="1.2"/>
    <n v="375.52"/>
    <n v="3.1"/>
    <x v="1"/>
    <x v="3"/>
  </r>
  <r>
    <s v="TRIP00341"/>
    <x v="216"/>
    <x v="3"/>
    <s v="Chennai"/>
    <n v="14.38"/>
    <d v="1900-02-15T02:09:36"/>
    <n v="238.62"/>
    <n v="1.5"/>
    <n v="357.93"/>
    <n v="3.9"/>
    <x v="1"/>
    <x v="0"/>
  </r>
  <r>
    <s v="TRIP00342"/>
    <x v="217"/>
    <x v="2"/>
    <s v="Kolkata"/>
    <n v="26.79"/>
    <d v="1900-03-17T17:16:48"/>
    <n v="504.31"/>
    <n v="1"/>
    <n v="504.31"/>
    <n v="4.5"/>
    <x v="3"/>
    <x v="0"/>
  </r>
  <r>
    <s v="TRIP00343"/>
    <x v="138"/>
    <x v="4"/>
    <s v="Chennai"/>
    <n v="20.73"/>
    <d v="1900-02-11T04:33:36"/>
    <n v="224.88"/>
    <n v="1.5"/>
    <n v="337.32"/>
    <n v="4.3"/>
    <x v="4"/>
    <x v="2"/>
  </r>
  <r>
    <s v="TRIP00344"/>
    <x v="109"/>
    <x v="2"/>
    <s v="Mumbai"/>
    <n v="2.0299999999999998"/>
    <d v="1900-01-05T02:52:48"/>
    <n v="28.17"/>
    <n v="1.5"/>
    <n v="42.26"/>
    <n v="3.6"/>
    <x v="1"/>
    <x v="2"/>
  </r>
  <r>
    <s v="TRIP00345"/>
    <x v="218"/>
    <x v="2"/>
    <s v="Chennai"/>
    <n v="29.15"/>
    <d v="1900-04-22T05:45:36"/>
    <n v="519.99"/>
    <n v="1.5"/>
    <n v="779.98"/>
    <n v="3.3"/>
    <x v="3"/>
    <x v="0"/>
  </r>
  <r>
    <s v="TRIP00346"/>
    <x v="124"/>
    <x v="2"/>
    <s v="Mumbai"/>
    <n v="16.940000000000001"/>
    <d v="1900-03-02T00:28:48"/>
    <n v="181.04"/>
    <n v="1.2"/>
    <n v="217.25"/>
    <n v="3"/>
    <x v="1"/>
    <x v="3"/>
  </r>
  <r>
    <s v="TRIP00347"/>
    <x v="219"/>
    <x v="0"/>
    <s v="Mumbai"/>
    <n v="27.07"/>
    <d v="1900-04-05T12:00:00"/>
    <n v="332.38"/>
    <n v="1"/>
    <n v="332.38"/>
    <n v="3.8"/>
    <x v="2"/>
    <x v="0"/>
  </r>
  <r>
    <s v="TRIP00348"/>
    <x v="220"/>
    <x v="3"/>
    <s v="Chennai"/>
    <n v="8.41"/>
    <d v="1900-01-20T05:02:24"/>
    <n v="89.92"/>
    <n v="1"/>
    <n v="89.92"/>
    <n v="4.0999999999999996"/>
    <x v="0"/>
    <x v="3"/>
  </r>
  <r>
    <s v="TRIP00349"/>
    <x v="65"/>
    <x v="2"/>
    <s v="Bangalore"/>
    <n v="26.98"/>
    <d v="1900-03-11T08:24:00"/>
    <n v="303.58999999999997"/>
    <n v="1.5"/>
    <n v="455.38"/>
    <n v="5"/>
    <x v="2"/>
    <x v="3"/>
  </r>
  <r>
    <s v="TRIP00350"/>
    <x v="156"/>
    <x v="1"/>
    <s v="Bangalore"/>
    <n v="17.89"/>
    <d v="1900-03-02T13:12:00"/>
    <n v="324.13"/>
    <n v="2"/>
    <n v="648.26"/>
    <n v="3.3"/>
    <x v="3"/>
    <x v="3"/>
  </r>
  <r>
    <s v="TRIP00351"/>
    <x v="221"/>
    <x v="4"/>
    <s v="Mumbai"/>
    <n v="10.81"/>
    <d v="1900-02-09T16:33:36"/>
    <n v="132.38"/>
    <n v="1"/>
    <n v="132.38"/>
    <n v="3.8"/>
    <x v="1"/>
    <x v="2"/>
  </r>
  <r>
    <s v="TRIP00352"/>
    <x v="115"/>
    <x v="1"/>
    <s v="Chennai"/>
    <n v="13.74"/>
    <d v="1900-02-12T07:40:48"/>
    <n v="266.98"/>
    <n v="1.2"/>
    <n v="320.38"/>
    <n v="4.9000000000000004"/>
    <x v="1"/>
    <x v="2"/>
  </r>
  <r>
    <s v="TRIP00353"/>
    <x v="222"/>
    <x v="1"/>
    <s v="Mumbai"/>
    <n v="6.73"/>
    <d v="1900-01-24T09:36:00"/>
    <n v="110.76"/>
    <n v="1.5"/>
    <n v="166.14"/>
    <n v="4.3"/>
    <x v="2"/>
    <x v="2"/>
  </r>
  <r>
    <s v="TRIP00354"/>
    <x v="58"/>
    <x v="4"/>
    <s v="Kolkata"/>
    <n v="25.98"/>
    <d v="1900-04-04T22:33:36"/>
    <n v="498.54"/>
    <n v="1.2"/>
    <n v="598.25"/>
    <n v="4.3"/>
    <x v="0"/>
    <x v="3"/>
  </r>
  <r>
    <s v="TRIP00355"/>
    <x v="129"/>
    <x v="1"/>
    <s v="Delhi"/>
    <n v="29.37"/>
    <d v="1900-04-11T16:33:36"/>
    <n v="457.53"/>
    <n v="1.5"/>
    <n v="686.3"/>
    <n v="4.3"/>
    <x v="3"/>
    <x v="1"/>
  </r>
  <r>
    <s v="TRIP00356"/>
    <x v="29"/>
    <x v="3"/>
    <s v="Chennai"/>
    <n v="10.28"/>
    <d v="1900-02-04T01:12:00"/>
    <n v="130.49"/>
    <n v="2"/>
    <n v="260.98"/>
    <n v="3.1"/>
    <x v="1"/>
    <x v="0"/>
  </r>
  <r>
    <s v="TRIP00357"/>
    <x v="223"/>
    <x v="0"/>
    <s v="Bangalore"/>
    <n v="4.82"/>
    <d v="1900-01-15T15:21:36"/>
    <n v="87.62"/>
    <n v="1.5"/>
    <n v="131.43"/>
    <n v="4"/>
    <x v="0"/>
    <x v="1"/>
  </r>
  <r>
    <s v="TRIP00358"/>
    <x v="224"/>
    <x v="2"/>
    <s v="Chennai"/>
    <n v="10.93"/>
    <d v="1900-01-29T21:36:00"/>
    <n v="192.17"/>
    <n v="1"/>
    <n v="192.17"/>
    <n v="4"/>
    <x v="4"/>
    <x v="3"/>
  </r>
  <r>
    <s v="TRIP00359"/>
    <x v="225"/>
    <x v="1"/>
    <s v="Chennai"/>
    <n v="4.07"/>
    <d v="1900-01-08T08:52:48"/>
    <n v="44.52"/>
    <n v="2"/>
    <n v="89.04"/>
    <n v="4.3"/>
    <x v="1"/>
    <x v="3"/>
  </r>
  <r>
    <s v="TRIP00360"/>
    <x v="39"/>
    <x v="4"/>
    <s v="Kolkata"/>
    <n v="13.58"/>
    <d v="1900-01-30T12:43:12"/>
    <n v="211.58"/>
    <n v="2"/>
    <n v="423.16"/>
    <n v="3.5"/>
    <x v="4"/>
    <x v="3"/>
  </r>
  <r>
    <s v="TRIP00361"/>
    <x v="124"/>
    <x v="0"/>
    <s v="Bangalore"/>
    <n v="26.56"/>
    <d v="1900-03-07T21:07:12"/>
    <n v="317.11"/>
    <n v="2"/>
    <n v="634.22"/>
    <n v="4.5999999999999996"/>
    <x v="4"/>
    <x v="2"/>
  </r>
  <r>
    <s v="TRIP00362"/>
    <x v="221"/>
    <x v="1"/>
    <s v="Mumbai"/>
    <n v="22.53"/>
    <d v="1900-03-21T18:57:36"/>
    <n v="363.85"/>
    <n v="1.2"/>
    <n v="436.62"/>
    <n v="3.7"/>
    <x v="3"/>
    <x v="1"/>
  </r>
  <r>
    <s v="TRIP00363"/>
    <x v="48"/>
    <x v="0"/>
    <s v="Kolkata"/>
    <n v="16.62"/>
    <d v="1900-02-18T15:50:24"/>
    <n v="307.14999999999998"/>
    <n v="1.2"/>
    <n v="368.58"/>
    <n v="3.1"/>
    <x v="0"/>
    <x v="3"/>
  </r>
  <r>
    <s v="TRIP00364"/>
    <x v="226"/>
    <x v="0"/>
    <s v="Kolkata"/>
    <n v="1.32"/>
    <d v="1900-01-03T14:52:48"/>
    <n v="23.21"/>
    <n v="2"/>
    <n v="46.42"/>
    <n v="3.7"/>
    <x v="4"/>
    <x v="0"/>
  </r>
  <r>
    <s v="TRIP00365"/>
    <x v="20"/>
    <x v="3"/>
    <s v="Mumbai"/>
    <n v="25.42"/>
    <d v="1900-03-14T18:00:00"/>
    <n v="381.82"/>
    <n v="1.2"/>
    <n v="458.18"/>
    <n v="3.7"/>
    <x v="1"/>
    <x v="3"/>
  </r>
  <r>
    <s v="TRIP00366"/>
    <x v="227"/>
    <x v="2"/>
    <s v="Bangalore"/>
    <n v="21.94"/>
    <d v="1900-03-22T18:28:48"/>
    <n v="349.51"/>
    <n v="1"/>
    <n v="349.51"/>
    <n v="4.3"/>
    <x v="2"/>
    <x v="3"/>
  </r>
  <r>
    <s v="TRIP00367"/>
    <x v="228"/>
    <x v="1"/>
    <s v="Bangalore"/>
    <n v="21.17"/>
    <d v="1900-02-10T11:31:12"/>
    <n v="342.87"/>
    <n v="2"/>
    <n v="685.74"/>
    <n v="3.4"/>
    <x v="0"/>
    <x v="3"/>
  </r>
  <r>
    <s v="TRIP00368"/>
    <x v="229"/>
    <x v="0"/>
    <s v="Delhi"/>
    <n v="12.67"/>
    <d v="1900-02-15T11:45:36"/>
    <n v="191.33"/>
    <n v="1.5"/>
    <n v="287"/>
    <n v="3.1"/>
    <x v="4"/>
    <x v="3"/>
  </r>
  <r>
    <s v="TRIP00369"/>
    <x v="230"/>
    <x v="4"/>
    <s v="Bangalore"/>
    <n v="7.54"/>
    <d v="1900-01-24T16:19:12"/>
    <n v="79.38"/>
    <n v="2"/>
    <n v="158.76"/>
    <n v="4.4000000000000004"/>
    <x v="4"/>
    <x v="2"/>
  </r>
  <r>
    <s v="TRIP00370"/>
    <x v="82"/>
    <x v="3"/>
    <s v="Kolkata"/>
    <n v="18.46"/>
    <d v="1900-02-05T18:28:48"/>
    <n v="244.06"/>
    <n v="1.5"/>
    <n v="366.09"/>
    <n v="3.2"/>
    <x v="1"/>
    <x v="0"/>
  </r>
  <r>
    <s v="TRIP00371"/>
    <x v="109"/>
    <x v="0"/>
    <s v="Delhi"/>
    <n v="10.69"/>
    <d v="1900-02-06T03:50:24"/>
    <n v="182.55"/>
    <n v="1.5"/>
    <n v="273.83"/>
    <n v="4.7"/>
    <x v="3"/>
    <x v="0"/>
  </r>
  <r>
    <s v="TRIP00372"/>
    <x v="192"/>
    <x v="1"/>
    <s v="Delhi"/>
    <n v="13.77"/>
    <d v="1900-01-30T14:24:00"/>
    <n v="182.89"/>
    <n v="1.5"/>
    <n v="274.33"/>
    <n v="3.5"/>
    <x v="3"/>
    <x v="2"/>
  </r>
  <r>
    <s v="TRIP00373"/>
    <x v="231"/>
    <x v="4"/>
    <s v="Delhi"/>
    <n v="7.4"/>
    <d v="1900-01-22T15:36:00"/>
    <n v="128.44"/>
    <n v="1.5"/>
    <n v="192.66"/>
    <n v="4.5"/>
    <x v="3"/>
    <x v="3"/>
  </r>
  <r>
    <s v="TRIP00374"/>
    <x v="232"/>
    <x v="0"/>
    <s v="Bangalore"/>
    <n v="19.63"/>
    <d v="1900-02-23T19:12:00"/>
    <n v="321.18"/>
    <n v="2"/>
    <n v="642.36"/>
    <n v="3.4"/>
    <x v="1"/>
    <x v="2"/>
  </r>
  <r>
    <s v="TRIP00375"/>
    <x v="30"/>
    <x v="0"/>
    <s v="Bangalore"/>
    <n v="29.74"/>
    <d v="1900-04-12T22:04:48"/>
    <n v="517.47"/>
    <n v="1.2"/>
    <n v="620.96"/>
    <n v="4.2"/>
    <x v="0"/>
    <x v="1"/>
  </r>
  <r>
    <s v="TRIP00376"/>
    <x v="97"/>
    <x v="2"/>
    <s v="Mumbai"/>
    <n v="29.41"/>
    <d v="1900-03-08T12:57:36"/>
    <n v="500.04"/>
    <n v="1.2"/>
    <n v="600.04999999999995"/>
    <n v="4.7"/>
    <x v="1"/>
    <x v="1"/>
  </r>
  <r>
    <s v="TRIP00377"/>
    <x v="30"/>
    <x v="1"/>
    <s v="Delhi"/>
    <n v="16.02"/>
    <d v="1900-02-09T14:38:24"/>
    <n v="310.89999999999998"/>
    <n v="1.2"/>
    <n v="373.08"/>
    <n v="4.7"/>
    <x v="4"/>
    <x v="0"/>
  </r>
  <r>
    <s v="TRIP00378"/>
    <x v="55"/>
    <x v="2"/>
    <s v="Kolkata"/>
    <n v="25.42"/>
    <d v="1900-02-28T07:12:00"/>
    <n v="458.23"/>
    <n v="1.2"/>
    <n v="549.88"/>
    <n v="4.9000000000000004"/>
    <x v="1"/>
    <x v="0"/>
  </r>
  <r>
    <s v="TRIP00379"/>
    <x v="233"/>
    <x v="3"/>
    <s v="Kolkata"/>
    <n v="4.87"/>
    <d v="1900-01-09T12:43:12"/>
    <n v="84.15"/>
    <n v="1.2"/>
    <n v="100.98"/>
    <n v="4.8"/>
    <x v="0"/>
    <x v="2"/>
  </r>
  <r>
    <s v="TRIP00380"/>
    <x v="12"/>
    <x v="3"/>
    <s v="Kolkata"/>
    <n v="22.16"/>
    <d v="1900-03-18T06:00:00"/>
    <n v="256.81"/>
    <n v="2"/>
    <n v="513.62"/>
    <n v="3.3"/>
    <x v="3"/>
    <x v="3"/>
  </r>
  <r>
    <s v="TRIP00381"/>
    <x v="234"/>
    <x v="1"/>
    <s v="Delhi"/>
    <n v="22.79"/>
    <d v="1900-03-15T12:28:48"/>
    <n v="445.91"/>
    <n v="1.2"/>
    <n v="535.09"/>
    <n v="3.6"/>
    <x v="2"/>
    <x v="0"/>
  </r>
  <r>
    <s v="TRIP00382"/>
    <x v="51"/>
    <x v="0"/>
    <s v="Bangalore"/>
    <n v="9.18"/>
    <d v="1900-01-22T03:50:24"/>
    <n v="114.47"/>
    <n v="2"/>
    <n v="228.94"/>
    <n v="4.5999999999999996"/>
    <x v="3"/>
    <x v="0"/>
  </r>
  <r>
    <s v="TRIP00383"/>
    <x v="230"/>
    <x v="1"/>
    <s v="Chennai"/>
    <n v="11.77"/>
    <d v="1900-02-01T15:21:36"/>
    <n v="217.13"/>
    <n v="1.2"/>
    <n v="260.56"/>
    <n v="3.1"/>
    <x v="0"/>
    <x v="3"/>
  </r>
  <r>
    <s v="TRIP00384"/>
    <x v="13"/>
    <x v="4"/>
    <s v="Delhi"/>
    <n v="25.74"/>
    <d v="1900-02-21T20:52:48"/>
    <n v="416.91"/>
    <n v="1.5"/>
    <n v="625.36"/>
    <n v="3.3"/>
    <x v="2"/>
    <x v="3"/>
  </r>
  <r>
    <s v="TRIP00385"/>
    <x v="63"/>
    <x v="3"/>
    <s v="Delhi"/>
    <n v="10.14"/>
    <d v="1900-02-03T22:19:12"/>
    <n v="110.16"/>
    <n v="1.5"/>
    <n v="165.24"/>
    <n v="3"/>
    <x v="4"/>
    <x v="3"/>
  </r>
  <r>
    <s v="TRIP00386"/>
    <x v="235"/>
    <x v="2"/>
    <s v="Delhi"/>
    <n v="16.899999999999999"/>
    <d v="1900-02-06T03:07:12"/>
    <n v="318.08"/>
    <n v="1"/>
    <n v="318.08"/>
    <n v="3.1"/>
    <x v="4"/>
    <x v="3"/>
  </r>
  <r>
    <s v="TRIP00387"/>
    <x v="49"/>
    <x v="4"/>
    <s v="Delhi"/>
    <n v="22.19"/>
    <d v="1900-03-27T22:19:12"/>
    <n v="278.82"/>
    <n v="1.5"/>
    <n v="418.23"/>
    <n v="4.5"/>
    <x v="2"/>
    <x v="0"/>
  </r>
  <r>
    <s v="TRIP00388"/>
    <x v="160"/>
    <x v="1"/>
    <s v="Delhi"/>
    <n v="14.45"/>
    <d v="1900-02-24T23:45:36"/>
    <n v="232.43"/>
    <n v="1"/>
    <n v="232.43"/>
    <n v="3.4"/>
    <x v="2"/>
    <x v="1"/>
  </r>
  <r>
    <s v="TRIP00389"/>
    <x v="3"/>
    <x v="4"/>
    <s v="Mumbai"/>
    <n v="5.39"/>
    <d v="1900-01-12T05:02:24"/>
    <n v="67.430000000000007"/>
    <n v="1.5"/>
    <n v="101.15"/>
    <n v="4.4000000000000004"/>
    <x v="3"/>
    <x v="2"/>
  </r>
  <r>
    <s v="TRIP00390"/>
    <x v="38"/>
    <x v="2"/>
    <s v="Mumbai"/>
    <n v="16.18"/>
    <d v="1900-02-04T01:40:48"/>
    <n v="300.97000000000003"/>
    <n v="1.2"/>
    <n v="361.16"/>
    <n v="4.0999999999999996"/>
    <x v="3"/>
    <x v="1"/>
  </r>
  <r>
    <s v="TRIP00391"/>
    <x v="56"/>
    <x v="2"/>
    <s v="Bangalore"/>
    <n v="16.920000000000002"/>
    <d v="1900-02-22T13:55:12"/>
    <n v="207.46"/>
    <n v="1.2"/>
    <n v="248.95"/>
    <n v="4"/>
    <x v="1"/>
    <x v="0"/>
  </r>
  <r>
    <s v="TRIP00392"/>
    <x v="236"/>
    <x v="2"/>
    <s v="Bangalore"/>
    <n v="5.09"/>
    <d v="1900-01-15T22:33:36"/>
    <n v="61.9"/>
    <n v="1.2"/>
    <n v="74.28"/>
    <n v="3.9"/>
    <x v="4"/>
    <x v="1"/>
  </r>
  <r>
    <s v="TRIP00393"/>
    <x v="237"/>
    <x v="2"/>
    <s v="Bangalore"/>
    <n v="22.73"/>
    <d v="1900-02-26T16:04:48"/>
    <n v="406.18"/>
    <n v="1.2"/>
    <n v="487.42"/>
    <n v="4.5999999999999996"/>
    <x v="4"/>
    <x v="3"/>
  </r>
  <r>
    <s v="TRIP00394"/>
    <x v="238"/>
    <x v="1"/>
    <s v="Bangalore"/>
    <n v="29.36"/>
    <d v="1900-04-14T08:09:36"/>
    <n v="439.59"/>
    <n v="2"/>
    <n v="879.18"/>
    <n v="3.5"/>
    <x v="1"/>
    <x v="0"/>
  </r>
  <r>
    <s v="TRIP00395"/>
    <x v="229"/>
    <x v="3"/>
    <s v="Kolkata"/>
    <n v="16.8"/>
    <d v="1900-02-27T01:55:12"/>
    <n v="294.69"/>
    <n v="1.5"/>
    <n v="442.04"/>
    <n v="3.4"/>
    <x v="1"/>
    <x v="1"/>
  </r>
  <r>
    <s v="TRIP00396"/>
    <x v="239"/>
    <x v="1"/>
    <s v="Chennai"/>
    <n v="20.13"/>
    <d v="1900-02-14T18:28:48"/>
    <n v="252.73"/>
    <n v="1"/>
    <n v="252.73"/>
    <n v="3.9"/>
    <x v="3"/>
    <x v="1"/>
  </r>
  <r>
    <s v="TRIP00397"/>
    <x v="171"/>
    <x v="3"/>
    <s v="Delhi"/>
    <n v="22.77"/>
    <d v="1900-03-10T22:48:00"/>
    <n v="353.51"/>
    <n v="2"/>
    <n v="707.02"/>
    <n v="3.9"/>
    <x v="2"/>
    <x v="1"/>
  </r>
  <r>
    <s v="TRIP00398"/>
    <x v="240"/>
    <x v="1"/>
    <s v="Kolkata"/>
    <n v="16.62"/>
    <d v="1900-02-17T18:57:36"/>
    <n v="183.73"/>
    <n v="2"/>
    <n v="367.46"/>
    <n v="3.9"/>
    <x v="3"/>
    <x v="3"/>
  </r>
  <r>
    <s v="TRIP00399"/>
    <x v="113"/>
    <x v="0"/>
    <s v="Mumbai"/>
    <n v="3.71"/>
    <d v="1900-01-09T16:33:36"/>
    <n v="44.36"/>
    <n v="2"/>
    <n v="88.72"/>
    <n v="4"/>
    <x v="0"/>
    <x v="0"/>
  </r>
  <r>
    <s v="TRIP00400"/>
    <x v="241"/>
    <x v="3"/>
    <s v="Delhi"/>
    <n v="17.75"/>
    <d v="1900-02-26T00:43:12"/>
    <n v="319.13"/>
    <n v="1.5"/>
    <n v="478.7"/>
    <n v="3.4"/>
    <x v="3"/>
    <x v="3"/>
  </r>
  <r>
    <s v="TRIP00401"/>
    <x v="177"/>
    <x v="0"/>
    <s v="Delhi"/>
    <n v="16.46"/>
    <d v="1900-02-06T02:52:48"/>
    <n v="279.14"/>
    <n v="2"/>
    <n v="558.28"/>
    <n v="3.3"/>
    <x v="2"/>
    <x v="0"/>
  </r>
  <r>
    <s v="TRIP00402"/>
    <x v="230"/>
    <x v="3"/>
    <s v="Delhi"/>
    <n v="25.86"/>
    <d v="1900-04-07T14:09:36"/>
    <n v="330.21"/>
    <n v="2"/>
    <n v="660.42"/>
    <n v="4"/>
    <x v="3"/>
    <x v="1"/>
  </r>
  <r>
    <s v="TRIP00403"/>
    <x v="219"/>
    <x v="1"/>
    <s v="Chennai"/>
    <n v="6.86"/>
    <d v="1900-01-15T06:00:00"/>
    <n v="129.93"/>
    <n v="2"/>
    <n v="259.86"/>
    <n v="4.5999999999999996"/>
    <x v="1"/>
    <x v="3"/>
  </r>
  <r>
    <s v="TRIP00404"/>
    <x v="60"/>
    <x v="2"/>
    <s v="Chennai"/>
    <n v="13.77"/>
    <d v="1900-02-12T11:45:36"/>
    <n v="149.19"/>
    <n v="2"/>
    <n v="298.38"/>
    <n v="3.2"/>
    <x v="1"/>
    <x v="2"/>
  </r>
  <r>
    <s v="TRIP00405"/>
    <x v="242"/>
    <x v="4"/>
    <s v="Kolkata"/>
    <n v="10.27"/>
    <d v="1900-02-08T20:09:36"/>
    <n v="152.55000000000001"/>
    <n v="1"/>
    <n v="152.55000000000001"/>
    <n v="4.3"/>
    <x v="1"/>
    <x v="2"/>
  </r>
  <r>
    <s v="TRIP00406"/>
    <x v="156"/>
    <x v="3"/>
    <s v="Chennai"/>
    <n v="10.37"/>
    <d v="1900-02-09T10:04:48"/>
    <n v="205.3"/>
    <n v="1.5"/>
    <n v="307.95"/>
    <n v="3.3"/>
    <x v="0"/>
    <x v="2"/>
  </r>
  <r>
    <s v="TRIP00407"/>
    <x v="85"/>
    <x v="0"/>
    <s v="Bangalore"/>
    <n v="20.92"/>
    <d v="1900-02-13T17:31:12"/>
    <n v="215.34"/>
    <n v="2"/>
    <n v="430.68"/>
    <n v="4.8"/>
    <x v="2"/>
    <x v="1"/>
  </r>
  <r>
    <s v="TRIP00408"/>
    <x v="94"/>
    <x v="1"/>
    <s v="Mumbai"/>
    <n v="29.23"/>
    <d v="1900-03-18T03:36:00"/>
    <n v="378.96"/>
    <n v="1.2"/>
    <n v="454.75"/>
    <n v="4.0999999999999996"/>
    <x v="3"/>
    <x v="2"/>
  </r>
  <r>
    <s v="TRIP00409"/>
    <x v="243"/>
    <x v="3"/>
    <s v="Chennai"/>
    <n v="23.03"/>
    <d v="1900-03-31T13:40:48"/>
    <n v="437.87"/>
    <n v="2"/>
    <n v="875.74"/>
    <n v="3.9"/>
    <x v="0"/>
    <x v="2"/>
  </r>
  <r>
    <s v="TRIP00410"/>
    <x v="239"/>
    <x v="1"/>
    <s v="Chennai"/>
    <n v="8.3800000000000008"/>
    <d v="1900-01-29T11:45:36"/>
    <n v="157.53"/>
    <n v="1.2"/>
    <n v="189.04"/>
    <n v="3.3"/>
    <x v="0"/>
    <x v="3"/>
  </r>
  <r>
    <s v="TRIP00411"/>
    <x v="41"/>
    <x v="0"/>
    <s v="Bangalore"/>
    <n v="4.28"/>
    <d v="1900-01-08T07:26:24"/>
    <n v="73.58"/>
    <n v="1.5"/>
    <n v="110.37"/>
    <n v="3.3"/>
    <x v="2"/>
    <x v="2"/>
  </r>
  <r>
    <s v="TRIP00412"/>
    <x v="244"/>
    <x v="4"/>
    <s v="Delhi"/>
    <n v="22.45"/>
    <d v="1900-02-21T11:45:36"/>
    <n v="362.29"/>
    <n v="1.5"/>
    <n v="543.44000000000005"/>
    <n v="4.2"/>
    <x v="2"/>
    <x v="1"/>
  </r>
  <r>
    <s v="TRIP00413"/>
    <x v="133"/>
    <x v="4"/>
    <s v="Kolkata"/>
    <n v="22.4"/>
    <d v="1900-03-20T22:04:48"/>
    <n v="413"/>
    <n v="1.5"/>
    <n v="619.5"/>
    <n v="4.3"/>
    <x v="3"/>
    <x v="0"/>
  </r>
  <r>
    <s v="TRIP00414"/>
    <x v="81"/>
    <x v="3"/>
    <s v="Delhi"/>
    <n v="22.44"/>
    <d v="1900-02-17T15:36:00"/>
    <n v="295.07"/>
    <n v="2"/>
    <n v="590.14"/>
    <n v="3.1"/>
    <x v="1"/>
    <x v="0"/>
  </r>
  <r>
    <s v="TRIP00415"/>
    <x v="245"/>
    <x v="4"/>
    <s v="Delhi"/>
    <n v="20"/>
    <d v="1900-03-19T16:04:48"/>
    <n v="214.53"/>
    <n v="2"/>
    <n v="429.06"/>
    <n v="4.3"/>
    <x v="4"/>
    <x v="0"/>
  </r>
  <r>
    <s v="TRIP00416"/>
    <x v="59"/>
    <x v="4"/>
    <s v="Bangalore"/>
    <n v="26.13"/>
    <d v="1900-03-03T12:28:48"/>
    <n v="355.47"/>
    <n v="1"/>
    <n v="355.47"/>
    <n v="3.1"/>
    <x v="2"/>
    <x v="2"/>
  </r>
  <r>
    <s v="TRIP00417"/>
    <x v="246"/>
    <x v="2"/>
    <s v="Mumbai"/>
    <n v="12.84"/>
    <d v="1900-02-13T04:19:12"/>
    <n v="244.42"/>
    <n v="1"/>
    <n v="244.42"/>
    <n v="4.5"/>
    <x v="2"/>
    <x v="0"/>
  </r>
  <r>
    <s v="TRIP00418"/>
    <x v="247"/>
    <x v="0"/>
    <s v="Delhi"/>
    <n v="2.71"/>
    <d v="1900-01-09T06:57:36"/>
    <n v="44.74"/>
    <n v="1.2"/>
    <n v="53.69"/>
    <n v="4.3"/>
    <x v="0"/>
    <x v="3"/>
  </r>
  <r>
    <s v="TRIP00419"/>
    <x v="248"/>
    <x v="4"/>
    <s v="Bangalore"/>
    <n v="12.3"/>
    <d v="1900-02-01T22:33:36"/>
    <n v="150.88999999999999"/>
    <n v="1"/>
    <n v="150.88999999999999"/>
    <n v="4.0999999999999996"/>
    <x v="2"/>
    <x v="3"/>
  </r>
  <r>
    <s v="TRIP00420"/>
    <x v="17"/>
    <x v="4"/>
    <s v="Delhi"/>
    <n v="12.97"/>
    <d v="1900-02-14T18:00:00"/>
    <n v="191.84"/>
    <n v="1"/>
    <n v="191.84"/>
    <n v="3.1"/>
    <x v="0"/>
    <x v="2"/>
  </r>
  <r>
    <s v="TRIP00421"/>
    <x v="166"/>
    <x v="4"/>
    <s v="Chennai"/>
    <n v="1.79"/>
    <d v="1900-01-06T00:57:36"/>
    <n v="20.18"/>
    <n v="1"/>
    <n v="20.18"/>
    <n v="3.6"/>
    <x v="0"/>
    <x v="0"/>
  </r>
  <r>
    <s v="TRIP00422"/>
    <x v="249"/>
    <x v="4"/>
    <s v="Kolkata"/>
    <n v="24.34"/>
    <d v="1900-02-17T13:26:24"/>
    <n v="477.75"/>
    <n v="1.5"/>
    <n v="716.62"/>
    <n v="4.0999999999999996"/>
    <x v="4"/>
    <x v="2"/>
  </r>
  <r>
    <s v="TRIP00423"/>
    <x v="250"/>
    <x v="1"/>
    <s v="Chennai"/>
    <n v="25.05"/>
    <d v="1900-03-04T04:48:00"/>
    <n v="469.12"/>
    <n v="1.2"/>
    <n v="562.94000000000005"/>
    <n v="3.4"/>
    <x v="4"/>
    <x v="2"/>
  </r>
  <r>
    <s v="TRIP00424"/>
    <x v="76"/>
    <x v="1"/>
    <s v="Delhi"/>
    <n v="2.98"/>
    <d v="1900-01-06T12:43:12"/>
    <n v="31.17"/>
    <n v="1"/>
    <n v="31.17"/>
    <n v="3.9"/>
    <x v="4"/>
    <x v="0"/>
  </r>
  <r>
    <s v="TRIP00425"/>
    <x v="54"/>
    <x v="3"/>
    <s v="Mumbai"/>
    <n v="24.91"/>
    <d v="1900-02-21T12:28:48"/>
    <n v="305.48"/>
    <n v="1.2"/>
    <n v="366.58"/>
    <n v="4.5"/>
    <x v="0"/>
    <x v="2"/>
  </r>
  <r>
    <s v="TRIP00426"/>
    <x v="63"/>
    <x v="1"/>
    <s v="Delhi"/>
    <n v="2.87"/>
    <d v="1900-01-09T18:43:12"/>
    <n v="53.88"/>
    <n v="1"/>
    <n v="53.88"/>
    <n v="4.2"/>
    <x v="4"/>
    <x v="0"/>
  </r>
  <r>
    <s v="TRIP00427"/>
    <x v="36"/>
    <x v="1"/>
    <s v="Delhi"/>
    <n v="6.37"/>
    <d v="1900-01-12T18:00:00"/>
    <n v="78.959999999999994"/>
    <n v="1"/>
    <n v="78.959999999999994"/>
    <n v="3.6"/>
    <x v="0"/>
    <x v="3"/>
  </r>
  <r>
    <s v="TRIP00428"/>
    <x v="251"/>
    <x v="3"/>
    <s v="Bangalore"/>
    <n v="17.899999999999999"/>
    <d v="1900-03-11T10:33:36"/>
    <n v="332.17"/>
    <n v="1.5"/>
    <n v="498.26"/>
    <n v="4.3"/>
    <x v="0"/>
    <x v="2"/>
  </r>
  <r>
    <s v="TRIP00429"/>
    <x v="42"/>
    <x v="1"/>
    <s v="Kolkata"/>
    <n v="25.11"/>
    <d v="1900-03-20T07:12:00"/>
    <n v="279.95999999999998"/>
    <n v="1"/>
    <n v="279.95999999999998"/>
    <n v="4.0999999999999996"/>
    <x v="0"/>
    <x v="1"/>
  </r>
  <r>
    <s v="TRIP00430"/>
    <x v="252"/>
    <x v="4"/>
    <s v="Chennai"/>
    <n v="26.19"/>
    <d v="1900-02-23T18:28:48"/>
    <n v="512.23"/>
    <n v="2"/>
    <n v="1024.46"/>
    <n v="4"/>
    <x v="0"/>
    <x v="3"/>
  </r>
  <r>
    <s v="TRIP00431"/>
    <x v="253"/>
    <x v="0"/>
    <s v="Delhi"/>
    <n v="27.41"/>
    <d v="1900-03-20T06:43:12"/>
    <n v="311.8"/>
    <n v="1.5"/>
    <n v="467.7"/>
    <n v="4.8"/>
    <x v="1"/>
    <x v="1"/>
  </r>
  <r>
    <s v="TRIP00432"/>
    <x v="254"/>
    <x v="4"/>
    <s v="Bangalore"/>
    <n v="5.95"/>
    <d v="1900-01-22T04:19:12"/>
    <n v="85.99"/>
    <n v="1"/>
    <n v="85.99"/>
    <n v="4.4000000000000004"/>
    <x v="4"/>
    <x v="2"/>
  </r>
  <r>
    <s v="TRIP00433"/>
    <x v="227"/>
    <x v="0"/>
    <s v="Delhi"/>
    <n v="20.62"/>
    <d v="1900-02-14T16:04:48"/>
    <n v="254.49"/>
    <n v="2"/>
    <n v="508.98"/>
    <n v="4"/>
    <x v="0"/>
    <x v="3"/>
  </r>
  <r>
    <s v="TRIP00434"/>
    <x v="46"/>
    <x v="0"/>
    <s v="Kolkata"/>
    <n v="8.6199999999999992"/>
    <d v="1900-01-20T22:04:48"/>
    <n v="126.96"/>
    <n v="1"/>
    <n v="126.96"/>
    <n v="4"/>
    <x v="3"/>
    <x v="3"/>
  </r>
  <r>
    <s v="TRIP00435"/>
    <x v="138"/>
    <x v="3"/>
    <s v="Delhi"/>
    <n v="12.8"/>
    <d v="1900-02-16T10:04:48"/>
    <n v="128.37"/>
    <n v="1"/>
    <n v="128.37"/>
    <n v="3.9"/>
    <x v="0"/>
    <x v="1"/>
  </r>
  <r>
    <s v="TRIP00436"/>
    <x v="125"/>
    <x v="0"/>
    <s v="Kolkata"/>
    <n v="27.31"/>
    <d v="1900-03-07T16:04:48"/>
    <n v="401.36"/>
    <n v="1"/>
    <n v="401.36"/>
    <n v="3.7"/>
    <x v="1"/>
    <x v="1"/>
  </r>
  <r>
    <s v="TRIP00437"/>
    <x v="255"/>
    <x v="0"/>
    <s v="Mumbai"/>
    <n v="19.05"/>
    <d v="1900-02-24T00:00:00"/>
    <n v="275.74"/>
    <n v="2"/>
    <n v="551.48"/>
    <n v="3.4"/>
    <x v="0"/>
    <x v="1"/>
  </r>
  <r>
    <s v="TRIP00438"/>
    <x v="74"/>
    <x v="2"/>
    <s v="Delhi"/>
    <n v="16.57"/>
    <d v="1900-03-01T10:48:00"/>
    <n v="173.9"/>
    <n v="2"/>
    <n v="347.8"/>
    <n v="3.1"/>
    <x v="3"/>
    <x v="3"/>
  </r>
  <r>
    <s v="TRIP00439"/>
    <x v="203"/>
    <x v="4"/>
    <s v="Mumbai"/>
    <n v="10.83"/>
    <d v="1900-02-07T00:57:36"/>
    <n v="170.25"/>
    <n v="1.2"/>
    <n v="204.3"/>
    <n v="3.8"/>
    <x v="2"/>
    <x v="3"/>
  </r>
  <r>
    <s v="TRIP00440"/>
    <x v="228"/>
    <x v="4"/>
    <s v="Mumbai"/>
    <n v="28.02"/>
    <d v="1900-03-18T06:57:36"/>
    <n v="304.60000000000002"/>
    <n v="1"/>
    <n v="304.60000000000002"/>
    <n v="4.5999999999999996"/>
    <x v="4"/>
    <x v="0"/>
  </r>
  <r>
    <s v="TRIP00441"/>
    <x v="41"/>
    <x v="4"/>
    <s v="Mumbai"/>
    <n v="11.01"/>
    <d v="1900-02-01T04:33:36"/>
    <n v="206.35"/>
    <n v="1"/>
    <n v="206.35"/>
    <n v="4.4000000000000004"/>
    <x v="2"/>
    <x v="1"/>
  </r>
  <r>
    <s v="TRIP00442"/>
    <x v="32"/>
    <x v="0"/>
    <s v="Chennai"/>
    <n v="14.07"/>
    <d v="1900-02-22T06:57:36"/>
    <n v="163.94"/>
    <n v="2"/>
    <n v="327.88"/>
    <n v="3.8"/>
    <x v="0"/>
    <x v="0"/>
  </r>
  <r>
    <s v="TRIP00443"/>
    <x v="253"/>
    <x v="1"/>
    <s v="Chennai"/>
    <n v="26.59"/>
    <d v="1900-03-28T20:38:24"/>
    <n v="334.55"/>
    <n v="1"/>
    <n v="334.55"/>
    <n v="3.6"/>
    <x v="4"/>
    <x v="2"/>
  </r>
  <r>
    <s v="TRIP00444"/>
    <x v="13"/>
    <x v="3"/>
    <s v="Mumbai"/>
    <n v="21.83"/>
    <d v="1900-03-25T07:26:24"/>
    <n v="375.78"/>
    <n v="1"/>
    <n v="375.78"/>
    <n v="4.3"/>
    <x v="1"/>
    <x v="3"/>
  </r>
  <r>
    <s v="TRIP00445"/>
    <x v="256"/>
    <x v="4"/>
    <s v="Kolkata"/>
    <n v="21.81"/>
    <d v="1900-03-19T19:26:24"/>
    <n v="226.95"/>
    <n v="2"/>
    <n v="453.9"/>
    <n v="4.4000000000000004"/>
    <x v="1"/>
    <x v="2"/>
  </r>
  <r>
    <s v="TRIP00446"/>
    <x v="252"/>
    <x v="0"/>
    <s v="Bangalore"/>
    <n v="12.13"/>
    <d v="1900-02-03T07:55:12"/>
    <n v="166.07"/>
    <n v="1.5"/>
    <n v="249.1"/>
    <n v="4.2"/>
    <x v="3"/>
    <x v="2"/>
  </r>
  <r>
    <s v="TRIP00447"/>
    <x v="257"/>
    <x v="2"/>
    <s v="Mumbai"/>
    <n v="27.11"/>
    <d v="1900-03-16T03:21:36"/>
    <n v="358.15"/>
    <n v="1"/>
    <n v="358.15"/>
    <n v="4.9000000000000004"/>
    <x v="2"/>
    <x v="1"/>
  </r>
  <r>
    <s v="TRIP00448"/>
    <x v="168"/>
    <x v="3"/>
    <s v="Bangalore"/>
    <n v="20.68"/>
    <d v="1900-02-24T07:55:12"/>
    <n v="329.57"/>
    <n v="1.2"/>
    <n v="395.48"/>
    <n v="4"/>
    <x v="3"/>
    <x v="1"/>
  </r>
  <r>
    <s v="TRIP00449"/>
    <x v="5"/>
    <x v="1"/>
    <s v="Kolkata"/>
    <n v="27.49"/>
    <d v="1900-03-28T15:50:24"/>
    <n v="515.08000000000004"/>
    <n v="2"/>
    <n v="1030.1600000000001"/>
    <n v="4.3"/>
    <x v="2"/>
    <x v="2"/>
  </r>
  <r>
    <s v="TRIP00450"/>
    <x v="246"/>
    <x v="0"/>
    <s v="Mumbai"/>
    <n v="27.17"/>
    <d v="1900-02-25T22:48:00"/>
    <n v="416.78"/>
    <n v="2"/>
    <n v="833.56"/>
    <n v="4.5999999999999996"/>
    <x v="1"/>
    <x v="0"/>
  </r>
  <r>
    <s v="TRIP00451"/>
    <x v="251"/>
    <x v="1"/>
    <s v="Mumbai"/>
    <n v="9.56"/>
    <d v="1900-01-27T09:50:24"/>
    <n v="150.78"/>
    <n v="1.2"/>
    <n v="180.94"/>
    <n v="4.8"/>
    <x v="1"/>
    <x v="1"/>
  </r>
  <r>
    <s v="TRIP00452"/>
    <x v="118"/>
    <x v="4"/>
    <s v="Chennai"/>
    <n v="17.2"/>
    <d v="1900-02-14T04:48:00"/>
    <n v="297.42"/>
    <n v="1"/>
    <n v="297.42"/>
    <n v="3.1"/>
    <x v="3"/>
    <x v="1"/>
  </r>
  <r>
    <s v="TRIP00453"/>
    <x v="41"/>
    <x v="2"/>
    <s v="Delhi"/>
    <n v="21.08"/>
    <d v="1900-02-28T06:57:36"/>
    <n v="352.66"/>
    <n v="1.5"/>
    <n v="528.99"/>
    <n v="4.0999999999999996"/>
    <x v="3"/>
    <x v="1"/>
  </r>
  <r>
    <s v="TRIP00454"/>
    <x v="69"/>
    <x v="1"/>
    <s v="Chennai"/>
    <n v="18.12"/>
    <d v="1900-02-12T10:33:36"/>
    <n v="250.82"/>
    <n v="1.5"/>
    <n v="376.23"/>
    <n v="4.7"/>
    <x v="2"/>
    <x v="1"/>
  </r>
  <r>
    <s v="TRIP00455"/>
    <x v="258"/>
    <x v="3"/>
    <s v="Bangalore"/>
    <n v="23.02"/>
    <d v="1900-02-18T14:09:36"/>
    <n v="435"/>
    <n v="2"/>
    <n v="870"/>
    <n v="3.7"/>
    <x v="0"/>
    <x v="2"/>
  </r>
  <r>
    <s v="TRIP00456"/>
    <x v="259"/>
    <x v="1"/>
    <s v="Mumbai"/>
    <n v="1.8"/>
    <d v="1900-01-04T00:14:24"/>
    <n v="27.46"/>
    <n v="1.2"/>
    <n v="32.950000000000003"/>
    <n v="3.3"/>
    <x v="0"/>
    <x v="2"/>
  </r>
  <r>
    <s v="TRIP00457"/>
    <x v="260"/>
    <x v="1"/>
    <s v="Kolkata"/>
    <n v="5.14"/>
    <d v="1900-01-18T10:19:12"/>
    <n v="69.180000000000007"/>
    <n v="2"/>
    <n v="138.36000000000001"/>
    <n v="3.7"/>
    <x v="0"/>
    <x v="1"/>
  </r>
  <r>
    <s v="TRIP00458"/>
    <x v="10"/>
    <x v="1"/>
    <s v="Chennai"/>
    <n v="19.73"/>
    <d v="1900-03-04T14:09:36"/>
    <n v="264.5"/>
    <n v="1.5"/>
    <n v="396.75"/>
    <n v="4.5999999999999996"/>
    <x v="2"/>
    <x v="3"/>
  </r>
  <r>
    <s v="TRIP00459"/>
    <x v="160"/>
    <x v="0"/>
    <s v="Delhi"/>
    <n v="3.94"/>
    <d v="1900-01-13T13:26:24"/>
    <n v="60.32"/>
    <n v="2"/>
    <n v="120.64"/>
    <n v="3.4"/>
    <x v="2"/>
    <x v="3"/>
  </r>
  <r>
    <s v="TRIP00460"/>
    <x v="57"/>
    <x v="3"/>
    <s v="Delhi"/>
    <n v="17.23"/>
    <d v="1900-02-06T02:09:36"/>
    <n v="201.14"/>
    <n v="1.2"/>
    <n v="241.37"/>
    <n v="4"/>
    <x v="3"/>
    <x v="2"/>
  </r>
  <r>
    <s v="TRIP00461"/>
    <x v="166"/>
    <x v="3"/>
    <s v="Bangalore"/>
    <n v="15.66"/>
    <d v="1900-03-01T12:14:24"/>
    <n v="216.77"/>
    <n v="1.5"/>
    <n v="325.16000000000003"/>
    <n v="3.4"/>
    <x v="2"/>
    <x v="0"/>
  </r>
  <r>
    <s v="TRIP00462"/>
    <x v="261"/>
    <x v="0"/>
    <s v="Mumbai"/>
    <n v="12.25"/>
    <d v="1900-01-27T10:04:48"/>
    <n v="125.36"/>
    <n v="1.5"/>
    <n v="188.04"/>
    <n v="3.3"/>
    <x v="2"/>
    <x v="3"/>
  </r>
  <r>
    <s v="TRIP00463"/>
    <x v="262"/>
    <x v="3"/>
    <s v="Mumbai"/>
    <n v="9.39"/>
    <d v="1900-02-03T16:19:12"/>
    <n v="104.81"/>
    <n v="1.2"/>
    <n v="125.77"/>
    <n v="3.7"/>
    <x v="2"/>
    <x v="1"/>
  </r>
  <r>
    <s v="TRIP00464"/>
    <x v="17"/>
    <x v="0"/>
    <s v="Chennai"/>
    <n v="26.76"/>
    <d v="1900-03-25T18:57:36"/>
    <n v="488.83"/>
    <n v="1"/>
    <n v="488.83"/>
    <n v="3.2"/>
    <x v="2"/>
    <x v="3"/>
  </r>
  <r>
    <s v="TRIP00465"/>
    <x v="179"/>
    <x v="1"/>
    <s v="Kolkata"/>
    <n v="28.87"/>
    <d v="1900-03-20T05:31:12"/>
    <n v="400"/>
    <n v="2"/>
    <n v="800"/>
    <n v="4.5"/>
    <x v="1"/>
    <x v="0"/>
  </r>
  <r>
    <s v="TRIP00466"/>
    <x v="55"/>
    <x v="4"/>
    <s v="Chennai"/>
    <n v="5.47"/>
    <d v="1900-01-16T00:00:00"/>
    <n v="84.33"/>
    <n v="1.2"/>
    <n v="101.2"/>
    <n v="3.5"/>
    <x v="2"/>
    <x v="1"/>
  </r>
  <r>
    <s v="TRIP00467"/>
    <x v="256"/>
    <x v="4"/>
    <s v="Kolkata"/>
    <n v="13.77"/>
    <d v="1900-02-03T20:52:48"/>
    <n v="173.41"/>
    <n v="1.5"/>
    <n v="260.12"/>
    <n v="3.4"/>
    <x v="4"/>
    <x v="3"/>
  </r>
  <r>
    <s v="TRIP00468"/>
    <x v="236"/>
    <x v="1"/>
    <s v="Delhi"/>
    <n v="10.93"/>
    <d v="1900-01-26T18:28:48"/>
    <n v="214.93"/>
    <n v="1.5"/>
    <n v="322.39999999999998"/>
    <n v="4.0999999999999996"/>
    <x v="1"/>
    <x v="3"/>
  </r>
  <r>
    <s v="TRIP00469"/>
    <x v="213"/>
    <x v="2"/>
    <s v="Kolkata"/>
    <n v="17.91"/>
    <d v="1900-03-11T15:07:12"/>
    <n v="206.06"/>
    <n v="1.2"/>
    <n v="247.27"/>
    <n v="4"/>
    <x v="4"/>
    <x v="0"/>
  </r>
  <r>
    <s v="TRIP00470"/>
    <x v="263"/>
    <x v="3"/>
    <s v="Kolkata"/>
    <n v="22.3"/>
    <d v="1900-02-26T00:00:00"/>
    <n v="295.66000000000003"/>
    <n v="2"/>
    <n v="591.32000000000005"/>
    <n v="4.2"/>
    <x v="3"/>
    <x v="1"/>
  </r>
  <r>
    <s v="TRIP00471"/>
    <x v="24"/>
    <x v="2"/>
    <s v="Delhi"/>
    <n v="22.19"/>
    <d v="1900-02-18T22:48:00"/>
    <n v="411.08"/>
    <n v="1"/>
    <n v="411.08"/>
    <n v="4.0999999999999996"/>
    <x v="2"/>
    <x v="1"/>
  </r>
  <r>
    <s v="TRIP00472"/>
    <x v="32"/>
    <x v="1"/>
    <s v="Kolkata"/>
    <n v="4.84"/>
    <d v="1900-01-14T10:04:48"/>
    <n v="77.400000000000006"/>
    <n v="1.2"/>
    <n v="92.88"/>
    <n v="4.0999999999999996"/>
    <x v="3"/>
    <x v="3"/>
  </r>
  <r>
    <s v="TRIP00473"/>
    <x v="264"/>
    <x v="1"/>
    <s v="Kolkata"/>
    <n v="2.1"/>
    <d v="1900-01-06T07:55:12"/>
    <n v="32.54"/>
    <n v="1"/>
    <n v="32.54"/>
    <n v="4.5999999999999996"/>
    <x v="1"/>
    <x v="1"/>
  </r>
  <r>
    <s v="TRIP00474"/>
    <x v="229"/>
    <x v="2"/>
    <s v="Mumbai"/>
    <n v="14.54"/>
    <d v="1900-01-29T01:55:12"/>
    <n v="286.38"/>
    <n v="1.5"/>
    <n v="429.57"/>
    <n v="3.9"/>
    <x v="1"/>
    <x v="3"/>
  </r>
  <r>
    <s v="TRIP00475"/>
    <x v="42"/>
    <x v="4"/>
    <s v="Bangalore"/>
    <n v="3.72"/>
    <d v="1900-01-12T01:12:00"/>
    <n v="55.5"/>
    <n v="1.5"/>
    <n v="83.25"/>
    <n v="3.8"/>
    <x v="1"/>
    <x v="2"/>
  </r>
  <r>
    <s v="TRIP00476"/>
    <x v="150"/>
    <x v="4"/>
    <s v="Mumbai"/>
    <n v="16.149999999999999"/>
    <d v="1900-02-18T11:31:12"/>
    <n v="232.76"/>
    <n v="1.5"/>
    <n v="349.14"/>
    <n v="4"/>
    <x v="4"/>
    <x v="1"/>
  </r>
  <r>
    <s v="TRIP00477"/>
    <x v="206"/>
    <x v="1"/>
    <s v="Bangalore"/>
    <n v="11.51"/>
    <d v="1900-02-07T17:31:12"/>
    <n v="218.05"/>
    <n v="1.5"/>
    <n v="327.08"/>
    <n v="3.8"/>
    <x v="4"/>
    <x v="2"/>
  </r>
  <r>
    <s v="TRIP00478"/>
    <x v="265"/>
    <x v="4"/>
    <s v="Chennai"/>
    <n v="23.17"/>
    <d v="1900-03-12T22:04:48"/>
    <n v="453.22"/>
    <n v="2"/>
    <n v="906.44"/>
    <n v="5"/>
    <x v="3"/>
    <x v="3"/>
  </r>
  <r>
    <s v="TRIP00479"/>
    <x v="153"/>
    <x v="1"/>
    <s v="Bangalore"/>
    <n v="25.76"/>
    <d v="1900-03-14T03:21:36"/>
    <n v="475.78"/>
    <n v="2"/>
    <n v="951.56"/>
    <n v="3.5"/>
    <x v="3"/>
    <x v="3"/>
  </r>
  <r>
    <s v="TRIP00480"/>
    <x v="14"/>
    <x v="1"/>
    <s v="Mumbai"/>
    <n v="26.62"/>
    <d v="1900-03-17T02:38:24"/>
    <n v="402.08"/>
    <n v="1.2"/>
    <n v="482.5"/>
    <n v="3.4"/>
    <x v="1"/>
    <x v="3"/>
  </r>
  <r>
    <s v="TRIP00481"/>
    <x v="266"/>
    <x v="2"/>
    <s v="Delhi"/>
    <n v="23.12"/>
    <d v="1900-03-29T05:02:24"/>
    <n v="238.26"/>
    <n v="1.5"/>
    <n v="357.39"/>
    <n v="4.4000000000000004"/>
    <x v="2"/>
    <x v="0"/>
  </r>
  <r>
    <s v="TRIP00482"/>
    <x v="34"/>
    <x v="2"/>
    <s v="Mumbai"/>
    <n v="19.34"/>
    <d v="1900-03-03T14:38:24"/>
    <n v="351.95"/>
    <n v="1"/>
    <n v="351.95"/>
    <n v="3.6"/>
    <x v="4"/>
    <x v="3"/>
  </r>
  <r>
    <s v="TRIP00483"/>
    <x v="267"/>
    <x v="2"/>
    <s v="Mumbai"/>
    <n v="16.329999999999998"/>
    <d v="1900-02-26T13:40:48"/>
    <n v="325.06"/>
    <n v="1.2"/>
    <n v="390.07"/>
    <n v="4.4000000000000004"/>
    <x v="3"/>
    <x v="1"/>
  </r>
  <r>
    <s v="TRIP00484"/>
    <x v="268"/>
    <x v="1"/>
    <s v="Chennai"/>
    <n v="3.6"/>
    <d v="1900-01-06T05:16:48"/>
    <n v="37.590000000000003"/>
    <n v="2"/>
    <n v="75.180000000000007"/>
    <n v="4.7"/>
    <x v="1"/>
    <x v="1"/>
  </r>
  <r>
    <s v="TRIP00485"/>
    <x v="78"/>
    <x v="1"/>
    <s v="Chennai"/>
    <n v="3"/>
    <d v="1900-01-05T00:43:12"/>
    <n v="58.11"/>
    <n v="2"/>
    <n v="116.22"/>
    <n v="4.3"/>
    <x v="4"/>
    <x v="0"/>
  </r>
  <r>
    <s v="TRIP00486"/>
    <x v="127"/>
    <x v="2"/>
    <s v="Bangalore"/>
    <n v="26.65"/>
    <d v="1900-03-30T14:38:24"/>
    <n v="294.32"/>
    <n v="1.5"/>
    <n v="441.48"/>
    <n v="4"/>
    <x v="4"/>
    <x v="1"/>
  </r>
  <r>
    <s v="TRIP00487"/>
    <x v="269"/>
    <x v="2"/>
    <s v="Delhi"/>
    <n v="12.81"/>
    <d v="1900-01-26T07:26:24"/>
    <n v="172.78"/>
    <n v="1.5"/>
    <n v="259.17"/>
    <n v="4.3"/>
    <x v="1"/>
    <x v="1"/>
  </r>
  <r>
    <s v="TRIP00488"/>
    <x v="214"/>
    <x v="2"/>
    <s v="Bangalore"/>
    <n v="21.23"/>
    <d v="1900-02-10T17:16:48"/>
    <n v="233.73"/>
    <n v="1.2"/>
    <n v="280.48"/>
    <n v="3.6"/>
    <x v="0"/>
    <x v="0"/>
  </r>
  <r>
    <s v="TRIP00489"/>
    <x v="172"/>
    <x v="1"/>
    <s v="Chennai"/>
    <n v="15.52"/>
    <d v="1900-02-23T16:48:00"/>
    <n v="264.94"/>
    <n v="2"/>
    <n v="529.88"/>
    <n v="3.3"/>
    <x v="4"/>
    <x v="0"/>
  </r>
  <r>
    <s v="TRIP00490"/>
    <x v="48"/>
    <x v="2"/>
    <s v="Mumbai"/>
    <n v="20.34"/>
    <d v="1900-02-17T06:28:48"/>
    <n v="379.02"/>
    <n v="1.5"/>
    <n v="568.53"/>
    <n v="4.5999999999999996"/>
    <x v="0"/>
    <x v="2"/>
  </r>
  <r>
    <s v="TRIP00491"/>
    <x v="36"/>
    <x v="3"/>
    <s v="Bangalore"/>
    <n v="12.75"/>
    <d v="1900-02-16T14:38:24"/>
    <n v="168.49"/>
    <n v="1"/>
    <n v="168.49"/>
    <n v="4.7"/>
    <x v="1"/>
    <x v="1"/>
  </r>
  <r>
    <s v="TRIP00492"/>
    <x v="105"/>
    <x v="1"/>
    <s v="Kolkata"/>
    <n v="7.36"/>
    <d v="1900-01-14T05:16:48"/>
    <n v="89.4"/>
    <n v="1.5"/>
    <n v="134.1"/>
    <n v="4.3"/>
    <x v="2"/>
    <x v="3"/>
  </r>
  <r>
    <s v="TRIP00493"/>
    <x v="102"/>
    <x v="4"/>
    <s v="Bangalore"/>
    <n v="6.45"/>
    <d v="1900-01-21T04:33:36"/>
    <n v="120.42"/>
    <n v="1.2"/>
    <n v="144.5"/>
    <n v="4.2"/>
    <x v="3"/>
    <x v="2"/>
  </r>
  <r>
    <s v="TRIP00494"/>
    <x v="9"/>
    <x v="2"/>
    <s v="Kolkata"/>
    <n v="3.08"/>
    <d v="1900-01-09T08:38:24"/>
    <n v="38.25"/>
    <n v="2"/>
    <n v="76.5"/>
    <n v="3.5"/>
    <x v="4"/>
    <x v="3"/>
  </r>
  <r>
    <s v="TRIP00495"/>
    <x v="191"/>
    <x v="0"/>
    <s v="Kolkata"/>
    <n v="24.31"/>
    <d v="1900-03-15T11:31:12"/>
    <n v="369.55"/>
    <n v="1"/>
    <n v="369.55"/>
    <n v="4.8"/>
    <x v="3"/>
    <x v="1"/>
  </r>
  <r>
    <s v="TRIP00496"/>
    <x v="8"/>
    <x v="4"/>
    <s v="Mumbai"/>
    <n v="8.8699999999999992"/>
    <d v="1900-01-25T13:12:00"/>
    <n v="113.92"/>
    <n v="1.2"/>
    <n v="136.69999999999999"/>
    <n v="4.5999999999999996"/>
    <x v="1"/>
    <x v="3"/>
  </r>
  <r>
    <s v="TRIP00497"/>
    <x v="127"/>
    <x v="4"/>
    <s v="Bangalore"/>
    <n v="2.58"/>
    <d v="1900-01-08T00:28:48"/>
    <n v="33.99"/>
    <n v="1.5"/>
    <n v="50.98"/>
    <n v="3.4"/>
    <x v="2"/>
    <x v="2"/>
  </r>
  <r>
    <s v="TRIP00498"/>
    <x v="43"/>
    <x v="0"/>
    <s v="Kolkata"/>
    <n v="2.36"/>
    <d v="1900-01-05T00:28:48"/>
    <n v="40.28"/>
    <n v="1.5"/>
    <n v="60.42"/>
    <n v="4.2"/>
    <x v="2"/>
    <x v="2"/>
  </r>
  <r>
    <s v="TRIP00499"/>
    <x v="8"/>
    <x v="3"/>
    <s v="Mumbai"/>
    <n v="1.1100000000000001"/>
    <d v="1900-01-01T18:28:48"/>
    <n v="19.32"/>
    <n v="1"/>
    <n v="19.32"/>
    <n v="4.9000000000000004"/>
    <x v="4"/>
    <x v="3"/>
  </r>
  <r>
    <s v="TRIP00500"/>
    <x v="270"/>
    <x v="2"/>
    <s v="Kolkata"/>
    <n v="11.45"/>
    <d v="1900-01-28T02:09:36"/>
    <n v="210.99"/>
    <n v="2"/>
    <n v="421.98"/>
    <n v="4.0999999999999996"/>
    <x v="3"/>
    <x v="1"/>
  </r>
  <r>
    <s v="TRIP00501"/>
    <x v="33"/>
    <x v="2"/>
    <s v="Kolkata"/>
    <n v="26.86"/>
    <d v="1900-03-17T00:28:48"/>
    <n v="513.01"/>
    <n v="2"/>
    <n v="1026.02"/>
    <n v="4.9000000000000004"/>
    <x v="1"/>
    <x v="0"/>
  </r>
  <r>
    <s v="TRIP00502"/>
    <x v="19"/>
    <x v="0"/>
    <s v="Chennai"/>
    <n v="3.59"/>
    <d v="1900-01-11T02:38:24"/>
    <n v="53.63"/>
    <n v="1"/>
    <n v="53.63"/>
    <n v="4.9000000000000004"/>
    <x v="4"/>
    <x v="3"/>
  </r>
  <r>
    <s v="TRIP00503"/>
    <x v="72"/>
    <x v="4"/>
    <s v="Bangalore"/>
    <n v="21.41"/>
    <d v="1900-02-11T00:14:24"/>
    <n v="249.84"/>
    <n v="1"/>
    <n v="249.84"/>
    <n v="4.8"/>
    <x v="3"/>
    <x v="3"/>
  </r>
  <r>
    <s v="TRIP00504"/>
    <x v="60"/>
    <x v="4"/>
    <s v="Mumbai"/>
    <n v="29.02"/>
    <d v="1900-04-11T05:02:24"/>
    <n v="566.11"/>
    <n v="1.5"/>
    <n v="849.16"/>
    <n v="4.9000000000000004"/>
    <x v="0"/>
    <x v="1"/>
  </r>
  <r>
    <s v="TRIP00505"/>
    <x v="245"/>
    <x v="3"/>
    <s v="Bangalore"/>
    <n v="4.0599999999999996"/>
    <d v="1900-01-13T11:16:48"/>
    <n v="66.75"/>
    <n v="1.2"/>
    <n v="80.099999999999994"/>
    <n v="3.2"/>
    <x v="0"/>
    <x v="3"/>
  </r>
  <r>
    <s v="TRIP00506"/>
    <x v="42"/>
    <x v="1"/>
    <s v="Mumbai"/>
    <n v="12.17"/>
    <d v="1900-02-13T09:50:24"/>
    <n v="179.63"/>
    <n v="2"/>
    <n v="359.26"/>
    <n v="3.4"/>
    <x v="0"/>
    <x v="1"/>
  </r>
  <r>
    <s v="TRIP00507"/>
    <x v="77"/>
    <x v="3"/>
    <s v="Delhi"/>
    <n v="11.72"/>
    <d v="1900-01-23T16:04:48"/>
    <n v="207.16"/>
    <n v="1.2"/>
    <n v="248.59"/>
    <n v="4.0999999999999996"/>
    <x v="4"/>
    <x v="2"/>
  </r>
  <r>
    <s v="TRIP00508"/>
    <x v="200"/>
    <x v="4"/>
    <s v="Chennai"/>
    <n v="25.66"/>
    <d v="1900-03-02T04:48:00"/>
    <n v="425.28"/>
    <n v="1.5"/>
    <n v="637.91999999999996"/>
    <n v="4.5"/>
    <x v="0"/>
    <x v="1"/>
  </r>
  <r>
    <s v="TRIP00509"/>
    <x v="200"/>
    <x v="2"/>
    <s v="Chennai"/>
    <n v="20.66"/>
    <d v="1900-03-06T10:19:12"/>
    <n v="267.61"/>
    <n v="2"/>
    <n v="535.22"/>
    <n v="4.9000000000000004"/>
    <x v="2"/>
    <x v="1"/>
  </r>
  <r>
    <s v="TRIP00510"/>
    <x v="195"/>
    <x v="2"/>
    <s v="Mumbai"/>
    <n v="22.42"/>
    <d v="1900-02-26T23:45:36"/>
    <n v="368.77"/>
    <n v="1"/>
    <n v="368.77"/>
    <n v="4.4000000000000004"/>
    <x v="4"/>
    <x v="0"/>
  </r>
  <r>
    <s v="TRIP00511"/>
    <x v="228"/>
    <x v="1"/>
    <s v="Kolkata"/>
    <n v="6.78"/>
    <d v="1900-01-24T15:07:12"/>
    <n v="87.29"/>
    <n v="1.5"/>
    <n v="130.94"/>
    <n v="4.3"/>
    <x v="1"/>
    <x v="2"/>
  </r>
  <r>
    <s v="TRIP00512"/>
    <x v="220"/>
    <x v="2"/>
    <s v="Bangalore"/>
    <n v="4.2300000000000004"/>
    <d v="1900-01-11T19:40:48"/>
    <n v="53.62"/>
    <n v="1"/>
    <n v="53.62"/>
    <n v="4.4000000000000004"/>
    <x v="1"/>
    <x v="1"/>
  </r>
  <r>
    <s v="TRIP00513"/>
    <x v="48"/>
    <x v="0"/>
    <s v="Mumbai"/>
    <n v="11.99"/>
    <d v="1900-01-31T01:40:48"/>
    <n v="122.22"/>
    <n v="2"/>
    <n v="244.44"/>
    <n v="4.9000000000000004"/>
    <x v="2"/>
    <x v="3"/>
  </r>
  <r>
    <s v="TRIP00514"/>
    <x v="207"/>
    <x v="4"/>
    <s v="Kolkata"/>
    <n v="15.29"/>
    <d v="1900-02-10T22:33:36"/>
    <n v="234.08"/>
    <n v="1.2"/>
    <n v="280.89999999999998"/>
    <n v="3.5"/>
    <x v="4"/>
    <x v="0"/>
  </r>
  <r>
    <s v="TRIP00515"/>
    <x v="157"/>
    <x v="4"/>
    <s v="Bangalore"/>
    <n v="14.46"/>
    <d v="1900-02-24T18:43:12"/>
    <n v="219.65"/>
    <n v="1.2"/>
    <n v="263.58"/>
    <n v="4.5"/>
    <x v="0"/>
    <x v="2"/>
  </r>
  <r>
    <s v="TRIP00516"/>
    <x v="104"/>
    <x v="1"/>
    <s v="Delhi"/>
    <n v="23.45"/>
    <d v="1900-03-23T03:36:00"/>
    <n v="356.74"/>
    <n v="1.2"/>
    <n v="428.09"/>
    <n v="4.7"/>
    <x v="2"/>
    <x v="2"/>
  </r>
  <r>
    <s v="TRIP00517"/>
    <x v="147"/>
    <x v="2"/>
    <s v="Chennai"/>
    <n v="3.22"/>
    <d v="1900-01-07T21:36:00"/>
    <n v="44.04"/>
    <n v="1"/>
    <n v="44.04"/>
    <n v="3.5"/>
    <x v="3"/>
    <x v="0"/>
  </r>
  <r>
    <s v="TRIP00518"/>
    <x v="84"/>
    <x v="3"/>
    <s v="Kolkata"/>
    <n v="9.51"/>
    <d v="1900-02-01T17:31:12"/>
    <n v="144.36000000000001"/>
    <n v="2"/>
    <n v="288.72000000000003"/>
    <n v="4.3"/>
    <x v="4"/>
    <x v="1"/>
  </r>
  <r>
    <s v="TRIP00519"/>
    <x v="61"/>
    <x v="4"/>
    <s v="Kolkata"/>
    <n v="1.04"/>
    <d v="1900-01-01T16:48:00"/>
    <n v="17.12"/>
    <n v="1.5"/>
    <n v="25.68"/>
    <n v="4.8"/>
    <x v="2"/>
    <x v="0"/>
  </r>
  <r>
    <s v="TRIP00520"/>
    <x v="271"/>
    <x v="1"/>
    <s v="Kolkata"/>
    <n v="1.68"/>
    <d v="1900-01-05T09:07:12"/>
    <n v="29.96"/>
    <n v="1"/>
    <n v="29.96"/>
    <n v="3.6"/>
    <x v="2"/>
    <x v="2"/>
  </r>
  <r>
    <s v="TRIP00521"/>
    <x v="272"/>
    <x v="4"/>
    <s v="Chennai"/>
    <n v="12.54"/>
    <d v="1900-01-31T16:19:12"/>
    <n v="133.63999999999999"/>
    <n v="1"/>
    <n v="133.63999999999999"/>
    <n v="4.9000000000000004"/>
    <x v="4"/>
    <x v="0"/>
  </r>
  <r>
    <s v="TRIP00522"/>
    <x v="143"/>
    <x v="0"/>
    <s v="Mumbai"/>
    <n v="15.04"/>
    <d v="1900-02-20T13:26:24"/>
    <n v="221.66"/>
    <n v="1.2"/>
    <n v="265.99"/>
    <n v="4.2"/>
    <x v="4"/>
    <x v="2"/>
  </r>
  <r>
    <s v="TRIP00523"/>
    <x v="119"/>
    <x v="3"/>
    <s v="Mumbai"/>
    <n v="28.34"/>
    <d v="1900-04-10T04:19:12"/>
    <n v="564.34"/>
    <n v="1.2"/>
    <n v="677.21"/>
    <n v="4.3"/>
    <x v="3"/>
    <x v="3"/>
  </r>
  <r>
    <s v="TRIP00524"/>
    <x v="273"/>
    <x v="3"/>
    <s v="Kolkata"/>
    <n v="3.19"/>
    <d v="1900-01-07T17:02:24"/>
    <n v="39.090000000000003"/>
    <n v="2"/>
    <n v="78.180000000000007"/>
    <n v="4.2"/>
    <x v="2"/>
    <x v="0"/>
  </r>
  <r>
    <s v="TRIP00525"/>
    <x v="111"/>
    <x v="0"/>
    <s v="Kolkata"/>
    <n v="25.57"/>
    <d v="1900-03-07T06:14:24"/>
    <n v="326.33"/>
    <n v="1"/>
    <n v="326.33"/>
    <n v="4.5999999999999996"/>
    <x v="4"/>
    <x v="3"/>
  </r>
  <r>
    <s v="TRIP00526"/>
    <x v="96"/>
    <x v="3"/>
    <s v="Bangalore"/>
    <n v="27.29"/>
    <d v="1900-03-03T12:28:48"/>
    <n v="448.33"/>
    <n v="1"/>
    <n v="448.33"/>
    <n v="3.7"/>
    <x v="1"/>
    <x v="1"/>
  </r>
  <r>
    <s v="TRIP00527"/>
    <x v="274"/>
    <x v="4"/>
    <s v="Mumbai"/>
    <n v="10.78"/>
    <d v="1900-02-05T04:33:36"/>
    <n v="165.88"/>
    <n v="1.5"/>
    <n v="248.82"/>
    <n v="4.4000000000000004"/>
    <x v="4"/>
    <x v="1"/>
  </r>
  <r>
    <s v="TRIP00528"/>
    <x v="83"/>
    <x v="4"/>
    <s v="Mumbai"/>
    <n v="21.01"/>
    <d v="1900-03-21T02:52:48"/>
    <n v="314.58999999999997"/>
    <n v="1"/>
    <n v="314.58999999999997"/>
    <n v="3.9"/>
    <x v="3"/>
    <x v="1"/>
  </r>
  <r>
    <s v="TRIP00529"/>
    <x v="9"/>
    <x v="1"/>
    <s v="Mumbai"/>
    <n v="13.05"/>
    <d v="1900-02-01T23:31:12"/>
    <n v="229.82"/>
    <n v="2"/>
    <n v="459.64"/>
    <n v="4"/>
    <x v="0"/>
    <x v="2"/>
  </r>
  <r>
    <s v="TRIP00530"/>
    <x v="41"/>
    <x v="3"/>
    <s v="Bangalore"/>
    <n v="28.91"/>
    <d v="1900-04-02T17:16:48"/>
    <n v="557.58000000000004"/>
    <n v="1.2"/>
    <n v="669.1"/>
    <n v="3.9"/>
    <x v="0"/>
    <x v="1"/>
  </r>
  <r>
    <s v="TRIP00531"/>
    <x v="10"/>
    <x v="2"/>
    <s v="Bangalore"/>
    <n v="6.23"/>
    <d v="1900-01-17T04:04:48"/>
    <n v="97.24"/>
    <n v="1.2"/>
    <n v="116.69"/>
    <n v="3.9"/>
    <x v="4"/>
    <x v="0"/>
  </r>
  <r>
    <s v="TRIP00532"/>
    <x v="275"/>
    <x v="1"/>
    <s v="Chennai"/>
    <n v="20.56"/>
    <d v="1900-02-14T18:00:00"/>
    <n v="410.17"/>
    <n v="1.2"/>
    <n v="492.2"/>
    <n v="4.7"/>
    <x v="4"/>
    <x v="1"/>
  </r>
  <r>
    <s v="TRIP00533"/>
    <x v="196"/>
    <x v="4"/>
    <s v="Bangalore"/>
    <n v="20.11"/>
    <d v="1900-02-12T14:24:00"/>
    <n v="329.11"/>
    <n v="2"/>
    <n v="658.22"/>
    <n v="5"/>
    <x v="0"/>
    <x v="1"/>
  </r>
  <r>
    <s v="TRIP00534"/>
    <x v="173"/>
    <x v="1"/>
    <s v="Bangalore"/>
    <n v="28.64"/>
    <d v="1900-03-27T05:02:24"/>
    <n v="349.16"/>
    <n v="1"/>
    <n v="349.16"/>
    <n v="3.9"/>
    <x v="3"/>
    <x v="3"/>
  </r>
  <r>
    <s v="TRIP00535"/>
    <x v="192"/>
    <x v="3"/>
    <s v="Kolkata"/>
    <n v="6.11"/>
    <d v="1900-01-13T19:55:12"/>
    <n v="61.9"/>
    <n v="1.2"/>
    <n v="74.28"/>
    <n v="3.4"/>
    <x v="0"/>
    <x v="3"/>
  </r>
  <r>
    <s v="TRIP00536"/>
    <x v="168"/>
    <x v="1"/>
    <s v="Bangalore"/>
    <n v="27.33"/>
    <d v="1900-04-15T05:45:36"/>
    <n v="535.71"/>
    <n v="1"/>
    <n v="535.71"/>
    <n v="4.9000000000000004"/>
    <x v="4"/>
    <x v="3"/>
  </r>
  <r>
    <s v="TRIP00537"/>
    <x v="139"/>
    <x v="4"/>
    <s v="Delhi"/>
    <n v="12.39"/>
    <d v="1900-02-13T22:48:00"/>
    <n v="219.69"/>
    <n v="2"/>
    <n v="439.38"/>
    <n v="3.5"/>
    <x v="3"/>
    <x v="0"/>
  </r>
  <r>
    <s v="TRIP00538"/>
    <x v="209"/>
    <x v="4"/>
    <s v="Delhi"/>
    <n v="14.29"/>
    <d v="1900-02-18T21:50:24"/>
    <n v="280.11"/>
    <n v="1.2"/>
    <n v="336.13"/>
    <n v="4.5"/>
    <x v="4"/>
    <x v="0"/>
  </r>
  <r>
    <s v="TRIP00539"/>
    <x v="56"/>
    <x v="2"/>
    <s v="Kolkata"/>
    <n v="18.489999999999998"/>
    <d v="1900-03-07T20:52:48"/>
    <n v="329.94"/>
    <n v="2"/>
    <n v="659.88"/>
    <n v="4.9000000000000004"/>
    <x v="3"/>
    <x v="2"/>
  </r>
  <r>
    <s v="TRIP00540"/>
    <x v="18"/>
    <x v="0"/>
    <s v="Chennai"/>
    <n v="19.399999999999999"/>
    <d v="1900-02-15T10:04:48"/>
    <n v="256.39999999999998"/>
    <n v="1.2"/>
    <n v="307.68"/>
    <n v="4"/>
    <x v="1"/>
    <x v="3"/>
  </r>
  <r>
    <s v="TRIP00541"/>
    <x v="248"/>
    <x v="0"/>
    <s v="Kolkata"/>
    <n v="8.36"/>
    <d v="1900-01-19T19:55:12"/>
    <n v="117.27"/>
    <n v="2"/>
    <n v="234.54"/>
    <n v="4.3"/>
    <x v="1"/>
    <x v="1"/>
  </r>
  <r>
    <s v="TRIP00542"/>
    <x v="221"/>
    <x v="3"/>
    <s v="Bangalore"/>
    <n v="27.14"/>
    <d v="1900-03-02T15:07:12"/>
    <n v="540.11"/>
    <n v="1.2"/>
    <n v="648.13"/>
    <n v="5"/>
    <x v="2"/>
    <x v="2"/>
  </r>
  <r>
    <s v="TRIP00543"/>
    <x v="276"/>
    <x v="4"/>
    <s v="Bangalore"/>
    <n v="15.87"/>
    <d v="1900-02-15T00:28:48"/>
    <n v="259.54000000000002"/>
    <n v="2"/>
    <n v="519.08000000000004"/>
    <n v="4.5"/>
    <x v="1"/>
    <x v="0"/>
  </r>
  <r>
    <s v="TRIP00544"/>
    <x v="207"/>
    <x v="2"/>
    <s v="Mumbai"/>
    <n v="2.67"/>
    <d v="1900-01-06T17:02:24"/>
    <n v="34.06"/>
    <n v="1"/>
    <n v="34.06"/>
    <n v="4.5999999999999996"/>
    <x v="2"/>
    <x v="1"/>
  </r>
  <r>
    <s v="TRIP00545"/>
    <x v="23"/>
    <x v="0"/>
    <s v="Kolkata"/>
    <n v="12.2"/>
    <d v="1900-02-06T09:36:00"/>
    <n v="172.7"/>
    <n v="1"/>
    <n v="172.7"/>
    <n v="3.5"/>
    <x v="2"/>
    <x v="2"/>
  </r>
  <r>
    <s v="TRIP00546"/>
    <x v="171"/>
    <x v="0"/>
    <s v="Delhi"/>
    <n v="26.44"/>
    <d v="1900-04-13T09:36:00"/>
    <n v="271.68"/>
    <n v="1.5"/>
    <n v="407.52"/>
    <n v="3.4"/>
    <x v="0"/>
    <x v="1"/>
  </r>
  <r>
    <s v="TRIP00547"/>
    <x v="277"/>
    <x v="2"/>
    <s v="Bangalore"/>
    <n v="7.63"/>
    <d v="1900-01-28T20:24:00"/>
    <n v="87.61"/>
    <n v="2"/>
    <n v="175.22"/>
    <n v="3.6"/>
    <x v="0"/>
    <x v="1"/>
  </r>
  <r>
    <s v="TRIP00548"/>
    <x v="194"/>
    <x v="1"/>
    <s v="Delhi"/>
    <n v="13.51"/>
    <d v="1900-02-14T10:48:00"/>
    <n v="211.21"/>
    <n v="1"/>
    <n v="211.21"/>
    <n v="4"/>
    <x v="0"/>
    <x v="0"/>
  </r>
  <r>
    <s v="TRIP00549"/>
    <x v="278"/>
    <x v="2"/>
    <s v="Kolkata"/>
    <n v="25.35"/>
    <d v="1900-02-25T23:45:36"/>
    <n v="362.53"/>
    <n v="1.5"/>
    <n v="543.79"/>
    <n v="4.9000000000000004"/>
    <x v="3"/>
    <x v="3"/>
  </r>
  <r>
    <s v="TRIP00550"/>
    <x v="163"/>
    <x v="1"/>
    <s v="Bangalore"/>
    <n v="12.63"/>
    <d v="1900-02-12T12:57:36"/>
    <n v="230.27"/>
    <n v="2"/>
    <n v="460.54"/>
    <n v="4"/>
    <x v="2"/>
    <x v="2"/>
  </r>
  <r>
    <s v="TRIP00551"/>
    <x v="23"/>
    <x v="2"/>
    <s v="Bangalore"/>
    <n v="6.93"/>
    <d v="1900-01-16T09:36:00"/>
    <n v="89.79"/>
    <n v="2"/>
    <n v="179.58"/>
    <n v="4.7"/>
    <x v="1"/>
    <x v="3"/>
  </r>
  <r>
    <s v="TRIP00552"/>
    <x v="252"/>
    <x v="1"/>
    <s v="Chennai"/>
    <n v="9.56"/>
    <d v="1900-02-03T22:33:36"/>
    <n v="139.58000000000001"/>
    <n v="1.5"/>
    <n v="209.37"/>
    <n v="4.5999999999999996"/>
    <x v="0"/>
    <x v="3"/>
  </r>
  <r>
    <s v="TRIP00553"/>
    <x v="163"/>
    <x v="0"/>
    <s v="Kolkata"/>
    <n v="2.38"/>
    <d v="1900-01-07T05:16:48"/>
    <n v="42.22"/>
    <n v="2"/>
    <n v="84.44"/>
    <n v="4.3"/>
    <x v="1"/>
    <x v="3"/>
  </r>
  <r>
    <s v="TRIP00554"/>
    <x v="279"/>
    <x v="2"/>
    <s v="Mumbai"/>
    <n v="15.95"/>
    <d v="1900-02-14T16:19:12"/>
    <n v="166.74"/>
    <n v="2"/>
    <n v="333.48"/>
    <n v="3.9"/>
    <x v="0"/>
    <x v="3"/>
  </r>
  <r>
    <s v="TRIP00555"/>
    <x v="55"/>
    <x v="0"/>
    <s v="Chennai"/>
    <n v="12.36"/>
    <d v="1900-02-06T05:31:12"/>
    <n v="189.36"/>
    <n v="1"/>
    <n v="189.36"/>
    <n v="3.8"/>
    <x v="4"/>
    <x v="0"/>
  </r>
  <r>
    <s v="TRIP00556"/>
    <x v="9"/>
    <x v="2"/>
    <s v="Kolkata"/>
    <n v="11.5"/>
    <d v="1900-02-07T15:07:12"/>
    <n v="138.06"/>
    <n v="1.5"/>
    <n v="207.09"/>
    <n v="3.6"/>
    <x v="1"/>
    <x v="2"/>
  </r>
  <r>
    <s v="TRIP00557"/>
    <x v="76"/>
    <x v="4"/>
    <s v="Bangalore"/>
    <n v="13.69"/>
    <d v="1900-02-19T13:12:00"/>
    <n v="144.01"/>
    <n v="2"/>
    <n v="288.02"/>
    <n v="4.9000000000000004"/>
    <x v="1"/>
    <x v="0"/>
  </r>
  <r>
    <s v="TRIP00558"/>
    <x v="112"/>
    <x v="2"/>
    <s v="Mumbai"/>
    <n v="22.22"/>
    <d v="1900-03-12T21:50:24"/>
    <n v="314.62"/>
    <n v="1"/>
    <n v="314.62"/>
    <n v="3.8"/>
    <x v="2"/>
    <x v="0"/>
  </r>
  <r>
    <s v="TRIP00559"/>
    <x v="280"/>
    <x v="1"/>
    <s v="Delhi"/>
    <n v="26.99"/>
    <d v="1900-04-07T03:21:36"/>
    <n v="338.13"/>
    <n v="1.5"/>
    <n v="507.2"/>
    <n v="3.4"/>
    <x v="3"/>
    <x v="0"/>
  </r>
  <r>
    <s v="TRIP00560"/>
    <x v="281"/>
    <x v="2"/>
    <s v="Delhi"/>
    <n v="24.39"/>
    <d v="1900-04-05T19:40:48"/>
    <n v="427.86"/>
    <n v="1"/>
    <n v="427.86"/>
    <n v="4.0999999999999996"/>
    <x v="1"/>
    <x v="3"/>
  </r>
  <r>
    <s v="TRIP00561"/>
    <x v="255"/>
    <x v="3"/>
    <s v="Kolkata"/>
    <n v="12.04"/>
    <d v="1900-02-02T01:26:24"/>
    <n v="211.16"/>
    <n v="2"/>
    <n v="422.32"/>
    <n v="3.3"/>
    <x v="0"/>
    <x v="3"/>
  </r>
  <r>
    <s v="TRIP00562"/>
    <x v="18"/>
    <x v="2"/>
    <s v="Mumbai"/>
    <n v="16.010000000000002"/>
    <d v="1900-02-08T15:07:12"/>
    <n v="260.70999999999998"/>
    <n v="1.2"/>
    <n v="312.85000000000002"/>
    <n v="3.5"/>
    <x v="1"/>
    <x v="1"/>
  </r>
  <r>
    <s v="TRIP00563"/>
    <x v="252"/>
    <x v="0"/>
    <s v="Chennai"/>
    <n v="28.53"/>
    <d v="1900-04-02T03:07:12"/>
    <n v="322.37"/>
    <n v="1"/>
    <n v="322.37"/>
    <n v="3.2"/>
    <x v="2"/>
    <x v="3"/>
  </r>
  <r>
    <s v="TRIP00564"/>
    <x v="209"/>
    <x v="4"/>
    <s v="Bangalore"/>
    <n v="21.55"/>
    <d v="1900-02-18T12:28:48"/>
    <n v="425.06"/>
    <n v="1.5"/>
    <n v="637.59"/>
    <n v="4.7"/>
    <x v="0"/>
    <x v="0"/>
  </r>
  <r>
    <s v="TRIP00565"/>
    <x v="119"/>
    <x v="3"/>
    <s v="Chennai"/>
    <n v="6.23"/>
    <d v="1900-01-12T16:19:12"/>
    <n v="112.36"/>
    <n v="1.5"/>
    <n v="168.54"/>
    <n v="4.4000000000000004"/>
    <x v="0"/>
    <x v="2"/>
  </r>
  <r>
    <s v="TRIP00566"/>
    <x v="282"/>
    <x v="3"/>
    <s v="Chennai"/>
    <n v="25.66"/>
    <d v="1900-03-09T00:14:24"/>
    <n v="264.52"/>
    <n v="1"/>
    <n v="264.52"/>
    <n v="3.4"/>
    <x v="1"/>
    <x v="2"/>
  </r>
  <r>
    <s v="TRIP00567"/>
    <x v="74"/>
    <x v="4"/>
    <s v="Kolkata"/>
    <n v="7.19"/>
    <d v="1900-01-22T22:33:36"/>
    <n v="83.21"/>
    <n v="1"/>
    <n v="83.21"/>
    <n v="4.4000000000000004"/>
    <x v="4"/>
    <x v="1"/>
  </r>
  <r>
    <s v="TRIP00568"/>
    <x v="174"/>
    <x v="3"/>
    <s v="Chennai"/>
    <n v="20.46"/>
    <d v="1900-02-26T17:31:12"/>
    <n v="316.99"/>
    <n v="1"/>
    <n v="316.99"/>
    <n v="3.8"/>
    <x v="2"/>
    <x v="3"/>
  </r>
  <r>
    <s v="TRIP00569"/>
    <x v="283"/>
    <x v="3"/>
    <s v="Delhi"/>
    <n v="15.69"/>
    <d v="1900-02-11T12:43:12"/>
    <n v="299.14"/>
    <n v="1"/>
    <n v="299.14"/>
    <n v="3.1"/>
    <x v="2"/>
    <x v="1"/>
  </r>
  <r>
    <s v="TRIP00570"/>
    <x v="99"/>
    <x v="2"/>
    <s v="Kolkata"/>
    <n v="21.41"/>
    <d v="1900-03-24T08:52:48"/>
    <n v="307.8"/>
    <n v="2"/>
    <n v="615.6"/>
    <n v="4.0999999999999996"/>
    <x v="4"/>
    <x v="1"/>
  </r>
  <r>
    <s v="TRIP00571"/>
    <x v="71"/>
    <x v="0"/>
    <s v="Mumbai"/>
    <n v="21.48"/>
    <d v="1900-03-05T21:50:24"/>
    <n v="330.95"/>
    <n v="1"/>
    <n v="330.95"/>
    <n v="4"/>
    <x v="1"/>
    <x v="0"/>
  </r>
  <r>
    <s v="TRIP00572"/>
    <x v="85"/>
    <x v="3"/>
    <s v="Mumbai"/>
    <n v="14.99"/>
    <d v="1900-02-01T12:43:12"/>
    <n v="294.02999999999997"/>
    <n v="1.2"/>
    <n v="352.84"/>
    <n v="4.0999999999999996"/>
    <x v="4"/>
    <x v="2"/>
  </r>
  <r>
    <s v="TRIP00573"/>
    <x v="57"/>
    <x v="1"/>
    <s v="Delhi"/>
    <n v="7.58"/>
    <d v="1900-01-27T11:45:36"/>
    <n v="137.11000000000001"/>
    <n v="1.5"/>
    <n v="205.67"/>
    <n v="3.6"/>
    <x v="2"/>
    <x v="2"/>
  </r>
  <r>
    <s v="TRIP00574"/>
    <x v="284"/>
    <x v="1"/>
    <s v="Bangalore"/>
    <n v="10.18"/>
    <d v="1900-02-04T23:31:12"/>
    <n v="152.85"/>
    <n v="2"/>
    <n v="305.7"/>
    <n v="3.5"/>
    <x v="4"/>
    <x v="0"/>
  </r>
  <r>
    <s v="TRIP00575"/>
    <x v="136"/>
    <x v="3"/>
    <s v="Chennai"/>
    <n v="25.15"/>
    <d v="1900-04-04T21:07:12"/>
    <n v="254.56"/>
    <n v="2"/>
    <n v="509.12"/>
    <n v="3.3"/>
    <x v="1"/>
    <x v="2"/>
  </r>
  <r>
    <s v="TRIP00576"/>
    <x v="268"/>
    <x v="0"/>
    <s v="Delhi"/>
    <n v="1.57"/>
    <d v="1900-01-03T08:52:48"/>
    <n v="18.71"/>
    <n v="2"/>
    <n v="37.42"/>
    <n v="4.2"/>
    <x v="3"/>
    <x v="0"/>
  </r>
  <r>
    <s v="TRIP00577"/>
    <x v="285"/>
    <x v="3"/>
    <s v="Delhi"/>
    <n v="13.49"/>
    <d v="1900-02-18T16:04:48"/>
    <n v="216.58"/>
    <n v="2"/>
    <n v="433.16"/>
    <n v="4.5999999999999996"/>
    <x v="3"/>
    <x v="0"/>
  </r>
  <r>
    <s v="TRIP00578"/>
    <x v="175"/>
    <x v="3"/>
    <s v="Kolkata"/>
    <n v="3.43"/>
    <d v="1900-01-08T03:36:00"/>
    <n v="57.54"/>
    <n v="1.5"/>
    <n v="86.31"/>
    <n v="3.1"/>
    <x v="2"/>
    <x v="1"/>
  </r>
  <r>
    <s v="TRIP00579"/>
    <x v="281"/>
    <x v="1"/>
    <s v="Delhi"/>
    <n v="12.06"/>
    <d v="1900-02-15T19:26:24"/>
    <n v="215.25"/>
    <n v="1.5"/>
    <n v="322.88"/>
    <n v="4.3"/>
    <x v="1"/>
    <x v="2"/>
  </r>
  <r>
    <s v="TRIP00580"/>
    <x v="103"/>
    <x v="4"/>
    <s v="Chennai"/>
    <n v="23.65"/>
    <d v="1900-03-24T10:33:36"/>
    <n v="378.66"/>
    <n v="2"/>
    <n v="757.32"/>
    <n v="3.6"/>
    <x v="3"/>
    <x v="3"/>
  </r>
  <r>
    <s v="TRIP00581"/>
    <x v="33"/>
    <x v="1"/>
    <s v="Mumbai"/>
    <n v="28.3"/>
    <d v="1900-04-17T08:52:48"/>
    <n v="286.25"/>
    <n v="1.2"/>
    <n v="343.5"/>
    <n v="4"/>
    <x v="1"/>
    <x v="1"/>
  </r>
  <r>
    <s v="TRIP00582"/>
    <x v="151"/>
    <x v="2"/>
    <s v="Bangalore"/>
    <n v="3.99"/>
    <d v="1900-01-11T08:24:00"/>
    <n v="78.959999999999994"/>
    <n v="1"/>
    <n v="78.959999999999994"/>
    <n v="4.5"/>
    <x v="1"/>
    <x v="2"/>
  </r>
  <r>
    <s v="TRIP00583"/>
    <x v="286"/>
    <x v="3"/>
    <s v="Bangalore"/>
    <n v="16.07"/>
    <d v="1900-02-02T12:28:48"/>
    <n v="258"/>
    <n v="1.2"/>
    <n v="309.60000000000002"/>
    <n v="4"/>
    <x v="2"/>
    <x v="0"/>
  </r>
  <r>
    <s v="TRIP00584"/>
    <x v="266"/>
    <x v="4"/>
    <s v="Kolkata"/>
    <n v="19.29"/>
    <d v="1900-02-27T18:43:12"/>
    <n v="325.95999999999998"/>
    <n v="1.2"/>
    <n v="391.15"/>
    <n v="4.2"/>
    <x v="0"/>
    <x v="2"/>
  </r>
  <r>
    <s v="TRIP00585"/>
    <x v="26"/>
    <x v="0"/>
    <s v="Delhi"/>
    <n v="5.99"/>
    <d v="1900-01-22T01:40:48"/>
    <n v="63.99"/>
    <n v="1"/>
    <n v="63.99"/>
    <n v="3.2"/>
    <x v="4"/>
    <x v="3"/>
  </r>
  <r>
    <s v="TRIP00586"/>
    <x v="155"/>
    <x v="1"/>
    <s v="Bangalore"/>
    <n v="14.28"/>
    <d v="1900-01-30T04:33:36"/>
    <n v="221.82"/>
    <n v="1"/>
    <n v="221.82"/>
    <n v="3"/>
    <x v="0"/>
    <x v="2"/>
  </r>
  <r>
    <s v="TRIP00587"/>
    <x v="279"/>
    <x v="2"/>
    <s v="Chennai"/>
    <n v="11.82"/>
    <d v="1900-02-04T23:02:24"/>
    <n v="171.47"/>
    <n v="2"/>
    <n v="342.94"/>
    <n v="4.2"/>
    <x v="4"/>
    <x v="3"/>
  </r>
  <r>
    <s v="TRIP00588"/>
    <x v="105"/>
    <x v="3"/>
    <s v="Chennai"/>
    <n v="16.25"/>
    <d v="1900-02-08T14:38:24"/>
    <n v="162.83000000000001"/>
    <n v="2"/>
    <n v="325.66000000000003"/>
    <n v="4.9000000000000004"/>
    <x v="1"/>
    <x v="3"/>
  </r>
  <r>
    <s v="TRIP00589"/>
    <x v="149"/>
    <x v="1"/>
    <s v="Chennai"/>
    <n v="14.02"/>
    <d v="1900-02-13T05:02:24"/>
    <n v="170.07"/>
    <n v="1.5"/>
    <n v="255.1"/>
    <n v="4.8"/>
    <x v="1"/>
    <x v="2"/>
  </r>
  <r>
    <s v="TRIP00590"/>
    <x v="235"/>
    <x v="3"/>
    <s v="Kolkata"/>
    <n v="18.04"/>
    <d v="1900-03-01T09:07:12"/>
    <n v="303.08999999999997"/>
    <n v="2"/>
    <n v="606.17999999999995"/>
    <n v="4.3"/>
    <x v="4"/>
    <x v="3"/>
  </r>
  <r>
    <s v="TRIP00591"/>
    <x v="13"/>
    <x v="4"/>
    <s v="Chennai"/>
    <n v="17.899999999999999"/>
    <d v="1900-02-12T20:38:24"/>
    <n v="259.60000000000002"/>
    <n v="1"/>
    <n v="259.60000000000002"/>
    <n v="3.4"/>
    <x v="4"/>
    <x v="3"/>
  </r>
  <r>
    <s v="TRIP00592"/>
    <x v="287"/>
    <x v="1"/>
    <s v="Mumbai"/>
    <n v="25.35"/>
    <d v="1900-02-28T06:14:24"/>
    <n v="423.97"/>
    <n v="2"/>
    <n v="847.94"/>
    <n v="4.3"/>
    <x v="1"/>
    <x v="3"/>
  </r>
  <r>
    <s v="TRIP00593"/>
    <x v="79"/>
    <x v="2"/>
    <s v="Chennai"/>
    <n v="1.24"/>
    <d v="1900-01-02T13:26:24"/>
    <n v="13.55"/>
    <n v="1.5"/>
    <n v="20.329999999999998"/>
    <n v="3.2"/>
    <x v="2"/>
    <x v="2"/>
  </r>
  <r>
    <s v="TRIP00594"/>
    <x v="283"/>
    <x v="3"/>
    <s v="Bangalore"/>
    <n v="24.7"/>
    <d v="1900-03-14T17:31:12"/>
    <n v="355.28"/>
    <n v="1.5"/>
    <n v="532.91999999999996"/>
    <n v="4.2"/>
    <x v="4"/>
    <x v="0"/>
  </r>
  <r>
    <s v="TRIP00595"/>
    <x v="263"/>
    <x v="1"/>
    <s v="Kolkata"/>
    <n v="16.86"/>
    <d v="1900-02-24T08:09:36"/>
    <n v="286.77"/>
    <n v="1"/>
    <n v="286.77"/>
    <n v="3.2"/>
    <x v="2"/>
    <x v="3"/>
  </r>
  <r>
    <s v="TRIP00596"/>
    <x v="262"/>
    <x v="0"/>
    <s v="Delhi"/>
    <n v="26.45"/>
    <d v="1900-03-31T23:31:12"/>
    <n v="268.14"/>
    <n v="1.5"/>
    <n v="402.21"/>
    <n v="3.7"/>
    <x v="3"/>
    <x v="3"/>
  </r>
  <r>
    <s v="TRIP00597"/>
    <x v="55"/>
    <x v="0"/>
    <s v="Chennai"/>
    <n v="3.24"/>
    <d v="1900-01-11T09:07:12"/>
    <n v="43.9"/>
    <n v="1.2"/>
    <n v="52.68"/>
    <n v="4.5"/>
    <x v="3"/>
    <x v="1"/>
  </r>
  <r>
    <s v="TRIP00598"/>
    <x v="176"/>
    <x v="2"/>
    <s v="Mumbai"/>
    <n v="18.32"/>
    <d v="1900-02-26T10:19:12"/>
    <n v="251.39"/>
    <n v="1.5"/>
    <n v="377.08"/>
    <n v="4.7"/>
    <x v="2"/>
    <x v="0"/>
  </r>
  <r>
    <s v="TRIP00599"/>
    <x v="112"/>
    <x v="3"/>
    <s v="Delhi"/>
    <n v="12.12"/>
    <d v="1900-02-04T04:48:00"/>
    <n v="155.54"/>
    <n v="2"/>
    <n v="311.08"/>
    <n v="3.4"/>
    <x v="2"/>
    <x v="1"/>
  </r>
  <r>
    <s v="TRIP00600"/>
    <x v="288"/>
    <x v="2"/>
    <s v="Kolkata"/>
    <n v="22.54"/>
    <d v="1900-03-18T08:24:00"/>
    <n v="342.93"/>
    <n v="1.5"/>
    <n v="514.4"/>
    <n v="4.5"/>
    <x v="0"/>
    <x v="3"/>
  </r>
  <r>
    <s v="TRIP00601"/>
    <x v="226"/>
    <x v="0"/>
    <s v="Kolkata"/>
    <n v="27.7"/>
    <d v="1900-03-27T18:43:12"/>
    <n v="426.12"/>
    <n v="1"/>
    <n v="426.12"/>
    <n v="4.7"/>
    <x v="0"/>
    <x v="2"/>
  </r>
  <r>
    <s v="TRIP00602"/>
    <x v="203"/>
    <x v="0"/>
    <s v="Chennai"/>
    <n v="26.97"/>
    <d v="1900-03-29T21:21:36"/>
    <n v="482.06"/>
    <n v="1"/>
    <n v="482.06"/>
    <n v="3.8"/>
    <x v="0"/>
    <x v="0"/>
  </r>
  <r>
    <s v="TRIP00603"/>
    <x v="171"/>
    <x v="4"/>
    <s v="Delhi"/>
    <n v="8.1999999999999993"/>
    <d v="1900-01-26T23:16:48"/>
    <n v="117.06"/>
    <n v="2"/>
    <n v="234.12"/>
    <n v="4.0999999999999996"/>
    <x v="1"/>
    <x v="0"/>
  </r>
  <r>
    <s v="TRIP00604"/>
    <x v="188"/>
    <x v="1"/>
    <s v="Bangalore"/>
    <n v="28.15"/>
    <d v="1900-02-27T21:36:00"/>
    <n v="513.66999999999996"/>
    <n v="1.2"/>
    <n v="616.4"/>
    <n v="4.5999999999999996"/>
    <x v="4"/>
    <x v="0"/>
  </r>
  <r>
    <s v="TRIP00605"/>
    <x v="184"/>
    <x v="1"/>
    <s v="Chennai"/>
    <n v="1.64"/>
    <d v="1900-01-03T06:28:48"/>
    <n v="24.64"/>
    <n v="1"/>
    <n v="24.64"/>
    <n v="3.9"/>
    <x v="1"/>
    <x v="0"/>
  </r>
  <r>
    <s v="TRIP00606"/>
    <x v="224"/>
    <x v="2"/>
    <s v="Delhi"/>
    <n v="27.89"/>
    <d v="1900-03-01T15:50:24"/>
    <n v="492.1"/>
    <n v="1.2"/>
    <n v="590.52"/>
    <n v="3"/>
    <x v="4"/>
    <x v="3"/>
  </r>
  <r>
    <s v="TRIP00607"/>
    <x v="270"/>
    <x v="0"/>
    <s v="Kolkata"/>
    <n v="8.5500000000000007"/>
    <d v="1900-01-18T19:55:12"/>
    <n v="99.22"/>
    <n v="1"/>
    <n v="99.22"/>
    <n v="4.5999999999999996"/>
    <x v="0"/>
    <x v="3"/>
  </r>
  <r>
    <s v="TRIP00608"/>
    <x v="22"/>
    <x v="0"/>
    <s v="Kolkata"/>
    <n v="20.260000000000002"/>
    <d v="1900-03-16T06:00:00"/>
    <n v="367.54"/>
    <n v="2"/>
    <n v="735.08"/>
    <n v="3.9"/>
    <x v="4"/>
    <x v="3"/>
  </r>
  <r>
    <s v="TRIP00609"/>
    <x v="55"/>
    <x v="2"/>
    <s v="Mumbai"/>
    <n v="1.23"/>
    <d v="1900-01-03T17:31:12"/>
    <n v="17.75"/>
    <n v="1.2"/>
    <n v="21.3"/>
    <n v="4.0999999999999996"/>
    <x v="1"/>
    <x v="0"/>
  </r>
  <r>
    <s v="TRIP00610"/>
    <x v="41"/>
    <x v="4"/>
    <s v="Mumbai"/>
    <n v="22.53"/>
    <d v="1900-02-16T12:14:24"/>
    <n v="421.9"/>
    <n v="1"/>
    <n v="421.9"/>
    <n v="3.6"/>
    <x v="3"/>
    <x v="3"/>
  </r>
  <r>
    <s v="TRIP00611"/>
    <x v="134"/>
    <x v="2"/>
    <s v="Kolkata"/>
    <n v="24.47"/>
    <d v="1900-03-27T10:04:48"/>
    <n v="399.4"/>
    <n v="1"/>
    <n v="399.4"/>
    <n v="4"/>
    <x v="1"/>
    <x v="0"/>
  </r>
  <r>
    <s v="TRIP00612"/>
    <x v="26"/>
    <x v="4"/>
    <s v="Delhi"/>
    <n v="7.72"/>
    <d v="1900-01-19T08:38:24"/>
    <n v="146.94999999999999"/>
    <n v="1.2"/>
    <n v="176.34"/>
    <n v="4.0999999999999996"/>
    <x v="0"/>
    <x v="0"/>
  </r>
  <r>
    <s v="TRIP00613"/>
    <x v="17"/>
    <x v="1"/>
    <s v="Chennai"/>
    <n v="11.12"/>
    <d v="1900-02-01T20:09:36"/>
    <n v="199.55"/>
    <n v="1.5"/>
    <n v="299.33"/>
    <n v="4.7"/>
    <x v="2"/>
    <x v="2"/>
  </r>
  <r>
    <s v="TRIP00614"/>
    <x v="259"/>
    <x v="0"/>
    <s v="Kolkata"/>
    <n v="1.38"/>
    <d v="1900-01-02T13:55:12"/>
    <n v="20.14"/>
    <n v="1.5"/>
    <n v="30.21"/>
    <n v="3.4"/>
    <x v="3"/>
    <x v="2"/>
  </r>
  <r>
    <s v="TRIP00615"/>
    <x v="289"/>
    <x v="2"/>
    <s v="Bangalore"/>
    <n v="12.16"/>
    <d v="1900-02-04T05:16:48"/>
    <n v="173.84"/>
    <n v="1.5"/>
    <n v="260.76"/>
    <n v="3"/>
    <x v="4"/>
    <x v="3"/>
  </r>
  <r>
    <s v="TRIP00616"/>
    <x v="290"/>
    <x v="4"/>
    <s v="Kolkata"/>
    <n v="23.89"/>
    <d v="1900-03-01T23:02:24"/>
    <n v="368.23"/>
    <n v="1.2"/>
    <n v="441.88"/>
    <n v="3"/>
    <x v="3"/>
    <x v="0"/>
  </r>
  <r>
    <s v="TRIP00617"/>
    <x v="275"/>
    <x v="3"/>
    <s v="Chennai"/>
    <n v="22.24"/>
    <d v="1900-03-23T16:48:00"/>
    <n v="249.42"/>
    <n v="1.5"/>
    <n v="374.13"/>
    <n v="3.2"/>
    <x v="2"/>
    <x v="0"/>
  </r>
  <r>
    <s v="TRIP00618"/>
    <x v="291"/>
    <x v="4"/>
    <s v="Chennai"/>
    <n v="16.059999999999999"/>
    <d v="1900-02-19T15:21:36"/>
    <n v="200"/>
    <n v="1.5"/>
    <n v="300"/>
    <n v="3.5"/>
    <x v="3"/>
    <x v="0"/>
  </r>
  <r>
    <s v="TRIP00619"/>
    <x v="127"/>
    <x v="2"/>
    <s v="Delhi"/>
    <n v="7.79"/>
    <d v="1900-01-18T00:00:00"/>
    <n v="152.66999999999999"/>
    <n v="2"/>
    <n v="305.33999999999997"/>
    <n v="5"/>
    <x v="1"/>
    <x v="0"/>
  </r>
  <r>
    <s v="TRIP00620"/>
    <x v="292"/>
    <x v="0"/>
    <s v="Kolkata"/>
    <n v="13.06"/>
    <d v="1900-02-05T07:40:48"/>
    <n v="201.24"/>
    <n v="1.2"/>
    <n v="241.49"/>
    <n v="3.8"/>
    <x v="0"/>
    <x v="2"/>
  </r>
  <r>
    <s v="TRIP00621"/>
    <x v="293"/>
    <x v="0"/>
    <s v="Bangalore"/>
    <n v="12.95"/>
    <d v="1900-02-16T10:48:00"/>
    <n v="211.27"/>
    <n v="2"/>
    <n v="422.54"/>
    <n v="4.9000000000000004"/>
    <x v="4"/>
    <x v="0"/>
  </r>
  <r>
    <s v="TRIP00622"/>
    <x v="16"/>
    <x v="4"/>
    <s v="Bangalore"/>
    <n v="18.559999999999999"/>
    <d v="1900-02-09T11:16:48"/>
    <n v="248.19"/>
    <n v="2"/>
    <n v="496.38"/>
    <n v="5"/>
    <x v="4"/>
    <x v="2"/>
  </r>
  <r>
    <s v="TRIP00623"/>
    <x v="151"/>
    <x v="2"/>
    <s v="Mumbai"/>
    <n v="6.98"/>
    <d v="1900-01-18T10:19:12"/>
    <n v="132.32"/>
    <n v="1.5"/>
    <n v="198.48"/>
    <n v="4.5"/>
    <x v="4"/>
    <x v="0"/>
  </r>
  <r>
    <s v="TRIP00624"/>
    <x v="0"/>
    <x v="0"/>
    <s v="Kolkata"/>
    <n v="13.16"/>
    <d v="1900-01-25T19:12:00"/>
    <n v="235.93"/>
    <n v="1"/>
    <n v="235.93"/>
    <n v="4.3"/>
    <x v="1"/>
    <x v="0"/>
  </r>
  <r>
    <s v="TRIP00625"/>
    <x v="180"/>
    <x v="2"/>
    <s v="Kolkata"/>
    <n v="26.68"/>
    <d v="1900-03-05T04:48:00"/>
    <n v="457.47"/>
    <n v="2"/>
    <n v="914.94"/>
    <n v="3"/>
    <x v="4"/>
    <x v="0"/>
  </r>
  <r>
    <s v="TRIP00626"/>
    <x v="196"/>
    <x v="3"/>
    <s v="Chennai"/>
    <n v="21.22"/>
    <d v="1900-03-14T09:07:12"/>
    <n v="310.88"/>
    <n v="1.2"/>
    <n v="373.06"/>
    <n v="4.7"/>
    <x v="0"/>
    <x v="3"/>
  </r>
  <r>
    <s v="TRIP00627"/>
    <x v="294"/>
    <x v="2"/>
    <s v="Kolkata"/>
    <n v="10.68"/>
    <d v="1900-02-06T06:28:48"/>
    <n v="155"/>
    <n v="1.5"/>
    <n v="232.5"/>
    <n v="4.5999999999999996"/>
    <x v="1"/>
    <x v="1"/>
  </r>
  <r>
    <s v="TRIP00628"/>
    <x v="283"/>
    <x v="4"/>
    <s v="Bangalore"/>
    <n v="14.52"/>
    <d v="1900-01-30T05:45:36"/>
    <n v="201.51"/>
    <n v="2"/>
    <n v="403.02"/>
    <n v="3"/>
    <x v="0"/>
    <x v="2"/>
  </r>
  <r>
    <s v="TRIP00629"/>
    <x v="16"/>
    <x v="2"/>
    <s v="Chennai"/>
    <n v="7.03"/>
    <d v="1900-01-13T15:36:00"/>
    <n v="103.99"/>
    <n v="1.5"/>
    <n v="155.97999999999999"/>
    <n v="4.0999999999999996"/>
    <x v="2"/>
    <x v="0"/>
  </r>
  <r>
    <s v="TRIP00630"/>
    <x v="195"/>
    <x v="1"/>
    <s v="Kolkata"/>
    <n v="25.59"/>
    <d v="1900-03-19T02:24:00"/>
    <n v="507.12"/>
    <n v="1.2"/>
    <n v="608.54"/>
    <n v="3.8"/>
    <x v="2"/>
    <x v="1"/>
  </r>
  <r>
    <s v="TRIP00631"/>
    <x v="272"/>
    <x v="1"/>
    <s v="Mumbai"/>
    <n v="29.69"/>
    <d v="1900-03-13T03:07:12"/>
    <n v="576.74"/>
    <n v="1.2"/>
    <n v="692.09"/>
    <n v="3.6"/>
    <x v="0"/>
    <x v="3"/>
  </r>
  <r>
    <s v="TRIP00632"/>
    <x v="71"/>
    <x v="1"/>
    <s v="Mumbai"/>
    <n v="3.03"/>
    <d v="1900-01-09T11:31:12"/>
    <n v="48.73"/>
    <n v="1.5"/>
    <n v="73.099999999999994"/>
    <n v="3.7"/>
    <x v="4"/>
    <x v="0"/>
  </r>
  <r>
    <s v="TRIP00633"/>
    <x v="295"/>
    <x v="2"/>
    <s v="Kolkata"/>
    <n v="21.96"/>
    <d v="1900-03-12T18:14:24"/>
    <n v="375.24"/>
    <n v="1.5"/>
    <n v="562.86"/>
    <n v="3.8"/>
    <x v="2"/>
    <x v="2"/>
  </r>
  <r>
    <s v="TRIP00634"/>
    <x v="118"/>
    <x v="3"/>
    <s v="Mumbai"/>
    <n v="25.43"/>
    <d v="1900-03-09T20:09:36"/>
    <n v="415.01"/>
    <n v="1.2"/>
    <n v="498.01"/>
    <n v="4.5"/>
    <x v="0"/>
    <x v="1"/>
  </r>
  <r>
    <s v="TRIP00635"/>
    <x v="180"/>
    <x v="0"/>
    <s v="Kolkata"/>
    <n v="2.41"/>
    <d v="1900-01-06T14:52:48"/>
    <n v="34.369999999999997"/>
    <n v="1.2"/>
    <n v="41.24"/>
    <n v="4.5999999999999996"/>
    <x v="3"/>
    <x v="0"/>
  </r>
  <r>
    <s v="TRIP00636"/>
    <x v="175"/>
    <x v="0"/>
    <s v="Bangalore"/>
    <n v="24.29"/>
    <d v="1900-03-13T17:45:36"/>
    <n v="276.98"/>
    <n v="1"/>
    <n v="276.98"/>
    <n v="3.4"/>
    <x v="0"/>
    <x v="2"/>
  </r>
  <r>
    <s v="TRIP00637"/>
    <x v="240"/>
    <x v="4"/>
    <s v="Mumbai"/>
    <n v="22.53"/>
    <d v="1900-02-20T17:02:24"/>
    <n v="269.23"/>
    <n v="2"/>
    <n v="538.46"/>
    <n v="3.8"/>
    <x v="4"/>
    <x v="2"/>
  </r>
  <r>
    <s v="TRIP00638"/>
    <x v="1"/>
    <x v="4"/>
    <s v="Chennai"/>
    <n v="18.559999999999999"/>
    <d v="1900-02-21T04:48:00"/>
    <n v="329.31"/>
    <n v="1.2"/>
    <n v="395.17"/>
    <n v="4.2"/>
    <x v="3"/>
    <x v="0"/>
  </r>
  <r>
    <s v="TRIP00639"/>
    <x v="118"/>
    <x v="1"/>
    <s v="Kolkata"/>
    <n v="5.54"/>
    <d v="1900-01-15T07:55:12"/>
    <n v="95.09"/>
    <n v="1.2"/>
    <n v="114.11"/>
    <n v="3.8"/>
    <x v="3"/>
    <x v="1"/>
  </r>
  <r>
    <s v="TRIP00640"/>
    <x v="119"/>
    <x v="1"/>
    <s v="Kolkata"/>
    <n v="10.1"/>
    <d v="1900-01-24T01:55:12"/>
    <n v="122.71"/>
    <n v="1.2"/>
    <n v="147.25"/>
    <n v="4.7"/>
    <x v="1"/>
    <x v="0"/>
  </r>
  <r>
    <s v="TRIP00641"/>
    <x v="238"/>
    <x v="4"/>
    <s v="Bangalore"/>
    <n v="15.7"/>
    <d v="1900-02-05T07:12:00"/>
    <n v="169.08"/>
    <n v="1.2"/>
    <n v="202.9"/>
    <n v="3.3"/>
    <x v="3"/>
    <x v="3"/>
  </r>
  <r>
    <s v="TRIP00642"/>
    <x v="52"/>
    <x v="3"/>
    <s v="Chennai"/>
    <n v="14.07"/>
    <d v="1900-02-23T02:38:24"/>
    <n v="201.35"/>
    <n v="1.2"/>
    <n v="241.62"/>
    <n v="4.4000000000000004"/>
    <x v="1"/>
    <x v="1"/>
  </r>
  <r>
    <s v="TRIP00643"/>
    <x v="100"/>
    <x v="0"/>
    <s v="Mumbai"/>
    <n v="19.47"/>
    <d v="1900-03-08T01:55:12"/>
    <n v="238.52"/>
    <n v="1.2"/>
    <n v="286.22000000000003"/>
    <n v="3.5"/>
    <x v="0"/>
    <x v="0"/>
  </r>
  <r>
    <s v="TRIP00644"/>
    <x v="196"/>
    <x v="4"/>
    <s v="Chennai"/>
    <n v="14.43"/>
    <d v="1900-02-04T21:36:00"/>
    <n v="238.77"/>
    <n v="1.5"/>
    <n v="358.16"/>
    <n v="3.5"/>
    <x v="4"/>
    <x v="2"/>
  </r>
  <r>
    <s v="TRIP00645"/>
    <x v="180"/>
    <x v="2"/>
    <s v="Kolkata"/>
    <n v="23.56"/>
    <d v="1900-03-22T23:16:48"/>
    <n v="279.83"/>
    <n v="2"/>
    <n v="559.66"/>
    <n v="4.5"/>
    <x v="1"/>
    <x v="1"/>
  </r>
  <r>
    <s v="TRIP00646"/>
    <x v="37"/>
    <x v="4"/>
    <s v="Bangalore"/>
    <n v="11.68"/>
    <d v="1900-02-01T11:02:24"/>
    <n v="120.44"/>
    <n v="1.5"/>
    <n v="180.66"/>
    <n v="3.5"/>
    <x v="0"/>
    <x v="0"/>
  </r>
  <r>
    <s v="TRIP00647"/>
    <x v="25"/>
    <x v="2"/>
    <s v="Bangalore"/>
    <n v="8.06"/>
    <d v="1900-01-24T02:24:00"/>
    <n v="83.74"/>
    <n v="1.2"/>
    <n v="100.49"/>
    <n v="4.5999999999999996"/>
    <x v="0"/>
    <x v="0"/>
  </r>
  <r>
    <s v="TRIP00648"/>
    <x v="72"/>
    <x v="2"/>
    <s v="Chennai"/>
    <n v="27.04"/>
    <d v="1900-04-11T02:38:24"/>
    <n v="358.36"/>
    <n v="1"/>
    <n v="358.36"/>
    <n v="3.9"/>
    <x v="2"/>
    <x v="3"/>
  </r>
  <r>
    <s v="TRIP00649"/>
    <x v="197"/>
    <x v="1"/>
    <s v="Delhi"/>
    <n v="24.94"/>
    <d v="1900-04-01T00:28:48"/>
    <n v="311.5"/>
    <n v="1.2"/>
    <n v="373.8"/>
    <n v="4.4000000000000004"/>
    <x v="1"/>
    <x v="3"/>
  </r>
  <r>
    <s v="TRIP00650"/>
    <x v="112"/>
    <x v="4"/>
    <s v="Bangalore"/>
    <n v="3.75"/>
    <d v="1900-01-13T23:45:36"/>
    <n v="49.75"/>
    <n v="1.5"/>
    <n v="74.62"/>
    <n v="4.5999999999999996"/>
    <x v="1"/>
    <x v="3"/>
  </r>
  <r>
    <s v="TRIP00651"/>
    <x v="97"/>
    <x v="2"/>
    <s v="Chennai"/>
    <n v="25.88"/>
    <d v="1900-04-12T09:36:00"/>
    <n v="321.3"/>
    <n v="1.5"/>
    <n v="481.95"/>
    <n v="3.6"/>
    <x v="4"/>
    <x v="0"/>
  </r>
  <r>
    <s v="TRIP00652"/>
    <x v="156"/>
    <x v="3"/>
    <s v="Bangalore"/>
    <n v="4.7699999999999996"/>
    <d v="1900-01-08T18:00:00"/>
    <n v="64.89"/>
    <n v="1.5"/>
    <n v="97.34"/>
    <n v="3.8"/>
    <x v="1"/>
    <x v="0"/>
  </r>
  <r>
    <s v="TRIP00653"/>
    <x v="42"/>
    <x v="3"/>
    <s v="Delhi"/>
    <n v="10.050000000000001"/>
    <d v="1900-01-19T10:04:48"/>
    <n v="102.22"/>
    <n v="2"/>
    <n v="204.44"/>
    <n v="4.2"/>
    <x v="2"/>
    <x v="0"/>
  </r>
  <r>
    <s v="TRIP00654"/>
    <x v="233"/>
    <x v="0"/>
    <s v="Delhi"/>
    <n v="2.13"/>
    <d v="1900-01-06T19:55:12"/>
    <n v="34.5"/>
    <n v="1.5"/>
    <n v="51.75"/>
    <n v="4.9000000000000004"/>
    <x v="0"/>
    <x v="2"/>
  </r>
  <r>
    <s v="TRIP00655"/>
    <x v="296"/>
    <x v="1"/>
    <s v="Bangalore"/>
    <n v="26.07"/>
    <d v="1900-03-22T17:45:36"/>
    <n v="412.15"/>
    <n v="1"/>
    <n v="412.15"/>
    <n v="4.3"/>
    <x v="4"/>
    <x v="0"/>
  </r>
  <r>
    <s v="TRIP00656"/>
    <x v="192"/>
    <x v="0"/>
    <s v="Bangalore"/>
    <n v="13.83"/>
    <d v="1900-02-15T05:31:12"/>
    <n v="192.13"/>
    <n v="2"/>
    <n v="384.26"/>
    <n v="4.0999999999999996"/>
    <x v="0"/>
    <x v="1"/>
  </r>
  <r>
    <s v="TRIP00657"/>
    <x v="256"/>
    <x v="4"/>
    <s v="Mumbai"/>
    <n v="27.92"/>
    <d v="1900-04-16T17:16:48"/>
    <n v="374.66"/>
    <n v="1"/>
    <n v="374.66"/>
    <n v="4.3"/>
    <x v="0"/>
    <x v="0"/>
  </r>
  <r>
    <s v="TRIP00658"/>
    <x v="5"/>
    <x v="1"/>
    <s v="Kolkata"/>
    <n v="13.85"/>
    <d v="1900-02-09T09:21:36"/>
    <n v="257.75"/>
    <n v="1.2"/>
    <n v="309.3"/>
    <n v="4.4000000000000004"/>
    <x v="4"/>
    <x v="3"/>
  </r>
  <r>
    <s v="TRIP00659"/>
    <x v="103"/>
    <x v="0"/>
    <s v="Chennai"/>
    <n v="2.5499999999999998"/>
    <d v="1900-01-06T10:04:48"/>
    <n v="42.71"/>
    <n v="1.5"/>
    <n v="64.06"/>
    <n v="4.7"/>
    <x v="2"/>
    <x v="2"/>
  </r>
  <r>
    <s v="TRIP00660"/>
    <x v="297"/>
    <x v="0"/>
    <s v="Delhi"/>
    <n v="5.85"/>
    <d v="1900-01-16T13:12:00"/>
    <n v="98.92"/>
    <n v="1.5"/>
    <n v="148.38"/>
    <n v="4.9000000000000004"/>
    <x v="2"/>
    <x v="2"/>
  </r>
  <r>
    <s v="TRIP00661"/>
    <x v="73"/>
    <x v="4"/>
    <s v="Kolkata"/>
    <n v="8.98"/>
    <d v="1900-01-19T18:28:48"/>
    <n v="146.91"/>
    <n v="2"/>
    <n v="293.82"/>
    <n v="3.8"/>
    <x v="0"/>
    <x v="3"/>
  </r>
  <r>
    <s v="TRIP00662"/>
    <x v="119"/>
    <x v="2"/>
    <s v="Bangalore"/>
    <n v="21.45"/>
    <d v="1900-03-02T10:19:12"/>
    <n v="357.73"/>
    <n v="1"/>
    <n v="357.73"/>
    <n v="4.9000000000000004"/>
    <x v="2"/>
    <x v="2"/>
  </r>
  <r>
    <s v="TRIP00663"/>
    <x v="298"/>
    <x v="1"/>
    <s v="Chennai"/>
    <n v="1.72"/>
    <d v="1900-01-03T00:43:12"/>
    <n v="25"/>
    <n v="2"/>
    <n v="50"/>
    <n v="4.5999999999999996"/>
    <x v="1"/>
    <x v="3"/>
  </r>
  <r>
    <s v="TRIP00664"/>
    <x v="58"/>
    <x v="3"/>
    <s v="Chennai"/>
    <n v="27.4"/>
    <d v="1900-03-29T19:40:48"/>
    <n v="535.27"/>
    <n v="1"/>
    <n v="535.27"/>
    <n v="3.3"/>
    <x v="3"/>
    <x v="0"/>
  </r>
  <r>
    <s v="TRIP00665"/>
    <x v="299"/>
    <x v="1"/>
    <s v="Kolkata"/>
    <n v="25.18"/>
    <d v="1900-03-22T17:16:48"/>
    <n v="271.58"/>
    <n v="1.5"/>
    <n v="407.37"/>
    <n v="4.2"/>
    <x v="1"/>
    <x v="3"/>
  </r>
  <r>
    <s v="TRIP00666"/>
    <x v="47"/>
    <x v="2"/>
    <s v="Bangalore"/>
    <n v="2.5099999999999998"/>
    <d v="1900-01-04T04:19:12"/>
    <n v="35.729999999999997"/>
    <n v="1.2"/>
    <n v="42.88"/>
    <n v="4.8"/>
    <x v="4"/>
    <x v="1"/>
  </r>
  <r>
    <s v="TRIP00667"/>
    <x v="37"/>
    <x v="3"/>
    <s v="Delhi"/>
    <n v="26.55"/>
    <d v="1900-04-08T23:31:12"/>
    <n v="440.48"/>
    <n v="1.5"/>
    <n v="660.72"/>
    <n v="4"/>
    <x v="1"/>
    <x v="2"/>
  </r>
  <r>
    <s v="TRIP00668"/>
    <x v="100"/>
    <x v="4"/>
    <s v="Kolkata"/>
    <n v="20.82"/>
    <d v="1900-02-25T06:28:48"/>
    <n v="374.78"/>
    <n v="2"/>
    <n v="749.56"/>
    <n v="4.5999999999999996"/>
    <x v="4"/>
    <x v="0"/>
  </r>
  <r>
    <s v="TRIP00669"/>
    <x v="19"/>
    <x v="1"/>
    <s v="Mumbai"/>
    <n v="1.87"/>
    <d v="1900-01-06T02:24:00"/>
    <n v="30.34"/>
    <n v="1.5"/>
    <n v="45.51"/>
    <n v="4.2"/>
    <x v="3"/>
    <x v="0"/>
  </r>
  <r>
    <s v="TRIP00670"/>
    <x v="180"/>
    <x v="0"/>
    <s v="Mumbai"/>
    <n v="25.57"/>
    <d v="1900-02-22T07:55:12"/>
    <n v="341.43"/>
    <n v="1.5"/>
    <n v="512.14"/>
    <n v="3.9"/>
    <x v="0"/>
    <x v="3"/>
  </r>
  <r>
    <s v="TRIP00671"/>
    <x v="251"/>
    <x v="2"/>
    <s v="Delhi"/>
    <n v="24.69"/>
    <d v="1900-03-31T11:31:12"/>
    <n v="478.48"/>
    <n v="1.5"/>
    <n v="717.72"/>
    <n v="4.0999999999999996"/>
    <x v="1"/>
    <x v="0"/>
  </r>
  <r>
    <s v="TRIP00672"/>
    <x v="92"/>
    <x v="1"/>
    <s v="Delhi"/>
    <n v="3.06"/>
    <d v="1900-01-06T09:50:24"/>
    <n v="37.619999999999997"/>
    <n v="2"/>
    <n v="75.239999999999995"/>
    <n v="3.1"/>
    <x v="0"/>
    <x v="3"/>
  </r>
  <r>
    <s v="TRIP00673"/>
    <x v="300"/>
    <x v="4"/>
    <s v="Chennai"/>
    <n v="3.93"/>
    <d v="1900-01-08T04:19:12"/>
    <n v="45.09"/>
    <n v="1.5"/>
    <n v="67.64"/>
    <n v="5"/>
    <x v="3"/>
    <x v="0"/>
  </r>
  <r>
    <s v="TRIP00674"/>
    <x v="116"/>
    <x v="0"/>
    <s v="Chennai"/>
    <n v="4.32"/>
    <d v="1900-01-07T17:16:48"/>
    <n v="49.92"/>
    <n v="1.5"/>
    <n v="74.88"/>
    <n v="3.7"/>
    <x v="2"/>
    <x v="2"/>
  </r>
  <r>
    <s v="TRIP00675"/>
    <x v="254"/>
    <x v="0"/>
    <s v="Kolkata"/>
    <n v="7.74"/>
    <d v="1900-01-16T11:45:36"/>
    <n v="97.25"/>
    <n v="1"/>
    <n v="97.25"/>
    <n v="3.7"/>
    <x v="3"/>
    <x v="1"/>
  </r>
  <r>
    <s v="TRIP00676"/>
    <x v="48"/>
    <x v="3"/>
    <s v="Mumbai"/>
    <n v="2.81"/>
    <d v="1900-01-05T19:12:00"/>
    <n v="50.83"/>
    <n v="1.5"/>
    <n v="76.239999999999995"/>
    <n v="4.5999999999999996"/>
    <x v="1"/>
    <x v="0"/>
  </r>
  <r>
    <s v="TRIP00677"/>
    <x v="93"/>
    <x v="2"/>
    <s v="Delhi"/>
    <n v="26.08"/>
    <d v="1900-02-28T05:45:36"/>
    <n v="282.38"/>
    <n v="1.2"/>
    <n v="338.86"/>
    <n v="4.7"/>
    <x v="0"/>
    <x v="3"/>
  </r>
  <r>
    <s v="TRIP00678"/>
    <x v="301"/>
    <x v="2"/>
    <s v="Bangalore"/>
    <n v="17.34"/>
    <d v="1900-03-02T13:26:24"/>
    <n v="197.18"/>
    <n v="1.2"/>
    <n v="236.62"/>
    <n v="4.5999999999999996"/>
    <x v="3"/>
    <x v="0"/>
  </r>
  <r>
    <s v="TRIP00679"/>
    <x v="39"/>
    <x v="2"/>
    <s v="Delhi"/>
    <n v="5.18"/>
    <d v="1900-01-15T19:40:48"/>
    <n v="65.97"/>
    <n v="1.2"/>
    <n v="79.16"/>
    <n v="4.8"/>
    <x v="0"/>
    <x v="2"/>
  </r>
  <r>
    <s v="TRIP00680"/>
    <x v="158"/>
    <x v="0"/>
    <s v="Kolkata"/>
    <n v="14.33"/>
    <d v="1900-02-05T10:33:36"/>
    <n v="261.14999999999998"/>
    <n v="1.2"/>
    <n v="313.38"/>
    <n v="3.6"/>
    <x v="4"/>
    <x v="0"/>
  </r>
  <r>
    <s v="TRIP00681"/>
    <x v="143"/>
    <x v="4"/>
    <s v="Chennai"/>
    <n v="14.29"/>
    <d v="1900-02-17T07:12:00"/>
    <n v="224.97"/>
    <n v="1.5"/>
    <n v="337.46"/>
    <n v="5"/>
    <x v="2"/>
    <x v="3"/>
  </r>
  <r>
    <s v="TRIP00682"/>
    <x v="51"/>
    <x v="4"/>
    <s v="Mumbai"/>
    <n v="10.1"/>
    <d v="1900-01-30T01:40:48"/>
    <n v="185.85"/>
    <n v="1"/>
    <n v="185.85"/>
    <n v="4.5"/>
    <x v="0"/>
    <x v="3"/>
  </r>
  <r>
    <s v="TRIP00683"/>
    <x v="163"/>
    <x v="0"/>
    <s v="Chennai"/>
    <n v="11.77"/>
    <d v="1900-01-27T03:07:12"/>
    <n v="175.3"/>
    <n v="2"/>
    <n v="350.6"/>
    <n v="4.3"/>
    <x v="2"/>
    <x v="1"/>
  </r>
  <r>
    <s v="TRIP00684"/>
    <x v="253"/>
    <x v="3"/>
    <s v="Bangalore"/>
    <n v="15.01"/>
    <d v="1900-02-23T04:19:12"/>
    <n v="204.35"/>
    <n v="1.5"/>
    <n v="306.52"/>
    <n v="4.5999999999999996"/>
    <x v="4"/>
    <x v="1"/>
  </r>
  <r>
    <s v="TRIP00685"/>
    <x v="26"/>
    <x v="4"/>
    <s v="Kolkata"/>
    <n v="14.17"/>
    <d v="1900-02-17T22:48:00"/>
    <n v="159.55000000000001"/>
    <n v="1"/>
    <n v="159.55000000000001"/>
    <n v="4.8"/>
    <x v="0"/>
    <x v="2"/>
  </r>
  <r>
    <s v="TRIP00686"/>
    <x v="302"/>
    <x v="3"/>
    <s v="Mumbai"/>
    <n v="15.79"/>
    <d v="1900-02-22T19:55:12"/>
    <n v="238.89"/>
    <n v="1.2"/>
    <n v="286.67"/>
    <n v="4.3"/>
    <x v="3"/>
    <x v="0"/>
  </r>
  <r>
    <s v="TRIP00687"/>
    <x v="227"/>
    <x v="4"/>
    <s v="Kolkata"/>
    <n v="29.14"/>
    <d v="1900-04-21T14:52:48"/>
    <n v="507.5"/>
    <n v="1.5"/>
    <n v="761.25"/>
    <n v="3.3"/>
    <x v="0"/>
    <x v="2"/>
  </r>
  <r>
    <s v="TRIP00688"/>
    <x v="36"/>
    <x v="0"/>
    <s v="Kolkata"/>
    <n v="6.37"/>
    <d v="1900-01-15T06:57:36"/>
    <n v="77.63"/>
    <n v="1"/>
    <n v="77.63"/>
    <n v="3.8"/>
    <x v="3"/>
    <x v="3"/>
  </r>
  <r>
    <s v="TRIP00689"/>
    <x v="266"/>
    <x v="1"/>
    <s v="Bangalore"/>
    <n v="9.2899999999999991"/>
    <d v="1900-02-03T19:26:24"/>
    <n v="183.01"/>
    <n v="2"/>
    <n v="366.02"/>
    <n v="3.7"/>
    <x v="1"/>
    <x v="1"/>
  </r>
  <r>
    <s v="TRIP00690"/>
    <x v="303"/>
    <x v="2"/>
    <s v="Kolkata"/>
    <n v="11.86"/>
    <d v="1900-02-10T15:21:36"/>
    <n v="162.16999999999999"/>
    <n v="1.5"/>
    <n v="243.26"/>
    <n v="3.7"/>
    <x v="3"/>
    <x v="0"/>
  </r>
  <r>
    <s v="TRIP00691"/>
    <x v="107"/>
    <x v="0"/>
    <s v="Bangalore"/>
    <n v="25.51"/>
    <d v="1900-03-31T15:07:12"/>
    <n v="299.77"/>
    <n v="1"/>
    <n v="299.77"/>
    <n v="3.1"/>
    <x v="4"/>
    <x v="3"/>
  </r>
  <r>
    <s v="TRIP00692"/>
    <x v="304"/>
    <x v="2"/>
    <s v="Kolkata"/>
    <n v="7.33"/>
    <d v="1900-01-26T11:16:48"/>
    <n v="91.6"/>
    <n v="1.2"/>
    <n v="109.92"/>
    <n v="4.5"/>
    <x v="3"/>
    <x v="2"/>
  </r>
  <r>
    <s v="TRIP00693"/>
    <x v="272"/>
    <x v="3"/>
    <s v="Bangalore"/>
    <n v="26.25"/>
    <d v="1900-04-03T02:38:24"/>
    <n v="427.17"/>
    <n v="1"/>
    <n v="427.17"/>
    <n v="3.5"/>
    <x v="3"/>
    <x v="2"/>
  </r>
  <r>
    <s v="TRIP00694"/>
    <x v="263"/>
    <x v="3"/>
    <s v="Bangalore"/>
    <n v="9.52"/>
    <d v="1900-01-22T13:12:00"/>
    <n v="185.5"/>
    <n v="1.5"/>
    <n v="278.25"/>
    <n v="3.6"/>
    <x v="4"/>
    <x v="3"/>
  </r>
  <r>
    <s v="TRIP00695"/>
    <x v="8"/>
    <x v="4"/>
    <s v="Mumbai"/>
    <n v="27.81"/>
    <d v="1900-04-08T07:55:12"/>
    <n v="442.16"/>
    <n v="1"/>
    <n v="442.16"/>
    <n v="3.9"/>
    <x v="4"/>
    <x v="3"/>
  </r>
  <r>
    <s v="TRIP00696"/>
    <x v="305"/>
    <x v="3"/>
    <s v="Kolkata"/>
    <n v="5.48"/>
    <d v="1900-01-15T07:12:00"/>
    <n v="78.36"/>
    <n v="1"/>
    <n v="78.36"/>
    <n v="4.4000000000000004"/>
    <x v="1"/>
    <x v="3"/>
  </r>
  <r>
    <s v="TRIP00697"/>
    <x v="48"/>
    <x v="2"/>
    <s v="Delhi"/>
    <n v="23.31"/>
    <d v="1900-03-05T04:04:48"/>
    <n v="426"/>
    <n v="1"/>
    <n v="426"/>
    <n v="4.3"/>
    <x v="0"/>
    <x v="3"/>
  </r>
  <r>
    <s v="TRIP00698"/>
    <x v="110"/>
    <x v="3"/>
    <s v="Bangalore"/>
    <n v="6.93"/>
    <d v="1900-01-17T13:55:12"/>
    <n v="104.68"/>
    <n v="2"/>
    <n v="209.36"/>
    <n v="4.3"/>
    <x v="3"/>
    <x v="0"/>
  </r>
  <r>
    <s v="TRIP00699"/>
    <x v="306"/>
    <x v="4"/>
    <s v="Chennai"/>
    <n v="15.79"/>
    <d v="1900-02-15T09:50:24"/>
    <n v="165.83"/>
    <n v="2"/>
    <n v="331.66"/>
    <n v="3.6"/>
    <x v="4"/>
    <x v="3"/>
  </r>
  <r>
    <s v="TRIP00700"/>
    <x v="259"/>
    <x v="4"/>
    <s v="Mumbai"/>
    <n v="13.71"/>
    <d v="1900-02-18T10:19:12"/>
    <n v="159.13"/>
    <n v="1.5"/>
    <n v="238.7"/>
    <n v="4.5"/>
    <x v="3"/>
    <x v="3"/>
  </r>
  <r>
    <s v="TRIP00701"/>
    <x v="266"/>
    <x v="0"/>
    <s v="Kolkata"/>
    <n v="7.89"/>
    <d v="1900-01-15T13:26:24"/>
    <n v="136.07"/>
    <n v="1.2"/>
    <n v="163.28"/>
    <n v="4.8"/>
    <x v="2"/>
    <x v="0"/>
  </r>
  <r>
    <s v="TRIP00702"/>
    <x v="307"/>
    <x v="4"/>
    <s v="Bangalore"/>
    <n v="27.75"/>
    <d v="1900-04-03T02:38:24"/>
    <n v="446.99"/>
    <n v="1.2"/>
    <n v="536.39"/>
    <n v="3.8"/>
    <x v="4"/>
    <x v="0"/>
  </r>
  <r>
    <s v="TRIP00703"/>
    <x v="218"/>
    <x v="4"/>
    <s v="Delhi"/>
    <n v="17.489999999999998"/>
    <d v="1900-02-25T18:28:48"/>
    <n v="211.77"/>
    <n v="1.2"/>
    <n v="254.12"/>
    <n v="4.4000000000000004"/>
    <x v="3"/>
    <x v="1"/>
  </r>
  <r>
    <s v="TRIP00704"/>
    <x v="236"/>
    <x v="2"/>
    <s v="Bangalore"/>
    <n v="25.22"/>
    <d v="1900-04-06T05:16:48"/>
    <n v="344.48"/>
    <n v="1.2"/>
    <n v="413.38"/>
    <n v="3"/>
    <x v="1"/>
    <x v="1"/>
  </r>
  <r>
    <s v="TRIP00705"/>
    <x v="308"/>
    <x v="2"/>
    <s v="Mumbai"/>
    <n v="13.5"/>
    <d v="1900-01-28T08:38:24"/>
    <n v="173.18"/>
    <n v="1.5"/>
    <n v="259.77"/>
    <n v="3.7"/>
    <x v="1"/>
    <x v="2"/>
  </r>
  <r>
    <s v="TRIP00706"/>
    <x v="160"/>
    <x v="0"/>
    <s v="Kolkata"/>
    <n v="10.63"/>
    <d v="1900-01-26T12:14:24"/>
    <n v="110.71"/>
    <n v="1.5"/>
    <n v="166.06"/>
    <n v="3.5"/>
    <x v="1"/>
    <x v="2"/>
  </r>
  <r>
    <s v="TRIP00707"/>
    <x v="263"/>
    <x v="0"/>
    <s v="Kolkata"/>
    <n v="19.95"/>
    <d v="1900-02-15T13:40:48"/>
    <n v="258.48"/>
    <n v="1.2"/>
    <n v="310.18"/>
    <n v="4.9000000000000004"/>
    <x v="1"/>
    <x v="0"/>
  </r>
  <r>
    <s v="TRIP00708"/>
    <x v="309"/>
    <x v="3"/>
    <s v="Mumbai"/>
    <n v="22.43"/>
    <d v="1900-02-25T07:26:24"/>
    <n v="287.47000000000003"/>
    <n v="1.2"/>
    <n v="344.96"/>
    <n v="3.9"/>
    <x v="4"/>
    <x v="2"/>
  </r>
  <r>
    <s v="TRIP00709"/>
    <x v="171"/>
    <x v="0"/>
    <s v="Chennai"/>
    <n v="21.77"/>
    <d v="1900-03-14T06:57:36"/>
    <n v="353.26"/>
    <n v="1.2"/>
    <n v="423.91"/>
    <n v="4.5999999999999996"/>
    <x v="3"/>
    <x v="3"/>
  </r>
  <r>
    <s v="TRIP00710"/>
    <x v="11"/>
    <x v="2"/>
    <s v="Delhi"/>
    <n v="10.86"/>
    <d v="1900-01-22T10:19:12"/>
    <n v="156.69"/>
    <n v="1"/>
    <n v="156.69"/>
    <n v="3.2"/>
    <x v="0"/>
    <x v="0"/>
  </r>
  <r>
    <s v="TRIP00711"/>
    <x v="42"/>
    <x v="3"/>
    <s v="Mumbai"/>
    <n v="25.2"/>
    <d v="1900-04-06T13:12:00"/>
    <n v="298.8"/>
    <n v="2"/>
    <n v="597.6"/>
    <n v="3.9"/>
    <x v="2"/>
    <x v="3"/>
  </r>
  <r>
    <s v="TRIP00712"/>
    <x v="292"/>
    <x v="2"/>
    <s v="Bangalore"/>
    <n v="7.96"/>
    <d v="1900-01-26T05:31:12"/>
    <n v="101.33"/>
    <n v="1.5"/>
    <n v="152"/>
    <n v="4.9000000000000004"/>
    <x v="3"/>
    <x v="2"/>
  </r>
  <r>
    <s v="TRIP00713"/>
    <x v="132"/>
    <x v="0"/>
    <s v="Mumbai"/>
    <n v="27.48"/>
    <d v="1900-03-05T08:52:48"/>
    <n v="276.18"/>
    <n v="1.2"/>
    <n v="331.42"/>
    <n v="4.3"/>
    <x v="2"/>
    <x v="2"/>
  </r>
  <r>
    <s v="TRIP00714"/>
    <x v="278"/>
    <x v="0"/>
    <s v="Chennai"/>
    <n v="19.78"/>
    <d v="1900-02-18T08:38:24"/>
    <n v="232.85"/>
    <n v="2"/>
    <n v="465.7"/>
    <n v="4.5999999999999996"/>
    <x v="3"/>
    <x v="3"/>
  </r>
  <r>
    <s v="TRIP00715"/>
    <x v="85"/>
    <x v="4"/>
    <s v="Chennai"/>
    <n v="2.61"/>
    <d v="1900-01-04T06:14:24"/>
    <n v="31.64"/>
    <n v="1"/>
    <n v="31.64"/>
    <n v="3.5"/>
    <x v="2"/>
    <x v="0"/>
  </r>
  <r>
    <s v="TRIP00716"/>
    <x v="265"/>
    <x v="1"/>
    <s v="Kolkata"/>
    <n v="12.67"/>
    <d v="1900-02-15T18:14:24"/>
    <n v="240.17"/>
    <n v="1.5"/>
    <n v="360.26"/>
    <n v="3.6"/>
    <x v="0"/>
    <x v="2"/>
  </r>
  <r>
    <s v="TRIP00717"/>
    <x v="310"/>
    <x v="4"/>
    <s v="Mumbai"/>
    <n v="21.04"/>
    <d v="1900-02-21T12:14:24"/>
    <n v="250.5"/>
    <n v="1.2"/>
    <n v="300.60000000000002"/>
    <n v="4.9000000000000004"/>
    <x v="0"/>
    <x v="2"/>
  </r>
  <r>
    <s v="TRIP00718"/>
    <x v="129"/>
    <x v="1"/>
    <s v="Kolkata"/>
    <n v="13.47"/>
    <d v="1900-02-17T07:55:12"/>
    <n v="150.85"/>
    <n v="1.2"/>
    <n v="181.02"/>
    <n v="4"/>
    <x v="0"/>
    <x v="1"/>
  </r>
  <r>
    <s v="TRIP00719"/>
    <x v="189"/>
    <x v="3"/>
    <s v="Kolkata"/>
    <n v="20.78"/>
    <d v="1900-03-21T00:57:36"/>
    <n v="236.29"/>
    <n v="1.5"/>
    <n v="354.44"/>
    <n v="3.9"/>
    <x v="0"/>
    <x v="2"/>
  </r>
  <r>
    <s v="TRIP00720"/>
    <x v="41"/>
    <x v="2"/>
    <s v="Mumbai"/>
    <n v="17.920000000000002"/>
    <d v="1900-02-17T19:40:48"/>
    <n v="242.84"/>
    <n v="1.5"/>
    <n v="364.26"/>
    <n v="3.7"/>
    <x v="2"/>
    <x v="1"/>
  </r>
  <r>
    <s v="TRIP00721"/>
    <x v="311"/>
    <x v="0"/>
    <s v="Bangalore"/>
    <n v="1.44"/>
    <d v="1900-01-03T13:12:00"/>
    <n v="15.92"/>
    <n v="1.5"/>
    <n v="23.88"/>
    <n v="4.0999999999999996"/>
    <x v="1"/>
    <x v="0"/>
  </r>
  <r>
    <s v="TRIP00722"/>
    <x v="284"/>
    <x v="3"/>
    <s v="Kolkata"/>
    <n v="21.29"/>
    <d v="1900-02-28T01:40:48"/>
    <n v="332.25"/>
    <n v="2"/>
    <n v="664.5"/>
    <n v="3"/>
    <x v="1"/>
    <x v="0"/>
  </r>
  <r>
    <s v="TRIP00723"/>
    <x v="29"/>
    <x v="2"/>
    <s v="Chennai"/>
    <n v="24.23"/>
    <d v="1900-02-21T12:28:48"/>
    <n v="382.07"/>
    <n v="1.5"/>
    <n v="573.1"/>
    <n v="3.7"/>
    <x v="3"/>
    <x v="0"/>
  </r>
  <r>
    <s v="TRIP00724"/>
    <x v="146"/>
    <x v="3"/>
    <s v="Delhi"/>
    <n v="17.97"/>
    <d v="1900-02-12T01:40:48"/>
    <n v="340.66"/>
    <n v="1.2"/>
    <n v="408.79"/>
    <n v="4.5"/>
    <x v="3"/>
    <x v="2"/>
  </r>
  <r>
    <s v="TRIP00725"/>
    <x v="141"/>
    <x v="0"/>
    <s v="Mumbai"/>
    <n v="18.89"/>
    <d v="1900-03-10T09:36:00"/>
    <n v="231.04"/>
    <n v="1.5"/>
    <n v="346.56"/>
    <n v="3.3"/>
    <x v="1"/>
    <x v="1"/>
  </r>
  <r>
    <s v="TRIP00726"/>
    <x v="219"/>
    <x v="2"/>
    <s v="Chennai"/>
    <n v="29.52"/>
    <d v="1900-03-14T08:52:48"/>
    <n v="581.46"/>
    <n v="1"/>
    <n v="581.46"/>
    <n v="3.5"/>
    <x v="2"/>
    <x v="1"/>
  </r>
  <r>
    <s v="TRIP00727"/>
    <x v="291"/>
    <x v="0"/>
    <s v="Kolkata"/>
    <n v="2.46"/>
    <d v="1900-01-04T04:19:12"/>
    <n v="41.62"/>
    <n v="1.5"/>
    <n v="62.43"/>
    <n v="3.4"/>
    <x v="2"/>
    <x v="1"/>
  </r>
  <r>
    <s v="TRIP00728"/>
    <x v="60"/>
    <x v="1"/>
    <s v="Kolkata"/>
    <n v="18.809999999999999"/>
    <d v="1900-02-15T03:07:12"/>
    <n v="296.75"/>
    <n v="1.2"/>
    <n v="356.1"/>
    <n v="4.8"/>
    <x v="1"/>
    <x v="1"/>
  </r>
  <r>
    <s v="TRIP00729"/>
    <x v="258"/>
    <x v="1"/>
    <s v="Chennai"/>
    <n v="24.8"/>
    <d v="1900-03-13T06:43:12"/>
    <n v="335"/>
    <n v="2"/>
    <n v="670"/>
    <n v="3.3"/>
    <x v="4"/>
    <x v="3"/>
  </r>
  <r>
    <s v="TRIP00730"/>
    <x v="263"/>
    <x v="4"/>
    <s v="Kolkata"/>
    <n v="10.52"/>
    <d v="1900-01-24T10:33:36"/>
    <n v="114.11"/>
    <n v="1"/>
    <n v="114.11"/>
    <n v="3.7"/>
    <x v="4"/>
    <x v="1"/>
  </r>
  <r>
    <s v="TRIP00731"/>
    <x v="312"/>
    <x v="4"/>
    <s v="Kolkata"/>
    <n v="17.399999999999999"/>
    <d v="1900-02-09T03:50:24"/>
    <n v="198.29"/>
    <n v="1.5"/>
    <n v="297.44"/>
    <n v="4.5999999999999996"/>
    <x v="2"/>
    <x v="3"/>
  </r>
  <r>
    <s v="TRIP00732"/>
    <x v="85"/>
    <x v="1"/>
    <s v="Bangalore"/>
    <n v="23.66"/>
    <d v="1900-02-28T08:52:48"/>
    <n v="284.92"/>
    <n v="2"/>
    <n v="569.84"/>
    <n v="3.2"/>
    <x v="2"/>
    <x v="1"/>
  </r>
  <r>
    <s v="TRIP00733"/>
    <x v="171"/>
    <x v="4"/>
    <s v="Chennai"/>
    <n v="20.83"/>
    <d v="1900-03-03T19:26:24"/>
    <n v="215.1"/>
    <n v="1"/>
    <n v="215.1"/>
    <n v="3.6"/>
    <x v="4"/>
    <x v="2"/>
  </r>
  <r>
    <s v="TRIP00734"/>
    <x v="30"/>
    <x v="2"/>
    <s v="Chennai"/>
    <n v="19.97"/>
    <d v="1900-03-04T16:04:48"/>
    <n v="266.02"/>
    <n v="1"/>
    <n v="266.02"/>
    <n v="4.4000000000000004"/>
    <x v="4"/>
    <x v="2"/>
  </r>
  <r>
    <s v="TRIP00735"/>
    <x v="48"/>
    <x v="1"/>
    <s v="Mumbai"/>
    <n v="7.5"/>
    <d v="1900-01-17T14:09:36"/>
    <n v="113.42"/>
    <n v="1.5"/>
    <n v="170.13"/>
    <n v="4.9000000000000004"/>
    <x v="0"/>
    <x v="1"/>
  </r>
  <r>
    <s v="TRIP00736"/>
    <x v="313"/>
    <x v="3"/>
    <s v="Delhi"/>
    <n v="19.8"/>
    <d v="1900-02-16T18:28:48"/>
    <n v="332.91"/>
    <n v="1.2"/>
    <n v="399.49"/>
    <n v="4.7"/>
    <x v="2"/>
    <x v="0"/>
  </r>
  <r>
    <s v="TRIP00737"/>
    <x v="96"/>
    <x v="3"/>
    <s v="Bangalore"/>
    <n v="10.27"/>
    <d v="1900-01-28T12:57:36"/>
    <n v="195.05"/>
    <n v="1.2"/>
    <n v="234.06"/>
    <n v="3.2"/>
    <x v="3"/>
    <x v="2"/>
  </r>
  <r>
    <s v="TRIP00738"/>
    <x v="273"/>
    <x v="3"/>
    <s v="Mumbai"/>
    <n v="22.75"/>
    <d v="1900-03-09T16:33:36"/>
    <n v="349.85"/>
    <n v="1"/>
    <n v="349.85"/>
    <n v="3.1"/>
    <x v="3"/>
    <x v="2"/>
  </r>
  <r>
    <s v="TRIP00739"/>
    <x v="100"/>
    <x v="2"/>
    <s v="Chennai"/>
    <n v="9.35"/>
    <d v="1900-01-28T02:24:00"/>
    <n v="96.23"/>
    <n v="2"/>
    <n v="192.46"/>
    <n v="3.1"/>
    <x v="3"/>
    <x v="0"/>
  </r>
  <r>
    <s v="TRIP00740"/>
    <x v="52"/>
    <x v="2"/>
    <s v="Mumbai"/>
    <n v="5.88"/>
    <d v="1900-01-21T02:24:00"/>
    <n v="91.55"/>
    <n v="1.2"/>
    <n v="109.86"/>
    <n v="3.6"/>
    <x v="1"/>
    <x v="3"/>
  </r>
  <r>
    <s v="TRIP00741"/>
    <x v="283"/>
    <x v="2"/>
    <s v="Bangalore"/>
    <n v="22.21"/>
    <d v="1900-03-26T23:31:12"/>
    <n v="271.06"/>
    <n v="2"/>
    <n v="542.12"/>
    <n v="3.1"/>
    <x v="0"/>
    <x v="0"/>
  </r>
  <r>
    <s v="TRIP00742"/>
    <x v="294"/>
    <x v="1"/>
    <s v="Chennai"/>
    <n v="27.58"/>
    <d v="1900-03-30T05:02:24"/>
    <n v="449.5"/>
    <n v="1.5"/>
    <n v="674.25"/>
    <n v="3.2"/>
    <x v="0"/>
    <x v="3"/>
  </r>
  <r>
    <s v="TRIP00743"/>
    <x v="314"/>
    <x v="0"/>
    <s v="Chennai"/>
    <n v="16.41"/>
    <d v="1900-02-23T01:12:00"/>
    <n v="234.41"/>
    <n v="2"/>
    <n v="468.82"/>
    <n v="3.9"/>
    <x v="0"/>
    <x v="0"/>
  </r>
  <r>
    <s v="TRIP00744"/>
    <x v="214"/>
    <x v="2"/>
    <s v="Bangalore"/>
    <n v="20.079999999999998"/>
    <d v="1900-02-08T11:31:12"/>
    <n v="390.19"/>
    <n v="1"/>
    <n v="390.19"/>
    <n v="3.9"/>
    <x v="2"/>
    <x v="0"/>
  </r>
  <r>
    <s v="TRIP00745"/>
    <x v="59"/>
    <x v="0"/>
    <s v="Bangalore"/>
    <n v="23.28"/>
    <d v="1900-03-09T20:38:24"/>
    <n v="333.78"/>
    <n v="1.5"/>
    <n v="500.67"/>
    <n v="4"/>
    <x v="3"/>
    <x v="0"/>
  </r>
  <r>
    <s v="TRIP00746"/>
    <x v="25"/>
    <x v="0"/>
    <s v="Chennai"/>
    <n v="8.9600000000000009"/>
    <d v="1900-02-02T01:55:12"/>
    <n v="108.88"/>
    <n v="2"/>
    <n v="217.76"/>
    <n v="3.1"/>
    <x v="4"/>
    <x v="3"/>
  </r>
  <r>
    <s v="TRIP00747"/>
    <x v="279"/>
    <x v="0"/>
    <s v="Chennai"/>
    <n v="25.03"/>
    <d v="1900-03-25T18:00:00"/>
    <n v="424.68"/>
    <n v="1.5"/>
    <n v="637.02"/>
    <n v="3.8"/>
    <x v="3"/>
    <x v="3"/>
  </r>
  <r>
    <s v="TRIP00748"/>
    <x v="241"/>
    <x v="4"/>
    <s v="Mumbai"/>
    <n v="7.12"/>
    <d v="1900-01-25T10:48:00"/>
    <n v="129.61000000000001"/>
    <n v="1.5"/>
    <n v="194.42"/>
    <n v="4.9000000000000004"/>
    <x v="2"/>
    <x v="0"/>
  </r>
  <r>
    <s v="TRIP00749"/>
    <x v="133"/>
    <x v="4"/>
    <s v="Kolkata"/>
    <n v="23.72"/>
    <d v="1900-02-28T01:26:24"/>
    <n v="472.11"/>
    <n v="1.5"/>
    <n v="708.16"/>
    <n v="5"/>
    <x v="1"/>
    <x v="1"/>
  </r>
  <r>
    <s v="TRIP00750"/>
    <x v="174"/>
    <x v="4"/>
    <s v="Kolkata"/>
    <n v="20.13"/>
    <d v="1900-03-07T23:02:24"/>
    <n v="225.53"/>
    <n v="1"/>
    <n v="225.53"/>
    <n v="3.4"/>
    <x v="3"/>
    <x v="2"/>
  </r>
  <r>
    <s v="TRIP00751"/>
    <x v="10"/>
    <x v="4"/>
    <s v="Delhi"/>
    <n v="19.059999999999999"/>
    <d v="1900-02-14T14:38:24"/>
    <n v="249.16"/>
    <n v="2"/>
    <n v="498.32"/>
    <n v="4.8"/>
    <x v="2"/>
    <x v="2"/>
  </r>
  <r>
    <s v="TRIP00752"/>
    <x v="315"/>
    <x v="0"/>
    <s v="Kolkata"/>
    <n v="5.65"/>
    <d v="1900-01-12T05:31:12"/>
    <n v="80.13"/>
    <n v="1"/>
    <n v="80.13"/>
    <n v="4.5999999999999996"/>
    <x v="3"/>
    <x v="1"/>
  </r>
  <r>
    <s v="TRIP00753"/>
    <x v="176"/>
    <x v="1"/>
    <s v="Delhi"/>
    <n v="10.88"/>
    <d v="1900-02-07T06:43:12"/>
    <n v="114.5"/>
    <n v="1.5"/>
    <n v="171.75"/>
    <n v="4.2"/>
    <x v="0"/>
    <x v="3"/>
  </r>
  <r>
    <s v="TRIP00754"/>
    <x v="143"/>
    <x v="2"/>
    <s v="Bangalore"/>
    <n v="3.23"/>
    <d v="1900-01-06T23:31:12"/>
    <n v="59.11"/>
    <n v="1.2"/>
    <n v="70.930000000000007"/>
    <n v="4.9000000000000004"/>
    <x v="3"/>
    <x v="2"/>
  </r>
  <r>
    <s v="TRIP00755"/>
    <x v="226"/>
    <x v="1"/>
    <s v="Bangalore"/>
    <n v="7.71"/>
    <d v="1900-01-27T19:26:24"/>
    <n v="148.53"/>
    <n v="1.2"/>
    <n v="178.24"/>
    <n v="4.9000000000000004"/>
    <x v="2"/>
    <x v="3"/>
  </r>
  <r>
    <s v="TRIP00756"/>
    <x v="316"/>
    <x v="2"/>
    <s v="Chennai"/>
    <n v="13.18"/>
    <d v="1900-01-25T14:52:48"/>
    <n v="244.88"/>
    <n v="1.5"/>
    <n v="367.32"/>
    <n v="4.2"/>
    <x v="2"/>
    <x v="2"/>
  </r>
  <r>
    <s v="TRIP00757"/>
    <x v="312"/>
    <x v="1"/>
    <s v="Mumbai"/>
    <n v="23.67"/>
    <d v="1900-03-02T04:33:36"/>
    <n v="295.37"/>
    <n v="1.2"/>
    <n v="354.44"/>
    <n v="4.2"/>
    <x v="1"/>
    <x v="0"/>
  </r>
  <r>
    <s v="TRIP00758"/>
    <x v="317"/>
    <x v="1"/>
    <s v="Chennai"/>
    <n v="17.420000000000002"/>
    <d v="1900-02-03T01:26:24"/>
    <n v="184.98"/>
    <n v="1.5"/>
    <n v="277.47000000000003"/>
    <n v="4.4000000000000004"/>
    <x v="0"/>
    <x v="2"/>
  </r>
  <r>
    <s v="TRIP00759"/>
    <x v="307"/>
    <x v="4"/>
    <s v="Delhi"/>
    <n v="27.22"/>
    <d v="1900-03-14T20:09:36"/>
    <n v="421.87"/>
    <n v="2"/>
    <n v="843.74"/>
    <n v="3.2"/>
    <x v="4"/>
    <x v="3"/>
  </r>
  <r>
    <s v="TRIP00760"/>
    <x v="74"/>
    <x v="0"/>
    <s v="Kolkata"/>
    <n v="25.14"/>
    <d v="1900-03-30T18:57:36"/>
    <n v="307.79000000000002"/>
    <n v="2"/>
    <n v="615.58000000000004"/>
    <n v="3.5"/>
    <x v="1"/>
    <x v="0"/>
  </r>
  <r>
    <s v="TRIP00761"/>
    <x v="190"/>
    <x v="0"/>
    <s v="Bangalore"/>
    <n v="27.98"/>
    <d v="1900-03-01T07:12:00"/>
    <n v="405.73"/>
    <n v="1"/>
    <n v="405.73"/>
    <n v="4.3"/>
    <x v="4"/>
    <x v="2"/>
  </r>
  <r>
    <s v="TRIP00762"/>
    <x v="60"/>
    <x v="0"/>
    <s v="Delhi"/>
    <n v="3.42"/>
    <d v="1900-01-07T06:43:12"/>
    <n v="59.93"/>
    <n v="1"/>
    <n v="59.93"/>
    <n v="4.7"/>
    <x v="2"/>
    <x v="1"/>
  </r>
  <r>
    <s v="TRIP00763"/>
    <x v="299"/>
    <x v="3"/>
    <s v="Chennai"/>
    <n v="22.1"/>
    <d v="1900-03-05T14:38:24"/>
    <n v="374.33"/>
    <n v="2"/>
    <n v="748.66"/>
    <n v="3.3"/>
    <x v="1"/>
    <x v="1"/>
  </r>
  <r>
    <s v="TRIP00764"/>
    <x v="51"/>
    <x v="4"/>
    <s v="Bangalore"/>
    <n v="7.05"/>
    <d v="1900-01-17T06:43:12"/>
    <n v="134.71"/>
    <n v="1"/>
    <n v="134.71"/>
    <n v="3.3"/>
    <x v="4"/>
    <x v="1"/>
  </r>
  <r>
    <s v="TRIP00765"/>
    <x v="31"/>
    <x v="1"/>
    <s v="Delhi"/>
    <n v="11.05"/>
    <d v="1900-01-30T02:38:24"/>
    <n v="124.37"/>
    <n v="1.2"/>
    <n v="149.24"/>
    <n v="3.1"/>
    <x v="1"/>
    <x v="2"/>
  </r>
  <r>
    <s v="TRIP00766"/>
    <x v="233"/>
    <x v="0"/>
    <s v="Bangalore"/>
    <n v="17.96"/>
    <d v="1900-02-16T00:57:36"/>
    <n v="323.79000000000002"/>
    <n v="1.5"/>
    <n v="485.69"/>
    <n v="4.3"/>
    <x v="2"/>
    <x v="2"/>
  </r>
  <r>
    <s v="TRIP00767"/>
    <x v="194"/>
    <x v="2"/>
    <s v="Kolkata"/>
    <n v="11"/>
    <d v="1900-01-28T10:04:48"/>
    <n v="144.31"/>
    <n v="1"/>
    <n v="144.31"/>
    <n v="3.5"/>
    <x v="3"/>
    <x v="2"/>
  </r>
  <r>
    <s v="TRIP00768"/>
    <x v="112"/>
    <x v="0"/>
    <s v="Chennai"/>
    <n v="7.98"/>
    <d v="1900-01-25T16:33:36"/>
    <n v="145.72"/>
    <n v="1"/>
    <n v="145.72"/>
    <n v="4.0999999999999996"/>
    <x v="2"/>
    <x v="2"/>
  </r>
  <r>
    <s v="TRIP00769"/>
    <x v="182"/>
    <x v="2"/>
    <s v="Kolkata"/>
    <n v="12.51"/>
    <d v="1900-01-27T22:19:12"/>
    <n v="217.42"/>
    <n v="1"/>
    <n v="217.42"/>
    <n v="3.2"/>
    <x v="3"/>
    <x v="0"/>
  </r>
  <r>
    <s v="TRIP00770"/>
    <x v="252"/>
    <x v="3"/>
    <s v="Chennai"/>
    <n v="8.85"/>
    <d v="1900-01-18T03:21:36"/>
    <n v="176.34"/>
    <n v="1.2"/>
    <n v="211.61"/>
    <n v="4"/>
    <x v="4"/>
    <x v="3"/>
  </r>
  <r>
    <s v="TRIP00771"/>
    <x v="210"/>
    <x v="3"/>
    <s v="Bangalore"/>
    <n v="29.34"/>
    <d v="1900-04-14T06:14:24"/>
    <n v="486.87"/>
    <n v="1"/>
    <n v="486.87"/>
    <n v="4"/>
    <x v="2"/>
    <x v="3"/>
  </r>
  <r>
    <s v="TRIP00772"/>
    <x v="71"/>
    <x v="3"/>
    <s v="Mumbai"/>
    <n v="29.57"/>
    <d v="1900-04-13T13:26:24"/>
    <n v="424.14"/>
    <n v="1.2"/>
    <n v="508.97"/>
    <n v="3.9"/>
    <x v="0"/>
    <x v="1"/>
  </r>
  <r>
    <s v="TRIP00773"/>
    <x v="186"/>
    <x v="4"/>
    <s v="Delhi"/>
    <n v="20.3"/>
    <d v="1900-02-28T22:19:12"/>
    <n v="333.91"/>
    <n v="1.5"/>
    <n v="500.86"/>
    <n v="4.9000000000000004"/>
    <x v="2"/>
    <x v="2"/>
  </r>
  <r>
    <s v="TRIP00774"/>
    <x v="188"/>
    <x v="0"/>
    <s v="Delhi"/>
    <n v="9.09"/>
    <d v="1900-01-19T12:43:12"/>
    <n v="99.95"/>
    <n v="1.5"/>
    <n v="149.93"/>
    <n v="3"/>
    <x v="4"/>
    <x v="0"/>
  </r>
  <r>
    <s v="TRIP00775"/>
    <x v="280"/>
    <x v="0"/>
    <s v="Chennai"/>
    <n v="8.35"/>
    <d v="1900-01-23T13:26:24"/>
    <n v="124.6"/>
    <n v="2"/>
    <n v="249.2"/>
    <n v="3.6"/>
    <x v="2"/>
    <x v="2"/>
  </r>
  <r>
    <s v="TRIP00776"/>
    <x v="147"/>
    <x v="0"/>
    <s v="Chennai"/>
    <n v="23.2"/>
    <d v="1900-02-26T03:21:36"/>
    <n v="432.81"/>
    <n v="2"/>
    <n v="865.62"/>
    <n v="3.1"/>
    <x v="4"/>
    <x v="0"/>
  </r>
  <r>
    <s v="TRIP00777"/>
    <x v="116"/>
    <x v="3"/>
    <s v="Mumbai"/>
    <n v="3.7"/>
    <d v="1900-01-13T12:43:12"/>
    <n v="42"/>
    <n v="1.5"/>
    <n v="63"/>
    <n v="4.4000000000000004"/>
    <x v="3"/>
    <x v="3"/>
  </r>
  <r>
    <s v="TRIP00778"/>
    <x v="73"/>
    <x v="1"/>
    <s v="Bangalore"/>
    <n v="18.489999999999998"/>
    <d v="1900-03-02T05:16:48"/>
    <n v="291.27999999999997"/>
    <n v="1.2"/>
    <n v="349.54"/>
    <n v="3.8"/>
    <x v="0"/>
    <x v="1"/>
  </r>
  <r>
    <s v="TRIP00779"/>
    <x v="21"/>
    <x v="4"/>
    <s v="Chennai"/>
    <n v="23.29"/>
    <d v="1900-02-25T02:52:48"/>
    <n v="394.15"/>
    <n v="2"/>
    <n v="788.3"/>
    <n v="3.6"/>
    <x v="0"/>
    <x v="3"/>
  </r>
  <r>
    <s v="TRIP00780"/>
    <x v="66"/>
    <x v="4"/>
    <s v="Kolkata"/>
    <n v="19.91"/>
    <d v="1900-02-17T19:40:48"/>
    <n v="328.6"/>
    <n v="1"/>
    <n v="328.6"/>
    <n v="4.2"/>
    <x v="0"/>
    <x v="3"/>
  </r>
  <r>
    <s v="TRIP00781"/>
    <x v="83"/>
    <x v="0"/>
    <s v="Bangalore"/>
    <n v="2.2999999999999998"/>
    <d v="1900-01-06T23:31:12"/>
    <n v="30.85"/>
    <n v="1.2"/>
    <n v="37.020000000000003"/>
    <n v="4.2"/>
    <x v="2"/>
    <x v="0"/>
  </r>
  <r>
    <s v="TRIP00782"/>
    <x v="61"/>
    <x v="4"/>
    <s v="Delhi"/>
    <n v="10.63"/>
    <d v="1900-01-30T03:36:00"/>
    <n v="107.75"/>
    <n v="2"/>
    <n v="215.5"/>
    <n v="4.5999999999999996"/>
    <x v="0"/>
    <x v="2"/>
  </r>
  <r>
    <s v="TRIP00783"/>
    <x v="310"/>
    <x v="0"/>
    <s v="Mumbai"/>
    <n v="1.81"/>
    <d v="1900-01-04T21:50:24"/>
    <n v="25.82"/>
    <n v="2"/>
    <n v="51.64"/>
    <n v="4.4000000000000004"/>
    <x v="2"/>
    <x v="2"/>
  </r>
  <r>
    <s v="TRIP00784"/>
    <x v="123"/>
    <x v="2"/>
    <s v="Kolkata"/>
    <n v="24.36"/>
    <d v="1900-03-08T02:24:00"/>
    <n v="439.94"/>
    <n v="1"/>
    <n v="439.94"/>
    <n v="4.2"/>
    <x v="4"/>
    <x v="0"/>
  </r>
  <r>
    <s v="TRIP00785"/>
    <x v="237"/>
    <x v="4"/>
    <s v="Bangalore"/>
    <n v="1.72"/>
    <d v="1900-01-03T16:33:36"/>
    <n v="26.6"/>
    <n v="1"/>
    <n v="26.6"/>
    <n v="4.2"/>
    <x v="4"/>
    <x v="2"/>
  </r>
  <r>
    <s v="TRIP00786"/>
    <x v="291"/>
    <x v="3"/>
    <s v="Delhi"/>
    <n v="27.6"/>
    <d v="1900-03-17T15:21:36"/>
    <n v="315.55"/>
    <n v="2"/>
    <n v="631.1"/>
    <n v="5"/>
    <x v="0"/>
    <x v="1"/>
  </r>
  <r>
    <s v="TRIP00787"/>
    <x v="98"/>
    <x v="1"/>
    <s v="Bangalore"/>
    <n v="16.239999999999998"/>
    <d v="1900-02-23T03:36:00"/>
    <n v="308.60000000000002"/>
    <n v="1"/>
    <n v="308.60000000000002"/>
    <n v="3.6"/>
    <x v="4"/>
    <x v="0"/>
  </r>
  <r>
    <s v="TRIP00788"/>
    <x v="148"/>
    <x v="1"/>
    <s v="Delhi"/>
    <n v="18.82"/>
    <d v="1900-02-27T12:28:48"/>
    <n v="235.93"/>
    <n v="1"/>
    <n v="235.93"/>
    <n v="3.5"/>
    <x v="0"/>
    <x v="2"/>
  </r>
  <r>
    <s v="TRIP00789"/>
    <x v="67"/>
    <x v="0"/>
    <s v="Bangalore"/>
    <n v="27.8"/>
    <d v="1900-03-13T17:16:48"/>
    <n v="313.52"/>
    <n v="1.5"/>
    <n v="470.28"/>
    <n v="3"/>
    <x v="4"/>
    <x v="1"/>
  </r>
  <r>
    <s v="TRIP00790"/>
    <x v="30"/>
    <x v="1"/>
    <s v="Bangalore"/>
    <n v="20.85"/>
    <d v="1900-03-19T08:09:36"/>
    <n v="383.07"/>
    <n v="1"/>
    <n v="383.07"/>
    <n v="3.7"/>
    <x v="0"/>
    <x v="2"/>
  </r>
  <r>
    <s v="TRIP00791"/>
    <x v="273"/>
    <x v="2"/>
    <s v="Delhi"/>
    <n v="24.59"/>
    <d v="1900-04-03T15:07:12"/>
    <n v="359.18"/>
    <n v="2"/>
    <n v="718.36"/>
    <n v="4.3"/>
    <x v="3"/>
    <x v="3"/>
  </r>
  <r>
    <s v="TRIP00792"/>
    <x v="202"/>
    <x v="0"/>
    <s v="Delhi"/>
    <n v="26.93"/>
    <d v="1900-03-28T14:09:36"/>
    <n v="346.93"/>
    <n v="1.2"/>
    <n v="416.32"/>
    <n v="3.2"/>
    <x v="0"/>
    <x v="3"/>
  </r>
  <r>
    <s v="TRIP00793"/>
    <x v="203"/>
    <x v="2"/>
    <s v="Delhi"/>
    <n v="1.4"/>
    <d v="1900-01-02T16:48:00"/>
    <n v="21.76"/>
    <n v="1.2"/>
    <n v="26.11"/>
    <n v="3"/>
    <x v="0"/>
    <x v="0"/>
  </r>
  <r>
    <s v="TRIP00794"/>
    <x v="273"/>
    <x v="4"/>
    <s v="Chennai"/>
    <n v="25.68"/>
    <d v="1900-04-09T12:57:36"/>
    <n v="402.08"/>
    <n v="1"/>
    <n v="402.08"/>
    <n v="4.0999999999999996"/>
    <x v="1"/>
    <x v="2"/>
  </r>
  <r>
    <s v="TRIP00795"/>
    <x v="318"/>
    <x v="4"/>
    <s v="Bangalore"/>
    <n v="12.02"/>
    <d v="1900-02-06T15:21:36"/>
    <n v="166.92"/>
    <n v="1"/>
    <n v="166.92"/>
    <n v="3.8"/>
    <x v="4"/>
    <x v="1"/>
  </r>
  <r>
    <s v="TRIP00796"/>
    <x v="53"/>
    <x v="1"/>
    <s v="Chennai"/>
    <n v="10.130000000000001"/>
    <d v="1900-01-21T05:16:48"/>
    <n v="119.22"/>
    <n v="1.5"/>
    <n v="178.83"/>
    <n v="5"/>
    <x v="3"/>
    <x v="0"/>
  </r>
  <r>
    <s v="TRIP00797"/>
    <x v="9"/>
    <x v="3"/>
    <s v="Delhi"/>
    <n v="26.33"/>
    <d v="1900-04-14T02:09:36"/>
    <n v="416.73"/>
    <n v="1"/>
    <n v="416.73"/>
    <n v="3.6"/>
    <x v="3"/>
    <x v="2"/>
  </r>
  <r>
    <s v="TRIP00798"/>
    <x v="95"/>
    <x v="0"/>
    <s v="Bangalore"/>
    <n v="10.23"/>
    <d v="1900-01-29T11:16:48"/>
    <n v="190.23"/>
    <n v="2"/>
    <n v="380.46"/>
    <n v="3.6"/>
    <x v="1"/>
    <x v="1"/>
  </r>
  <r>
    <s v="TRIP00799"/>
    <x v="3"/>
    <x v="2"/>
    <s v="Kolkata"/>
    <n v="19.34"/>
    <d v="1900-02-11T15:21:36"/>
    <n v="305.27999999999997"/>
    <n v="2"/>
    <n v="610.55999999999995"/>
    <n v="4.0999999999999996"/>
    <x v="1"/>
    <x v="3"/>
  </r>
  <r>
    <s v="TRIP00800"/>
    <x v="319"/>
    <x v="1"/>
    <s v="Mumbai"/>
    <n v="22.85"/>
    <d v="1900-03-25T14:09:36"/>
    <n v="342.74"/>
    <n v="1.2"/>
    <n v="411.29"/>
    <n v="3.2"/>
    <x v="4"/>
    <x v="2"/>
  </r>
  <r>
    <s v="TRIP00801"/>
    <x v="126"/>
    <x v="1"/>
    <s v="Bangalore"/>
    <n v="6.41"/>
    <d v="1900-01-12T03:36:00"/>
    <n v="82.34"/>
    <n v="2"/>
    <n v="164.68"/>
    <n v="4"/>
    <x v="4"/>
    <x v="2"/>
  </r>
  <r>
    <s v="TRIP00802"/>
    <x v="320"/>
    <x v="4"/>
    <s v="Chennai"/>
    <n v="25.65"/>
    <d v="1900-03-01T08:52:48"/>
    <n v="288.7"/>
    <n v="1.2"/>
    <n v="346.44"/>
    <n v="4"/>
    <x v="0"/>
    <x v="2"/>
  </r>
  <r>
    <s v="TRIP00803"/>
    <x v="144"/>
    <x v="3"/>
    <s v="Bangalore"/>
    <n v="14.88"/>
    <d v="1900-02-15T04:33:36"/>
    <n v="229.36"/>
    <n v="2"/>
    <n v="458.72"/>
    <n v="4.3"/>
    <x v="3"/>
    <x v="2"/>
  </r>
  <r>
    <s v="TRIP00804"/>
    <x v="321"/>
    <x v="4"/>
    <s v="Bangalore"/>
    <n v="4.0599999999999996"/>
    <d v="1900-01-11T20:52:48"/>
    <n v="62.7"/>
    <n v="1.2"/>
    <n v="75.239999999999995"/>
    <n v="3.1"/>
    <x v="1"/>
    <x v="0"/>
  </r>
  <r>
    <s v="TRIP00805"/>
    <x v="322"/>
    <x v="4"/>
    <s v="Delhi"/>
    <n v="24.78"/>
    <d v="1900-02-19T14:52:48"/>
    <n v="371.24"/>
    <n v="2"/>
    <n v="742.48"/>
    <n v="3.8"/>
    <x v="2"/>
    <x v="0"/>
  </r>
  <r>
    <s v="TRIP00806"/>
    <x v="314"/>
    <x v="0"/>
    <s v="Chennai"/>
    <n v="19.940000000000001"/>
    <d v="1900-02-14T00:28:48"/>
    <n v="394.22"/>
    <n v="2"/>
    <n v="788.44"/>
    <n v="4.2"/>
    <x v="3"/>
    <x v="1"/>
  </r>
  <r>
    <s v="TRIP00807"/>
    <x v="140"/>
    <x v="3"/>
    <s v="Bangalore"/>
    <n v="19.59"/>
    <d v="1900-02-25T10:33:36"/>
    <n v="233.11"/>
    <n v="1.2"/>
    <n v="279.73"/>
    <n v="4.5"/>
    <x v="3"/>
    <x v="2"/>
  </r>
  <r>
    <s v="TRIP00808"/>
    <x v="264"/>
    <x v="4"/>
    <s v="Mumbai"/>
    <n v="11.4"/>
    <d v="1900-02-11T13:55:12"/>
    <n v="116.39"/>
    <n v="2"/>
    <n v="232.78"/>
    <n v="4.8"/>
    <x v="4"/>
    <x v="3"/>
  </r>
  <r>
    <s v="TRIP00809"/>
    <x v="156"/>
    <x v="3"/>
    <s v="Mumbai"/>
    <n v="23.23"/>
    <d v="1900-03-19T01:55:12"/>
    <n v="309.27"/>
    <n v="1.2"/>
    <n v="371.12"/>
    <n v="4.3"/>
    <x v="4"/>
    <x v="3"/>
  </r>
  <r>
    <s v="TRIP00810"/>
    <x v="160"/>
    <x v="2"/>
    <s v="Bangalore"/>
    <n v="20.61"/>
    <d v="1900-02-21T21:07:12"/>
    <n v="282.36"/>
    <n v="1"/>
    <n v="282.36"/>
    <n v="3.5"/>
    <x v="0"/>
    <x v="0"/>
  </r>
  <r>
    <s v="TRIP00811"/>
    <x v="323"/>
    <x v="4"/>
    <s v="Chennai"/>
    <n v="10.220000000000001"/>
    <d v="1900-01-31T06:57:36"/>
    <n v="137.52000000000001"/>
    <n v="1"/>
    <n v="137.52000000000001"/>
    <n v="3.1"/>
    <x v="0"/>
    <x v="2"/>
  </r>
  <r>
    <s v="TRIP00812"/>
    <x v="203"/>
    <x v="2"/>
    <s v="Delhi"/>
    <n v="15.67"/>
    <d v="1900-02-04T09:50:24"/>
    <n v="259.82"/>
    <n v="1"/>
    <n v="259.82"/>
    <n v="3.2"/>
    <x v="1"/>
    <x v="3"/>
  </r>
  <r>
    <s v="TRIP00813"/>
    <x v="177"/>
    <x v="1"/>
    <s v="Delhi"/>
    <n v="11.29"/>
    <d v="1900-01-30T15:07:12"/>
    <n v="125.9"/>
    <n v="2"/>
    <n v="251.8"/>
    <n v="5"/>
    <x v="1"/>
    <x v="1"/>
  </r>
  <r>
    <s v="TRIP00814"/>
    <x v="288"/>
    <x v="2"/>
    <s v="Mumbai"/>
    <n v="12.23"/>
    <d v="1900-02-08T14:24:00"/>
    <n v="176.36"/>
    <n v="2"/>
    <n v="352.72"/>
    <n v="3.8"/>
    <x v="1"/>
    <x v="1"/>
  </r>
  <r>
    <s v="TRIP00815"/>
    <x v="173"/>
    <x v="4"/>
    <s v="Kolkata"/>
    <n v="24.6"/>
    <d v="1900-04-04T11:16:48"/>
    <n v="405.6"/>
    <n v="1.2"/>
    <n v="486.72"/>
    <n v="3.4"/>
    <x v="4"/>
    <x v="1"/>
  </r>
  <r>
    <s v="TRIP00816"/>
    <x v="79"/>
    <x v="1"/>
    <s v="Bangalore"/>
    <n v="14.85"/>
    <d v="1900-02-15T13:40:48"/>
    <n v="234.89"/>
    <n v="1.2"/>
    <n v="281.87"/>
    <n v="4.7"/>
    <x v="0"/>
    <x v="1"/>
  </r>
  <r>
    <s v="TRIP00817"/>
    <x v="3"/>
    <x v="3"/>
    <s v="Kolkata"/>
    <n v="4.68"/>
    <d v="1900-01-12T00:43:12"/>
    <n v="54.41"/>
    <n v="1"/>
    <n v="54.41"/>
    <n v="4.2"/>
    <x v="4"/>
    <x v="1"/>
  </r>
  <r>
    <s v="TRIP00818"/>
    <x v="125"/>
    <x v="0"/>
    <s v="Delhi"/>
    <n v="7.23"/>
    <d v="1900-01-14T01:40:48"/>
    <n v="98.59"/>
    <n v="1"/>
    <n v="98.59"/>
    <n v="4.2"/>
    <x v="4"/>
    <x v="2"/>
  </r>
  <r>
    <s v="TRIP00819"/>
    <x v="44"/>
    <x v="1"/>
    <s v="Chennai"/>
    <n v="8.3699999999999992"/>
    <d v="1900-01-20T16:33:36"/>
    <n v="128.06"/>
    <n v="1.5"/>
    <n v="192.09"/>
    <n v="4.0999999999999996"/>
    <x v="2"/>
    <x v="1"/>
  </r>
  <r>
    <s v="TRIP00820"/>
    <x v="115"/>
    <x v="3"/>
    <s v="Mumbai"/>
    <n v="5.3"/>
    <d v="1900-01-11T10:04:48"/>
    <n v="99.57"/>
    <n v="1.5"/>
    <n v="149.35"/>
    <n v="3.3"/>
    <x v="3"/>
    <x v="0"/>
  </r>
  <r>
    <s v="TRIP00821"/>
    <x v="67"/>
    <x v="4"/>
    <s v="Delhi"/>
    <n v="11.77"/>
    <d v="1900-02-06T00:00:00"/>
    <n v="179.34"/>
    <n v="1.2"/>
    <n v="215.21"/>
    <n v="4.5"/>
    <x v="2"/>
    <x v="1"/>
  </r>
  <r>
    <s v="TRIP00822"/>
    <x v="121"/>
    <x v="3"/>
    <s v="Delhi"/>
    <n v="15.57"/>
    <d v="1900-02-05T09:21:36"/>
    <n v="204.75"/>
    <n v="1.2"/>
    <n v="245.7"/>
    <n v="4.3"/>
    <x v="3"/>
    <x v="2"/>
  </r>
  <r>
    <s v="TRIP00823"/>
    <x v="58"/>
    <x v="1"/>
    <s v="Kolkata"/>
    <n v="11.43"/>
    <d v="1900-01-28T21:07:12"/>
    <n v="136.61000000000001"/>
    <n v="1"/>
    <n v="136.61000000000001"/>
    <n v="3.2"/>
    <x v="3"/>
    <x v="2"/>
  </r>
  <r>
    <s v="TRIP00824"/>
    <x v="52"/>
    <x v="3"/>
    <s v="Bangalore"/>
    <n v="29.16"/>
    <d v="1900-03-08T15:36:00"/>
    <n v="502.15"/>
    <n v="2"/>
    <n v="1004.3"/>
    <n v="4.5999999999999996"/>
    <x v="0"/>
    <x v="3"/>
  </r>
  <r>
    <s v="TRIP00825"/>
    <x v="192"/>
    <x v="3"/>
    <s v="Bangalore"/>
    <n v="15.97"/>
    <d v="1900-02-18T11:45:36"/>
    <n v="309.17"/>
    <n v="1"/>
    <n v="309.17"/>
    <n v="4.8"/>
    <x v="1"/>
    <x v="3"/>
  </r>
  <r>
    <s v="TRIP00826"/>
    <x v="302"/>
    <x v="2"/>
    <s v="Mumbai"/>
    <n v="23.79"/>
    <d v="1900-03-16T23:31:12"/>
    <n v="319.23"/>
    <n v="1.2"/>
    <n v="383.08"/>
    <n v="3.2"/>
    <x v="2"/>
    <x v="0"/>
  </r>
  <r>
    <s v="TRIP00827"/>
    <x v="139"/>
    <x v="1"/>
    <s v="Chennai"/>
    <n v="7.57"/>
    <d v="1900-01-22T17:16:48"/>
    <n v="102.31"/>
    <n v="1.2"/>
    <n v="122.77"/>
    <n v="4.3"/>
    <x v="2"/>
    <x v="0"/>
  </r>
  <r>
    <s v="TRIP00828"/>
    <x v="222"/>
    <x v="2"/>
    <s v="Delhi"/>
    <n v="2.58"/>
    <d v="1900-01-07T06:00:00"/>
    <n v="49.08"/>
    <n v="2"/>
    <n v="98.16"/>
    <n v="4.5"/>
    <x v="3"/>
    <x v="1"/>
  </r>
  <r>
    <s v="TRIP00829"/>
    <x v="184"/>
    <x v="0"/>
    <s v="Delhi"/>
    <n v="13.83"/>
    <d v="1900-01-28T00:00:00"/>
    <n v="251.77"/>
    <n v="2"/>
    <n v="503.54"/>
    <n v="3.4"/>
    <x v="1"/>
    <x v="3"/>
  </r>
  <r>
    <s v="TRIP00830"/>
    <x v="63"/>
    <x v="2"/>
    <s v="Mumbai"/>
    <n v="11.24"/>
    <d v="1900-02-08T11:02:24"/>
    <n v="174.75"/>
    <n v="2"/>
    <n v="349.5"/>
    <n v="4.9000000000000004"/>
    <x v="0"/>
    <x v="0"/>
  </r>
  <r>
    <s v="TRIP00831"/>
    <x v="132"/>
    <x v="4"/>
    <s v="Kolkata"/>
    <n v="13.92"/>
    <d v="1900-01-27T06:00:00"/>
    <n v="173.64"/>
    <n v="1.5"/>
    <n v="260.45999999999998"/>
    <n v="4.0999999999999996"/>
    <x v="3"/>
    <x v="0"/>
  </r>
  <r>
    <s v="TRIP00832"/>
    <x v="84"/>
    <x v="2"/>
    <s v="Mumbai"/>
    <n v="7.39"/>
    <d v="1900-01-23T00:43:12"/>
    <n v="116.14"/>
    <n v="1"/>
    <n v="116.14"/>
    <n v="4.5999999999999996"/>
    <x v="1"/>
    <x v="3"/>
  </r>
  <r>
    <s v="TRIP00833"/>
    <x v="1"/>
    <x v="4"/>
    <s v="Bangalore"/>
    <n v="23.84"/>
    <d v="1900-03-01T04:33:36"/>
    <n v="438"/>
    <n v="1.5"/>
    <n v="657"/>
    <n v="4.3"/>
    <x v="0"/>
    <x v="3"/>
  </r>
  <r>
    <s v="TRIP00834"/>
    <x v="283"/>
    <x v="2"/>
    <s v="Kolkata"/>
    <n v="19.13"/>
    <d v="1900-02-06T17:31:12"/>
    <n v="218.65"/>
    <n v="1.2"/>
    <n v="262.38"/>
    <n v="3.4"/>
    <x v="3"/>
    <x v="0"/>
  </r>
  <r>
    <s v="TRIP00835"/>
    <x v="17"/>
    <x v="2"/>
    <s v="Bangalore"/>
    <n v="2.48"/>
    <d v="1900-01-05T22:19:12"/>
    <n v="37.49"/>
    <n v="1.5"/>
    <n v="56.24"/>
    <n v="4.8"/>
    <x v="3"/>
    <x v="0"/>
  </r>
  <r>
    <s v="TRIP00836"/>
    <x v="190"/>
    <x v="3"/>
    <s v="Chennai"/>
    <n v="25.34"/>
    <d v="1900-02-26T01:12:00"/>
    <n v="381.54"/>
    <n v="1"/>
    <n v="381.54"/>
    <n v="3.1"/>
    <x v="3"/>
    <x v="3"/>
  </r>
  <r>
    <s v="TRIP00837"/>
    <x v="324"/>
    <x v="2"/>
    <s v="Bangalore"/>
    <n v="17.64"/>
    <d v="1900-02-23T06:00:00"/>
    <n v="331.29"/>
    <n v="2"/>
    <n v="662.58"/>
    <n v="3.5"/>
    <x v="2"/>
    <x v="0"/>
  </r>
  <r>
    <s v="TRIP00838"/>
    <x v="325"/>
    <x v="4"/>
    <s v="Mumbai"/>
    <n v="3.84"/>
    <d v="1900-01-07T00:28:48"/>
    <n v="45.51"/>
    <n v="2"/>
    <n v="91.02"/>
    <n v="4"/>
    <x v="4"/>
    <x v="0"/>
  </r>
  <r>
    <s v="TRIP00839"/>
    <x v="78"/>
    <x v="4"/>
    <s v="Delhi"/>
    <n v="10.58"/>
    <d v="1900-02-01T15:07:12"/>
    <n v="153.86000000000001"/>
    <n v="1"/>
    <n v="153.86000000000001"/>
    <n v="3.2"/>
    <x v="2"/>
    <x v="1"/>
  </r>
  <r>
    <s v="TRIP00840"/>
    <x v="61"/>
    <x v="2"/>
    <s v="Kolkata"/>
    <n v="29.54"/>
    <d v="1900-04-15T03:21:36"/>
    <n v="518.95000000000005"/>
    <n v="1.2"/>
    <n v="622.74"/>
    <n v="3.5"/>
    <x v="4"/>
    <x v="1"/>
  </r>
  <r>
    <s v="TRIP00841"/>
    <x v="323"/>
    <x v="1"/>
    <s v="Kolkata"/>
    <n v="29.7"/>
    <d v="1900-04-09T01:12:00"/>
    <n v="578.85"/>
    <n v="1.2"/>
    <n v="694.62"/>
    <n v="4.9000000000000004"/>
    <x v="3"/>
    <x v="1"/>
  </r>
  <r>
    <s v="TRIP00842"/>
    <x v="326"/>
    <x v="1"/>
    <s v="Delhi"/>
    <n v="17.09"/>
    <d v="1900-02-04T19:12:00"/>
    <n v="171.62"/>
    <n v="1"/>
    <n v="171.62"/>
    <n v="3.1"/>
    <x v="1"/>
    <x v="3"/>
  </r>
  <r>
    <s v="TRIP00843"/>
    <x v="327"/>
    <x v="4"/>
    <s v="Mumbai"/>
    <n v="12.91"/>
    <d v="1900-02-06T11:02:24"/>
    <n v="182.73"/>
    <n v="2"/>
    <n v="365.46"/>
    <n v="4.2"/>
    <x v="0"/>
    <x v="0"/>
  </r>
  <r>
    <s v="TRIP00844"/>
    <x v="210"/>
    <x v="4"/>
    <s v="Chennai"/>
    <n v="6.14"/>
    <d v="1900-01-12T11:45:36"/>
    <n v="120.14"/>
    <n v="2"/>
    <n v="240.28"/>
    <n v="4.0999999999999996"/>
    <x v="1"/>
    <x v="2"/>
  </r>
  <r>
    <s v="TRIP00845"/>
    <x v="12"/>
    <x v="2"/>
    <s v="Kolkata"/>
    <n v="10.15"/>
    <d v="1900-01-27T06:43:12"/>
    <n v="125.55"/>
    <n v="1"/>
    <n v="125.55"/>
    <n v="3.1"/>
    <x v="0"/>
    <x v="2"/>
  </r>
  <r>
    <s v="TRIP00846"/>
    <x v="33"/>
    <x v="4"/>
    <s v="Chennai"/>
    <n v="24.13"/>
    <d v="1900-03-20T23:02:24"/>
    <n v="373.27"/>
    <n v="1.2"/>
    <n v="447.92"/>
    <n v="3.7"/>
    <x v="1"/>
    <x v="1"/>
  </r>
  <r>
    <s v="TRIP00847"/>
    <x v="174"/>
    <x v="4"/>
    <s v="Kolkata"/>
    <n v="3.11"/>
    <d v="1900-01-06T23:16:48"/>
    <n v="41.98"/>
    <n v="1.5"/>
    <n v="62.97"/>
    <n v="4.7"/>
    <x v="2"/>
    <x v="2"/>
  </r>
  <r>
    <s v="TRIP00848"/>
    <x v="2"/>
    <x v="1"/>
    <s v="Delhi"/>
    <n v="20.93"/>
    <d v="1900-03-22T02:38:24"/>
    <n v="362.14"/>
    <n v="2"/>
    <n v="724.28"/>
    <n v="3.8"/>
    <x v="3"/>
    <x v="2"/>
  </r>
  <r>
    <s v="TRIP00849"/>
    <x v="5"/>
    <x v="1"/>
    <s v="Delhi"/>
    <n v="22.45"/>
    <d v="1900-03-12T09:21:36"/>
    <n v="228.24"/>
    <n v="1.5"/>
    <n v="342.36"/>
    <n v="3.7"/>
    <x v="3"/>
    <x v="3"/>
  </r>
  <r>
    <s v="TRIP00850"/>
    <x v="219"/>
    <x v="4"/>
    <s v="Mumbai"/>
    <n v="13.18"/>
    <d v="1900-02-09T14:38:24"/>
    <n v="241.54"/>
    <n v="1.5"/>
    <n v="362.31"/>
    <n v="3.1"/>
    <x v="0"/>
    <x v="2"/>
  </r>
  <r>
    <s v="TRIP00851"/>
    <x v="28"/>
    <x v="4"/>
    <s v="Kolkata"/>
    <n v="2.73"/>
    <d v="1900-01-08T05:45:36"/>
    <n v="31.12"/>
    <n v="1.5"/>
    <n v="46.68"/>
    <n v="3.9"/>
    <x v="4"/>
    <x v="3"/>
  </r>
  <r>
    <s v="TRIP00852"/>
    <x v="189"/>
    <x v="1"/>
    <s v="Delhi"/>
    <n v="12.68"/>
    <d v="1900-02-06T12:57:36"/>
    <n v="253.16"/>
    <n v="2"/>
    <n v="506.32"/>
    <n v="4.3"/>
    <x v="0"/>
    <x v="3"/>
  </r>
  <r>
    <s v="TRIP00853"/>
    <x v="214"/>
    <x v="1"/>
    <s v="Delhi"/>
    <n v="4.8600000000000003"/>
    <d v="1900-01-10T06:14:24"/>
    <n v="94.73"/>
    <n v="1"/>
    <n v="94.73"/>
    <n v="3.9"/>
    <x v="3"/>
    <x v="0"/>
  </r>
  <r>
    <s v="TRIP00854"/>
    <x v="201"/>
    <x v="0"/>
    <s v="Chennai"/>
    <n v="29.75"/>
    <d v="1900-03-11T21:21:36"/>
    <n v="403.24"/>
    <n v="2"/>
    <n v="806.48"/>
    <n v="4.5"/>
    <x v="4"/>
    <x v="1"/>
  </r>
  <r>
    <s v="TRIP00855"/>
    <x v="261"/>
    <x v="2"/>
    <s v="Mumbai"/>
    <n v="13.13"/>
    <d v="1900-02-03T15:50:24"/>
    <n v="209.26"/>
    <n v="1.5"/>
    <n v="313.89"/>
    <n v="3.5"/>
    <x v="0"/>
    <x v="3"/>
  </r>
  <r>
    <s v="TRIP00856"/>
    <x v="259"/>
    <x v="4"/>
    <s v="Delhi"/>
    <n v="6.77"/>
    <d v="1900-01-16T19:26:24"/>
    <n v="82.91"/>
    <n v="2"/>
    <n v="165.82"/>
    <n v="4.5"/>
    <x v="3"/>
    <x v="0"/>
  </r>
  <r>
    <s v="TRIP00857"/>
    <x v="70"/>
    <x v="1"/>
    <s v="Mumbai"/>
    <n v="8.3800000000000008"/>
    <d v="1900-01-23T16:33:36"/>
    <n v="87.43"/>
    <n v="1.5"/>
    <n v="131.15"/>
    <n v="3.5"/>
    <x v="2"/>
    <x v="3"/>
  </r>
  <r>
    <s v="TRIP00858"/>
    <x v="292"/>
    <x v="2"/>
    <s v="Chennai"/>
    <n v="22.6"/>
    <d v="1900-03-03T20:09:36"/>
    <n v="270.24"/>
    <n v="2"/>
    <n v="540.48"/>
    <n v="4.2"/>
    <x v="2"/>
    <x v="2"/>
  </r>
  <r>
    <s v="TRIP00859"/>
    <x v="197"/>
    <x v="2"/>
    <s v="Delhi"/>
    <n v="13.78"/>
    <d v="1900-02-04T07:12:00"/>
    <n v="263.47000000000003"/>
    <n v="2"/>
    <n v="526.94000000000005"/>
    <n v="4.2"/>
    <x v="1"/>
    <x v="3"/>
  </r>
  <r>
    <s v="TRIP00860"/>
    <x v="132"/>
    <x v="2"/>
    <s v="Chennai"/>
    <n v="10.25"/>
    <d v="1900-01-28T00:28:48"/>
    <n v="195.57"/>
    <n v="1"/>
    <n v="195.57"/>
    <n v="4.5"/>
    <x v="1"/>
    <x v="1"/>
  </r>
  <r>
    <s v="TRIP00861"/>
    <x v="297"/>
    <x v="2"/>
    <s v="Mumbai"/>
    <n v="17.96"/>
    <d v="1900-03-09T17:45:36"/>
    <n v="210.92"/>
    <n v="1.5"/>
    <n v="316.38"/>
    <n v="3.1"/>
    <x v="4"/>
    <x v="0"/>
  </r>
  <r>
    <s v="TRIP00862"/>
    <x v="192"/>
    <x v="4"/>
    <s v="Bangalore"/>
    <n v="19.14"/>
    <d v="1900-02-27T08:24:00"/>
    <n v="269.37"/>
    <n v="1"/>
    <n v="269.37"/>
    <n v="3.5"/>
    <x v="1"/>
    <x v="1"/>
  </r>
  <r>
    <s v="TRIP00863"/>
    <x v="78"/>
    <x v="1"/>
    <s v="Bangalore"/>
    <n v="6.69"/>
    <d v="1900-01-12T16:19:12"/>
    <n v="124.55"/>
    <n v="1.5"/>
    <n v="186.82"/>
    <n v="4.2"/>
    <x v="0"/>
    <x v="0"/>
  </r>
  <r>
    <s v="TRIP00864"/>
    <x v="143"/>
    <x v="1"/>
    <s v="Delhi"/>
    <n v="19.18"/>
    <d v="1900-03-09T08:52:48"/>
    <n v="309.11"/>
    <n v="1.2"/>
    <n v="370.93"/>
    <n v="4.8"/>
    <x v="3"/>
    <x v="0"/>
  </r>
  <r>
    <s v="TRIP00865"/>
    <x v="53"/>
    <x v="4"/>
    <s v="Bangalore"/>
    <n v="10.5"/>
    <d v="1900-01-23T11:02:24"/>
    <n v="124.02"/>
    <n v="2"/>
    <n v="248.04"/>
    <n v="3.5"/>
    <x v="3"/>
    <x v="3"/>
  </r>
  <r>
    <s v="TRIP00866"/>
    <x v="88"/>
    <x v="2"/>
    <s v="Kolkata"/>
    <n v="13.64"/>
    <d v="1900-02-11T11:45:36"/>
    <n v="216.83"/>
    <n v="1.2"/>
    <n v="260.2"/>
    <n v="4.2"/>
    <x v="0"/>
    <x v="1"/>
  </r>
  <r>
    <s v="TRIP00867"/>
    <x v="16"/>
    <x v="4"/>
    <s v="Chennai"/>
    <n v="6.14"/>
    <d v="1900-01-20T03:50:24"/>
    <n v="108.84"/>
    <n v="1"/>
    <n v="108.84"/>
    <n v="3.4"/>
    <x v="2"/>
    <x v="3"/>
  </r>
  <r>
    <s v="TRIP00868"/>
    <x v="224"/>
    <x v="1"/>
    <s v="Bangalore"/>
    <n v="12.61"/>
    <d v="1900-02-13T16:48:00"/>
    <n v="127.85"/>
    <n v="1.5"/>
    <n v="191.77"/>
    <n v="4.7"/>
    <x v="0"/>
    <x v="0"/>
  </r>
  <r>
    <s v="TRIP00869"/>
    <x v="202"/>
    <x v="3"/>
    <s v="Kolkata"/>
    <n v="24.16"/>
    <d v="1900-04-02T09:21:36"/>
    <n v="246.47"/>
    <n v="1.5"/>
    <n v="369.7"/>
    <n v="4.0999999999999996"/>
    <x v="4"/>
    <x v="0"/>
  </r>
  <r>
    <s v="TRIP00870"/>
    <x v="55"/>
    <x v="3"/>
    <s v="Kolkata"/>
    <n v="14.3"/>
    <d v="1900-02-12T18:00:00"/>
    <n v="237.81"/>
    <n v="1.2"/>
    <n v="285.37"/>
    <n v="4.5999999999999996"/>
    <x v="0"/>
    <x v="2"/>
  </r>
  <r>
    <s v="TRIP00871"/>
    <x v="269"/>
    <x v="4"/>
    <s v="Kolkata"/>
    <n v="29.91"/>
    <d v="1900-04-11T21:36:00"/>
    <n v="385.01"/>
    <n v="2"/>
    <n v="770.02"/>
    <n v="4.3"/>
    <x v="0"/>
    <x v="0"/>
  </r>
  <r>
    <s v="TRIP00872"/>
    <x v="225"/>
    <x v="1"/>
    <s v="Kolkata"/>
    <n v="7.7"/>
    <d v="1900-01-28T05:16:48"/>
    <n v="96.73"/>
    <n v="1.5"/>
    <n v="145.1"/>
    <n v="4.8"/>
    <x v="3"/>
    <x v="0"/>
  </r>
  <r>
    <s v="TRIP00873"/>
    <x v="34"/>
    <x v="2"/>
    <s v="Kolkata"/>
    <n v="25.91"/>
    <d v="1900-03-17T17:31:12"/>
    <n v="433.96"/>
    <n v="1.2"/>
    <n v="520.75"/>
    <n v="4.8"/>
    <x v="2"/>
    <x v="3"/>
  </r>
  <r>
    <s v="TRIP00874"/>
    <x v="287"/>
    <x v="0"/>
    <s v="Delhi"/>
    <n v="23.04"/>
    <d v="1900-02-28T11:31:12"/>
    <n v="325.02"/>
    <n v="1.5"/>
    <n v="487.53"/>
    <n v="4.2"/>
    <x v="0"/>
    <x v="0"/>
  </r>
  <r>
    <s v="TRIP00875"/>
    <x v="173"/>
    <x v="2"/>
    <s v="Kolkata"/>
    <n v="19.72"/>
    <d v="1900-03-16T07:12:00"/>
    <n v="257.02999999999997"/>
    <n v="1.5"/>
    <n v="385.54"/>
    <n v="4.8"/>
    <x v="3"/>
    <x v="3"/>
  </r>
  <r>
    <s v="TRIP00876"/>
    <x v="45"/>
    <x v="1"/>
    <s v="Delhi"/>
    <n v="21.06"/>
    <d v="1900-03-22T18:57:36"/>
    <n v="293.48"/>
    <n v="1"/>
    <n v="293.48"/>
    <n v="3.4"/>
    <x v="4"/>
    <x v="0"/>
  </r>
  <r>
    <s v="TRIP00877"/>
    <x v="120"/>
    <x v="2"/>
    <s v="Mumbai"/>
    <n v="22.15"/>
    <d v="1900-03-09T18:43:12"/>
    <n v="267.31"/>
    <n v="1.2"/>
    <n v="320.77"/>
    <n v="3.7"/>
    <x v="3"/>
    <x v="0"/>
  </r>
  <r>
    <s v="TRIP00878"/>
    <x v="161"/>
    <x v="3"/>
    <s v="Kolkata"/>
    <n v="13.4"/>
    <d v="1900-02-12T02:09:36"/>
    <n v="233.86"/>
    <n v="1.5"/>
    <n v="350.79"/>
    <n v="3.8"/>
    <x v="0"/>
    <x v="2"/>
  </r>
  <r>
    <s v="TRIP00879"/>
    <x v="175"/>
    <x v="0"/>
    <s v="Mumbai"/>
    <n v="23.72"/>
    <d v="1900-03-30T13:40:48"/>
    <n v="325.02"/>
    <n v="1"/>
    <n v="325.02"/>
    <n v="3.6"/>
    <x v="0"/>
    <x v="3"/>
  </r>
  <r>
    <s v="TRIP00880"/>
    <x v="17"/>
    <x v="3"/>
    <s v="Mumbai"/>
    <n v="25.54"/>
    <d v="1900-02-28T10:04:48"/>
    <n v="499.64"/>
    <n v="1.5"/>
    <n v="749.46"/>
    <n v="3.1"/>
    <x v="2"/>
    <x v="1"/>
  </r>
  <r>
    <s v="TRIP00881"/>
    <x v="160"/>
    <x v="2"/>
    <s v="Bangalore"/>
    <n v="2.81"/>
    <d v="1900-01-07T08:24:00"/>
    <n v="31.16"/>
    <n v="2"/>
    <n v="62.32"/>
    <n v="3.2"/>
    <x v="2"/>
    <x v="3"/>
  </r>
  <r>
    <s v="TRIP00882"/>
    <x v="187"/>
    <x v="3"/>
    <s v="Mumbai"/>
    <n v="24.46"/>
    <d v="1900-03-31T18:00:00"/>
    <n v="318.58"/>
    <n v="1"/>
    <n v="318.58"/>
    <n v="4.7"/>
    <x v="2"/>
    <x v="3"/>
  </r>
  <r>
    <s v="TRIP00883"/>
    <x v="221"/>
    <x v="2"/>
    <s v="Kolkata"/>
    <n v="23.17"/>
    <d v="1900-02-21T03:21:36"/>
    <n v="391.65"/>
    <n v="1.5"/>
    <n v="587.47"/>
    <n v="4.7"/>
    <x v="1"/>
    <x v="3"/>
  </r>
  <r>
    <s v="TRIP00884"/>
    <x v="28"/>
    <x v="1"/>
    <s v="Delhi"/>
    <n v="10.62"/>
    <d v="1900-01-30T20:52:48"/>
    <n v="174.78"/>
    <n v="1.2"/>
    <n v="209.74"/>
    <n v="3.5"/>
    <x v="0"/>
    <x v="0"/>
  </r>
  <r>
    <s v="TRIP00885"/>
    <x v="21"/>
    <x v="3"/>
    <s v="Chennai"/>
    <n v="24.27"/>
    <d v="1900-03-30T08:24:00"/>
    <n v="276.02"/>
    <n v="1.2"/>
    <n v="331.22"/>
    <n v="3.2"/>
    <x v="4"/>
    <x v="1"/>
  </r>
  <r>
    <s v="TRIP00886"/>
    <x v="9"/>
    <x v="2"/>
    <s v="Delhi"/>
    <n v="20.21"/>
    <d v="1900-03-10T19:26:24"/>
    <n v="366.19"/>
    <n v="2"/>
    <n v="732.38"/>
    <n v="3.6"/>
    <x v="0"/>
    <x v="2"/>
  </r>
  <r>
    <s v="TRIP00887"/>
    <x v="102"/>
    <x v="3"/>
    <s v="Mumbai"/>
    <n v="25.9"/>
    <d v="1900-02-26T14:52:48"/>
    <n v="441.61"/>
    <n v="1.5"/>
    <n v="662.42"/>
    <n v="3.2"/>
    <x v="2"/>
    <x v="1"/>
  </r>
  <r>
    <s v="TRIP00888"/>
    <x v="63"/>
    <x v="2"/>
    <s v="Kolkata"/>
    <n v="19.12"/>
    <d v="1900-03-02T15:36:00"/>
    <n v="249.93"/>
    <n v="1.5"/>
    <n v="374.9"/>
    <n v="4.4000000000000004"/>
    <x v="2"/>
    <x v="3"/>
  </r>
  <r>
    <s v="TRIP00889"/>
    <x v="286"/>
    <x v="3"/>
    <s v="Kolkata"/>
    <n v="7.31"/>
    <d v="1900-01-14T21:50:24"/>
    <n v="87.32"/>
    <n v="1.5"/>
    <n v="130.97999999999999"/>
    <n v="4.7"/>
    <x v="3"/>
    <x v="3"/>
  </r>
  <r>
    <s v="TRIP00890"/>
    <x v="113"/>
    <x v="2"/>
    <s v="Chennai"/>
    <n v="12.65"/>
    <d v="1900-02-07T22:04:48"/>
    <n v="165.45"/>
    <n v="1"/>
    <n v="165.45"/>
    <n v="3.9"/>
    <x v="3"/>
    <x v="3"/>
  </r>
  <r>
    <s v="TRIP00891"/>
    <x v="16"/>
    <x v="1"/>
    <s v="Kolkata"/>
    <n v="25.06"/>
    <d v="1900-03-25T16:04:48"/>
    <n v="277.01"/>
    <n v="2"/>
    <n v="554.02"/>
    <n v="3.9"/>
    <x v="2"/>
    <x v="1"/>
  </r>
  <r>
    <s v="TRIP00892"/>
    <x v="44"/>
    <x v="3"/>
    <s v="Kolkata"/>
    <n v="27.74"/>
    <d v="1900-03-03T08:38:24"/>
    <n v="361.8"/>
    <n v="2"/>
    <n v="723.6"/>
    <n v="3.2"/>
    <x v="4"/>
    <x v="0"/>
  </r>
  <r>
    <s v="TRIP00893"/>
    <x v="182"/>
    <x v="1"/>
    <s v="Kolkata"/>
    <n v="9.8800000000000008"/>
    <d v="1900-01-25T04:48:00"/>
    <n v="105.81"/>
    <n v="1.5"/>
    <n v="158.72"/>
    <n v="4.4000000000000004"/>
    <x v="4"/>
    <x v="2"/>
  </r>
  <r>
    <s v="TRIP00894"/>
    <x v="195"/>
    <x v="4"/>
    <s v="Mumbai"/>
    <n v="7.76"/>
    <d v="1900-01-25T07:26:24"/>
    <n v="126.46"/>
    <n v="1"/>
    <n v="126.46"/>
    <n v="3.6"/>
    <x v="0"/>
    <x v="2"/>
  </r>
  <r>
    <s v="TRIP00895"/>
    <x v="328"/>
    <x v="1"/>
    <s v="Bangalore"/>
    <n v="17.899999999999999"/>
    <d v="1900-03-11T10:33:36"/>
    <n v="342.16"/>
    <n v="1"/>
    <n v="342.16"/>
    <n v="5"/>
    <x v="0"/>
    <x v="1"/>
  </r>
  <r>
    <s v="TRIP00896"/>
    <x v="217"/>
    <x v="2"/>
    <s v="Delhi"/>
    <n v="11.36"/>
    <d v="1900-01-29T12:57:36"/>
    <n v="172.73"/>
    <n v="1.2"/>
    <n v="207.28"/>
    <n v="3.9"/>
    <x v="0"/>
    <x v="0"/>
  </r>
  <r>
    <s v="TRIP00897"/>
    <x v="308"/>
    <x v="0"/>
    <s v="Bangalore"/>
    <n v="15.72"/>
    <d v="1900-02-03T18:57:36"/>
    <n v="311.69"/>
    <n v="1.2"/>
    <n v="374.03"/>
    <n v="3.9"/>
    <x v="3"/>
    <x v="1"/>
  </r>
  <r>
    <s v="TRIP00898"/>
    <x v="80"/>
    <x v="1"/>
    <s v="Delhi"/>
    <n v="20.23"/>
    <d v="1900-03-04T13:12:00"/>
    <n v="286.27999999999997"/>
    <n v="1"/>
    <n v="286.27999999999997"/>
    <n v="3.8"/>
    <x v="3"/>
    <x v="1"/>
  </r>
  <r>
    <s v="TRIP00899"/>
    <x v="98"/>
    <x v="3"/>
    <s v="Bangalore"/>
    <n v="6.68"/>
    <d v="1900-01-23T07:40:48"/>
    <n v="110.14"/>
    <n v="1"/>
    <n v="110.14"/>
    <n v="3.3"/>
    <x v="0"/>
    <x v="1"/>
  </r>
  <r>
    <s v="TRIP00900"/>
    <x v="230"/>
    <x v="2"/>
    <s v="Kolkata"/>
    <n v="8.44"/>
    <d v="1900-01-28T13:55:12"/>
    <n v="127.69"/>
    <n v="1.2"/>
    <n v="153.22999999999999"/>
    <n v="4.5"/>
    <x v="3"/>
    <x v="1"/>
  </r>
  <r>
    <s v="TRIP00901"/>
    <x v="329"/>
    <x v="2"/>
    <s v="Chennai"/>
    <n v="29.88"/>
    <d v="1900-03-25T18:28:48"/>
    <n v="573.9"/>
    <n v="2"/>
    <n v="1147.8"/>
    <n v="3.8"/>
    <x v="1"/>
    <x v="3"/>
  </r>
  <r>
    <s v="TRIP00902"/>
    <x v="24"/>
    <x v="1"/>
    <s v="Mumbai"/>
    <n v="6.92"/>
    <d v="1900-01-18T15:07:12"/>
    <n v="84.4"/>
    <n v="1"/>
    <n v="84.4"/>
    <n v="4.0999999999999996"/>
    <x v="4"/>
    <x v="2"/>
  </r>
  <r>
    <s v="TRIP00903"/>
    <x v="46"/>
    <x v="0"/>
    <s v="Bangalore"/>
    <n v="25.47"/>
    <d v="1900-03-28T18:00:00"/>
    <n v="297.44"/>
    <n v="1.2"/>
    <n v="356.93"/>
    <n v="4.5"/>
    <x v="4"/>
    <x v="0"/>
  </r>
  <r>
    <s v="TRIP00904"/>
    <x v="285"/>
    <x v="2"/>
    <s v="Mumbai"/>
    <n v="22"/>
    <d v="1900-03-24T20:52:48"/>
    <n v="314.72000000000003"/>
    <n v="2"/>
    <n v="629.44000000000005"/>
    <n v="3.6"/>
    <x v="3"/>
    <x v="1"/>
  </r>
  <r>
    <s v="TRIP00905"/>
    <x v="237"/>
    <x v="3"/>
    <s v="Delhi"/>
    <n v="11.12"/>
    <d v="1900-01-29T13:55:12"/>
    <n v="180.29"/>
    <n v="2"/>
    <n v="360.58"/>
    <n v="3.5"/>
    <x v="4"/>
    <x v="2"/>
  </r>
  <r>
    <s v="TRIP00906"/>
    <x v="183"/>
    <x v="4"/>
    <s v="Delhi"/>
    <n v="27.62"/>
    <d v="1900-03-01T05:02:24"/>
    <n v="340.45"/>
    <n v="1.2"/>
    <n v="408.54"/>
    <n v="3.4"/>
    <x v="1"/>
    <x v="2"/>
  </r>
  <r>
    <s v="TRIP00907"/>
    <x v="327"/>
    <x v="3"/>
    <s v="Kolkata"/>
    <n v="19.12"/>
    <d v="1900-02-09T08:09:36"/>
    <n v="277.66000000000003"/>
    <n v="1"/>
    <n v="277.66000000000003"/>
    <n v="3.9"/>
    <x v="4"/>
    <x v="3"/>
  </r>
  <r>
    <s v="TRIP00908"/>
    <x v="26"/>
    <x v="1"/>
    <s v="Delhi"/>
    <n v="24.64"/>
    <d v="1900-04-01T12:28:48"/>
    <n v="436.91"/>
    <n v="1.2"/>
    <n v="524.29"/>
    <n v="3"/>
    <x v="4"/>
    <x v="3"/>
  </r>
  <r>
    <s v="TRIP00909"/>
    <x v="330"/>
    <x v="4"/>
    <s v="Bangalore"/>
    <n v="16.510000000000002"/>
    <d v="1900-02-02T06:14:24"/>
    <n v="298.51"/>
    <n v="1.2"/>
    <n v="358.21"/>
    <n v="5"/>
    <x v="1"/>
    <x v="1"/>
  </r>
  <r>
    <s v="TRIP00910"/>
    <x v="116"/>
    <x v="3"/>
    <s v="Chennai"/>
    <n v="9.1"/>
    <d v="1900-01-31T10:33:36"/>
    <n v="171.67"/>
    <n v="1"/>
    <n v="171.67"/>
    <n v="4.7"/>
    <x v="2"/>
    <x v="3"/>
  </r>
  <r>
    <s v="TRIP00911"/>
    <x v="261"/>
    <x v="3"/>
    <s v="Mumbai"/>
    <n v="8.75"/>
    <d v="1900-01-25T20:38:24"/>
    <n v="162.63999999999999"/>
    <n v="1.5"/>
    <n v="243.96"/>
    <n v="3.8"/>
    <x v="2"/>
    <x v="3"/>
  </r>
  <r>
    <s v="TRIP00912"/>
    <x v="267"/>
    <x v="2"/>
    <s v="Kolkata"/>
    <n v="24.75"/>
    <d v="1900-03-06T04:48:00"/>
    <n v="452.31"/>
    <n v="1.2"/>
    <n v="542.77"/>
    <n v="5"/>
    <x v="2"/>
    <x v="0"/>
  </r>
  <r>
    <s v="TRIP00913"/>
    <x v="73"/>
    <x v="3"/>
    <s v="Kolkata"/>
    <n v="7.99"/>
    <d v="1900-01-18T17:02:24"/>
    <n v="85.35"/>
    <n v="1.5"/>
    <n v="128.02000000000001"/>
    <n v="3.9"/>
    <x v="0"/>
    <x v="0"/>
  </r>
  <r>
    <s v="TRIP00914"/>
    <x v="331"/>
    <x v="4"/>
    <s v="Delhi"/>
    <n v="9.4499999999999993"/>
    <d v="1900-01-25T18:57:36"/>
    <n v="130.11000000000001"/>
    <n v="1.2"/>
    <n v="156.13"/>
    <n v="5"/>
    <x v="4"/>
    <x v="3"/>
  </r>
  <r>
    <s v="TRIP00915"/>
    <x v="28"/>
    <x v="2"/>
    <s v="Delhi"/>
    <n v="15.3"/>
    <d v="1900-02-08T16:48:00"/>
    <n v="169.34"/>
    <n v="1.5"/>
    <n v="254.01"/>
    <n v="3.7"/>
    <x v="0"/>
    <x v="1"/>
  </r>
  <r>
    <s v="TRIP00916"/>
    <x v="139"/>
    <x v="3"/>
    <s v="Bangalore"/>
    <n v="29.82"/>
    <d v="1900-03-18T09:36:00"/>
    <n v="499.19"/>
    <n v="1.5"/>
    <n v="748.78"/>
    <n v="4.5999999999999996"/>
    <x v="3"/>
    <x v="2"/>
  </r>
  <r>
    <s v="TRIP00917"/>
    <x v="332"/>
    <x v="0"/>
    <s v="Bangalore"/>
    <n v="21.82"/>
    <d v="1900-02-24T00:28:48"/>
    <n v="289.39"/>
    <n v="1.2"/>
    <n v="347.27"/>
    <n v="4.8"/>
    <x v="1"/>
    <x v="1"/>
  </r>
  <r>
    <s v="TRIP00918"/>
    <x v="215"/>
    <x v="0"/>
    <s v="Kolkata"/>
    <n v="26.07"/>
    <d v="1900-02-26T07:55:12"/>
    <n v="305.51"/>
    <n v="1"/>
    <n v="305.51"/>
    <n v="3.5"/>
    <x v="1"/>
    <x v="1"/>
  </r>
  <r>
    <s v="TRIP00919"/>
    <x v="333"/>
    <x v="0"/>
    <s v="Chennai"/>
    <n v="5.9"/>
    <d v="1900-01-20T21:07:12"/>
    <n v="59.78"/>
    <n v="2"/>
    <n v="119.56"/>
    <n v="3.2"/>
    <x v="3"/>
    <x v="3"/>
  </r>
  <r>
    <s v="TRIP00920"/>
    <x v="200"/>
    <x v="3"/>
    <s v="Kolkata"/>
    <n v="28.11"/>
    <d v="1900-04-16T08:09:36"/>
    <n v="511.5"/>
    <n v="1.5"/>
    <n v="767.25"/>
    <n v="5"/>
    <x v="4"/>
    <x v="0"/>
  </r>
  <r>
    <s v="TRIP00921"/>
    <x v="147"/>
    <x v="3"/>
    <s v="Kolkata"/>
    <n v="9.24"/>
    <d v="1900-01-22T19:40:48"/>
    <n v="127.24"/>
    <n v="2"/>
    <n v="254.48"/>
    <n v="4.5"/>
    <x v="2"/>
    <x v="1"/>
  </r>
  <r>
    <s v="TRIP00922"/>
    <x v="333"/>
    <x v="3"/>
    <s v="Mumbai"/>
    <n v="5.64"/>
    <d v="1900-01-18T01:55:12"/>
    <n v="65.849999999999994"/>
    <n v="1"/>
    <n v="65.849999999999994"/>
    <n v="3.9"/>
    <x v="4"/>
    <x v="0"/>
  </r>
  <r>
    <s v="TRIP00923"/>
    <x v="264"/>
    <x v="2"/>
    <s v="Kolkata"/>
    <n v="24.1"/>
    <d v="1900-03-23T20:09:36"/>
    <n v="396.57"/>
    <n v="1.2"/>
    <n v="475.88"/>
    <n v="3.2"/>
    <x v="0"/>
    <x v="0"/>
  </r>
  <r>
    <s v="TRIP00924"/>
    <x v="171"/>
    <x v="1"/>
    <s v="Bangalore"/>
    <n v="3.54"/>
    <d v="1900-01-08T18:00:00"/>
    <n v="50.04"/>
    <n v="1.5"/>
    <n v="75.06"/>
    <n v="4.9000000000000004"/>
    <x v="4"/>
    <x v="2"/>
  </r>
  <r>
    <s v="TRIP00925"/>
    <x v="258"/>
    <x v="4"/>
    <s v="Bangalore"/>
    <n v="28.66"/>
    <d v="1900-03-17T12:28:48"/>
    <n v="298.95"/>
    <n v="1"/>
    <n v="298.95"/>
    <n v="4.7"/>
    <x v="1"/>
    <x v="0"/>
  </r>
  <r>
    <s v="TRIP00926"/>
    <x v="286"/>
    <x v="3"/>
    <s v="Mumbai"/>
    <n v="28.49"/>
    <d v="1900-03-05T00:43:12"/>
    <n v="502.43"/>
    <n v="1"/>
    <n v="502.43"/>
    <n v="4"/>
    <x v="1"/>
    <x v="1"/>
  </r>
  <r>
    <s v="TRIP00927"/>
    <x v="189"/>
    <x v="0"/>
    <s v="Mumbai"/>
    <n v="12.07"/>
    <d v="1900-02-10T20:24:00"/>
    <n v="162.05000000000001"/>
    <n v="1.5"/>
    <n v="243.08"/>
    <n v="4.3"/>
    <x v="3"/>
    <x v="3"/>
  </r>
  <r>
    <s v="TRIP00928"/>
    <x v="88"/>
    <x v="1"/>
    <s v="Chennai"/>
    <n v="14.06"/>
    <d v="1900-02-11T01:12:00"/>
    <n v="245.45"/>
    <n v="1.2"/>
    <n v="294.54000000000002"/>
    <n v="4.3"/>
    <x v="2"/>
    <x v="0"/>
  </r>
  <r>
    <s v="TRIP00929"/>
    <x v="82"/>
    <x v="4"/>
    <s v="Bangalore"/>
    <n v="27.8"/>
    <d v="1900-04-10T05:02:24"/>
    <n v="434.2"/>
    <n v="2"/>
    <n v="868.4"/>
    <n v="4.3"/>
    <x v="0"/>
    <x v="2"/>
  </r>
  <r>
    <s v="TRIP00930"/>
    <x v="0"/>
    <x v="1"/>
    <s v="Chennai"/>
    <n v="18.96"/>
    <d v="1900-03-09T04:48:00"/>
    <n v="320.2"/>
    <n v="1"/>
    <n v="320.2"/>
    <n v="3.8"/>
    <x v="2"/>
    <x v="2"/>
  </r>
  <r>
    <s v="TRIP00931"/>
    <x v="226"/>
    <x v="2"/>
    <s v="Kolkata"/>
    <n v="13.35"/>
    <d v="1900-02-20T12:57:36"/>
    <n v="221.31"/>
    <n v="1.5"/>
    <n v="331.96"/>
    <n v="4.3"/>
    <x v="2"/>
    <x v="2"/>
  </r>
  <r>
    <s v="TRIP00932"/>
    <x v="327"/>
    <x v="4"/>
    <s v="Chennai"/>
    <n v="18.010000000000002"/>
    <d v="1900-02-22T23:16:48"/>
    <n v="316.85000000000002"/>
    <n v="2"/>
    <n v="633.70000000000005"/>
    <n v="3.4"/>
    <x v="3"/>
    <x v="2"/>
  </r>
  <r>
    <s v="TRIP00933"/>
    <x v="67"/>
    <x v="0"/>
    <s v="Mumbai"/>
    <n v="24.23"/>
    <d v="1900-02-25T04:33:36"/>
    <n v="268.92"/>
    <n v="1.5"/>
    <n v="403.38"/>
    <n v="3.8"/>
    <x v="1"/>
    <x v="3"/>
  </r>
  <r>
    <s v="TRIP00934"/>
    <x v="54"/>
    <x v="4"/>
    <s v="Delhi"/>
    <n v="20.83"/>
    <d v="1900-02-10T17:16:48"/>
    <n v="352.04"/>
    <n v="1"/>
    <n v="352.04"/>
    <n v="4.7"/>
    <x v="1"/>
    <x v="2"/>
  </r>
  <r>
    <s v="TRIP00935"/>
    <x v="132"/>
    <x v="3"/>
    <s v="Kolkata"/>
    <n v="18.68"/>
    <d v="1900-02-14T08:38:24"/>
    <n v="259.06"/>
    <n v="1"/>
    <n v="259.06"/>
    <n v="4.0999999999999996"/>
    <x v="2"/>
    <x v="1"/>
  </r>
  <r>
    <s v="TRIP00936"/>
    <x v="36"/>
    <x v="4"/>
    <s v="Chennai"/>
    <n v="16.78"/>
    <d v="1900-02-09T07:55:12"/>
    <n v="310.25"/>
    <n v="2"/>
    <n v="620.5"/>
    <n v="4"/>
    <x v="0"/>
    <x v="2"/>
  </r>
  <r>
    <s v="TRIP00937"/>
    <x v="175"/>
    <x v="0"/>
    <s v="Bangalore"/>
    <n v="24.56"/>
    <d v="1900-03-05T23:02:24"/>
    <n v="272.98"/>
    <n v="1.2"/>
    <n v="327.58"/>
    <n v="4.9000000000000004"/>
    <x v="1"/>
    <x v="2"/>
  </r>
  <r>
    <s v="TRIP00938"/>
    <x v="70"/>
    <x v="2"/>
    <s v="Chennai"/>
    <n v="21.73"/>
    <d v="1900-02-21T21:36:00"/>
    <n v="313.73"/>
    <n v="1"/>
    <n v="313.73"/>
    <n v="4.0999999999999996"/>
    <x v="2"/>
    <x v="1"/>
  </r>
  <r>
    <s v="TRIP00939"/>
    <x v="320"/>
    <x v="4"/>
    <s v="Bangalore"/>
    <n v="26.42"/>
    <d v="1900-03-31T08:24:00"/>
    <n v="343.85"/>
    <n v="1"/>
    <n v="343.85"/>
    <n v="3.7"/>
    <x v="4"/>
    <x v="3"/>
  </r>
  <r>
    <s v="TRIP00940"/>
    <x v="287"/>
    <x v="0"/>
    <s v="Chennai"/>
    <n v="26.82"/>
    <d v="1900-02-27T19:12:00"/>
    <n v="269.23"/>
    <n v="1.5"/>
    <n v="403.84"/>
    <n v="4.5"/>
    <x v="4"/>
    <x v="3"/>
  </r>
  <r>
    <s v="TRIP00941"/>
    <x v="281"/>
    <x v="2"/>
    <s v="Delhi"/>
    <n v="26.55"/>
    <d v="1900-02-23T17:31:12"/>
    <n v="333.75"/>
    <n v="1.5"/>
    <n v="500.62"/>
    <n v="3.4"/>
    <x v="1"/>
    <x v="2"/>
  </r>
  <r>
    <s v="TRIP00942"/>
    <x v="139"/>
    <x v="3"/>
    <s v="Kolkata"/>
    <n v="22.57"/>
    <d v="1900-03-26T15:07:12"/>
    <n v="321.33999999999997"/>
    <n v="1.2"/>
    <n v="385.61"/>
    <n v="3.5"/>
    <x v="2"/>
    <x v="1"/>
  </r>
  <r>
    <s v="TRIP00943"/>
    <x v="33"/>
    <x v="3"/>
    <s v="Bangalore"/>
    <n v="25.05"/>
    <d v="1900-02-27T15:21:36"/>
    <n v="480.26"/>
    <n v="1.5"/>
    <n v="720.39"/>
    <n v="4.0999999999999996"/>
    <x v="1"/>
    <x v="0"/>
  </r>
  <r>
    <s v="TRIP00944"/>
    <x v="174"/>
    <x v="2"/>
    <s v="Delhi"/>
    <n v="24.54"/>
    <d v="1900-03-05T20:38:24"/>
    <n v="351.83"/>
    <n v="1.5"/>
    <n v="527.74"/>
    <n v="4.7"/>
    <x v="4"/>
    <x v="2"/>
  </r>
  <r>
    <s v="TRIP00945"/>
    <x v="152"/>
    <x v="1"/>
    <s v="Mumbai"/>
    <n v="24.02"/>
    <d v="1900-04-02T06:00:00"/>
    <n v="389.9"/>
    <n v="1.2"/>
    <n v="467.88"/>
    <n v="4.0999999999999996"/>
    <x v="0"/>
    <x v="0"/>
  </r>
  <r>
    <s v="TRIP00946"/>
    <x v="305"/>
    <x v="1"/>
    <s v="Kolkata"/>
    <n v="22.6"/>
    <d v="1900-03-05T08:38:24"/>
    <n v="230.53"/>
    <n v="1.2"/>
    <n v="276.64"/>
    <n v="4.3"/>
    <x v="3"/>
    <x v="3"/>
  </r>
  <r>
    <s v="TRIP00947"/>
    <x v="152"/>
    <x v="1"/>
    <s v="Delhi"/>
    <n v="22.72"/>
    <d v="1900-03-01T15:50:24"/>
    <n v="371.41"/>
    <n v="2"/>
    <n v="742.82"/>
    <n v="4.3"/>
    <x v="0"/>
    <x v="3"/>
  </r>
  <r>
    <s v="TRIP00948"/>
    <x v="115"/>
    <x v="0"/>
    <s v="Mumbai"/>
    <n v="16.829999999999998"/>
    <d v="1900-02-08T12:43:12"/>
    <n v="217.43"/>
    <n v="1.2"/>
    <n v="260.92"/>
    <n v="3.1"/>
    <x v="4"/>
    <x v="1"/>
  </r>
  <r>
    <s v="TRIP00949"/>
    <x v="81"/>
    <x v="0"/>
    <s v="Bangalore"/>
    <n v="7.26"/>
    <d v="1900-01-27T13:26:24"/>
    <n v="124.52"/>
    <n v="1.5"/>
    <n v="186.78"/>
    <n v="4.2"/>
    <x v="0"/>
    <x v="1"/>
  </r>
  <r>
    <s v="TRIP00950"/>
    <x v="155"/>
    <x v="0"/>
    <s v="Chennai"/>
    <n v="14.78"/>
    <d v="1900-02-24T02:24:00"/>
    <n v="225.4"/>
    <n v="1"/>
    <n v="225.4"/>
    <n v="4.2"/>
    <x v="4"/>
    <x v="3"/>
  </r>
  <r>
    <s v="TRIP00951"/>
    <x v="92"/>
    <x v="4"/>
    <s v="Bangalore"/>
    <n v="20.34"/>
    <d v="1900-03-01T11:16:48"/>
    <n v="290.61"/>
    <n v="2"/>
    <n v="581.22"/>
    <n v="3.1"/>
    <x v="0"/>
    <x v="2"/>
  </r>
  <r>
    <s v="TRIP00952"/>
    <x v="138"/>
    <x v="3"/>
    <s v="Mumbai"/>
    <n v="8.0299999999999994"/>
    <d v="1900-01-25T17:02:24"/>
    <n v="147.68"/>
    <n v="2"/>
    <n v="295.36"/>
    <n v="4.5"/>
    <x v="2"/>
    <x v="2"/>
  </r>
  <r>
    <s v="TRIP00953"/>
    <x v="319"/>
    <x v="2"/>
    <s v="Bangalore"/>
    <n v="22.12"/>
    <d v="1900-03-10T19:12:00"/>
    <n v="382.95"/>
    <n v="1.2"/>
    <n v="459.54"/>
    <n v="4.7"/>
    <x v="3"/>
    <x v="2"/>
  </r>
  <r>
    <s v="TRIP00954"/>
    <x v="99"/>
    <x v="3"/>
    <s v="Delhi"/>
    <n v="17.63"/>
    <d v="1900-02-15T07:26:24"/>
    <n v="290.62"/>
    <n v="1.2"/>
    <n v="348.74"/>
    <n v="4"/>
    <x v="3"/>
    <x v="1"/>
  </r>
  <r>
    <s v="TRIP00955"/>
    <x v="233"/>
    <x v="1"/>
    <s v="Bangalore"/>
    <n v="4.46"/>
    <d v="1900-01-10T20:09:36"/>
    <n v="80.98"/>
    <n v="1.2"/>
    <n v="97.18"/>
    <n v="3.7"/>
    <x v="2"/>
    <x v="1"/>
  </r>
  <r>
    <s v="TRIP00956"/>
    <x v="334"/>
    <x v="3"/>
    <s v="Chennai"/>
    <n v="17.11"/>
    <d v="1900-02-22T04:48:00"/>
    <n v="206.52"/>
    <n v="1"/>
    <n v="206.52"/>
    <n v="3.2"/>
    <x v="1"/>
    <x v="1"/>
  </r>
  <r>
    <s v="TRIP00957"/>
    <x v="42"/>
    <x v="0"/>
    <s v="Kolkata"/>
    <n v="11.33"/>
    <d v="1900-02-06T01:55:12"/>
    <n v="144.36000000000001"/>
    <n v="1.5"/>
    <n v="216.54"/>
    <n v="3.3"/>
    <x v="1"/>
    <x v="2"/>
  </r>
  <r>
    <s v="TRIP00958"/>
    <x v="87"/>
    <x v="3"/>
    <s v="Chennai"/>
    <n v="23.88"/>
    <d v="1900-02-21T10:48:00"/>
    <n v="272.36"/>
    <n v="1.2"/>
    <n v="326.83"/>
    <n v="3.4"/>
    <x v="2"/>
    <x v="2"/>
  </r>
  <r>
    <s v="TRIP00959"/>
    <x v="153"/>
    <x v="1"/>
    <s v="Bangalore"/>
    <n v="10.34"/>
    <d v="1900-01-31T06:14:24"/>
    <n v="192.11"/>
    <n v="2"/>
    <n v="384.22"/>
    <n v="4.5"/>
    <x v="1"/>
    <x v="2"/>
  </r>
  <r>
    <s v="TRIP00960"/>
    <x v="104"/>
    <x v="4"/>
    <s v="Kolkata"/>
    <n v="28.64"/>
    <d v="1900-04-07T11:31:12"/>
    <n v="552.79999999999995"/>
    <n v="2"/>
    <n v="1105.5999999999999"/>
    <n v="3.2"/>
    <x v="2"/>
    <x v="3"/>
  </r>
  <r>
    <s v="TRIP00961"/>
    <x v="88"/>
    <x v="2"/>
    <s v="Kolkata"/>
    <n v="2.5299999999999998"/>
    <d v="1900-01-07T17:31:12"/>
    <n v="28.37"/>
    <n v="1.2"/>
    <n v="34.04"/>
    <n v="4.5999999999999996"/>
    <x v="4"/>
    <x v="1"/>
  </r>
  <r>
    <s v="TRIP00962"/>
    <x v="101"/>
    <x v="1"/>
    <s v="Chennai"/>
    <n v="17.37"/>
    <d v="1900-02-23T14:24:00"/>
    <n v="202.58"/>
    <n v="1.2"/>
    <n v="243.1"/>
    <n v="4.4000000000000004"/>
    <x v="4"/>
    <x v="0"/>
  </r>
  <r>
    <s v="TRIP00963"/>
    <x v="270"/>
    <x v="4"/>
    <s v="Delhi"/>
    <n v="29.12"/>
    <d v="1900-04-09T14:52:48"/>
    <n v="559.86"/>
    <n v="1"/>
    <n v="559.86"/>
    <n v="4.4000000000000004"/>
    <x v="0"/>
    <x v="1"/>
  </r>
  <r>
    <s v="TRIP00964"/>
    <x v="312"/>
    <x v="1"/>
    <s v="Bangalore"/>
    <n v="6.57"/>
    <d v="1900-01-20T21:36:00"/>
    <n v="106.66"/>
    <n v="1.5"/>
    <n v="159.99"/>
    <n v="3.5"/>
    <x v="3"/>
    <x v="0"/>
  </r>
  <r>
    <s v="TRIP00965"/>
    <x v="27"/>
    <x v="2"/>
    <s v="Kolkata"/>
    <n v="16.329999999999998"/>
    <d v="1900-02-11T13:55:12"/>
    <n v="248.1"/>
    <n v="1.2"/>
    <n v="297.72000000000003"/>
    <n v="4.5999999999999996"/>
    <x v="2"/>
    <x v="0"/>
  </r>
  <r>
    <s v="TRIP00966"/>
    <x v="298"/>
    <x v="0"/>
    <s v="Kolkata"/>
    <n v="6.39"/>
    <d v="1900-01-12T20:52:48"/>
    <n v="91.78"/>
    <n v="1.2"/>
    <n v="110.14"/>
    <n v="4.7"/>
    <x v="1"/>
    <x v="3"/>
  </r>
  <r>
    <s v="TRIP00967"/>
    <x v="83"/>
    <x v="0"/>
    <s v="Delhi"/>
    <n v="9.0299999999999994"/>
    <d v="1900-01-27T03:21:36"/>
    <n v="121.63"/>
    <n v="1.5"/>
    <n v="182.44"/>
    <n v="4.8"/>
    <x v="1"/>
    <x v="2"/>
  </r>
  <r>
    <s v="TRIP00968"/>
    <x v="256"/>
    <x v="0"/>
    <s v="Bangalore"/>
    <n v="15.57"/>
    <d v="1900-02-09T08:24:00"/>
    <n v="270.47000000000003"/>
    <n v="1.2"/>
    <n v="324.56"/>
    <n v="4.7"/>
    <x v="2"/>
    <x v="0"/>
  </r>
  <r>
    <s v="TRIP00969"/>
    <x v="56"/>
    <x v="3"/>
    <s v="Mumbai"/>
    <n v="10.75"/>
    <d v="1900-02-09T06:57:36"/>
    <n v="108.79"/>
    <n v="1"/>
    <n v="108.79"/>
    <n v="4.2"/>
    <x v="3"/>
    <x v="1"/>
  </r>
  <r>
    <s v="TRIP00970"/>
    <x v="189"/>
    <x v="2"/>
    <s v="Kolkata"/>
    <n v="15.07"/>
    <d v="1900-01-31T17:02:24"/>
    <n v="297.25"/>
    <n v="2"/>
    <n v="594.5"/>
    <n v="3.4"/>
    <x v="1"/>
    <x v="0"/>
  </r>
  <r>
    <s v="TRIP00971"/>
    <x v="234"/>
    <x v="2"/>
    <s v="Kolkata"/>
    <n v="7.86"/>
    <d v="1900-01-22T07:40:48"/>
    <n v="112.33"/>
    <n v="2"/>
    <n v="224.66"/>
    <n v="4.5"/>
    <x v="1"/>
    <x v="3"/>
  </r>
  <r>
    <s v="TRIP00972"/>
    <x v="309"/>
    <x v="2"/>
    <s v="Kolkata"/>
    <n v="25.29"/>
    <d v="1900-03-02T17:02:24"/>
    <n v="302.2"/>
    <n v="1.2"/>
    <n v="362.64"/>
    <n v="4.7"/>
    <x v="4"/>
    <x v="0"/>
  </r>
  <r>
    <s v="TRIP00973"/>
    <x v="134"/>
    <x v="2"/>
    <s v="Kolkata"/>
    <n v="29.45"/>
    <d v="1900-03-26T08:38:24"/>
    <n v="527.73"/>
    <n v="1"/>
    <n v="527.73"/>
    <n v="3.1"/>
    <x v="1"/>
    <x v="0"/>
  </r>
  <r>
    <s v="TRIP00974"/>
    <x v="256"/>
    <x v="4"/>
    <s v="Mumbai"/>
    <n v="4.42"/>
    <d v="1900-01-08T05:45:36"/>
    <n v="63.56"/>
    <n v="1"/>
    <n v="63.56"/>
    <n v="3.5"/>
    <x v="0"/>
    <x v="1"/>
  </r>
  <r>
    <s v="TRIP00975"/>
    <x v="265"/>
    <x v="0"/>
    <s v="Mumbai"/>
    <n v="13.23"/>
    <d v="1900-01-26T12:28:48"/>
    <n v="191.71"/>
    <n v="1.2"/>
    <n v="230.05"/>
    <n v="3.7"/>
    <x v="2"/>
    <x v="0"/>
  </r>
  <r>
    <s v="TRIP00976"/>
    <x v="128"/>
    <x v="2"/>
    <s v="Kolkata"/>
    <n v="11.16"/>
    <d v="1900-02-04T02:24:00"/>
    <n v="210.34"/>
    <n v="1"/>
    <n v="210.34"/>
    <n v="3.2"/>
    <x v="3"/>
    <x v="3"/>
  </r>
  <r>
    <s v="TRIP00977"/>
    <x v="64"/>
    <x v="1"/>
    <s v="Delhi"/>
    <n v="29.02"/>
    <d v="1900-04-23T08:09:36"/>
    <n v="541.24"/>
    <n v="1.5"/>
    <n v="811.86"/>
    <n v="3.6"/>
    <x v="0"/>
    <x v="1"/>
  </r>
  <r>
    <s v="TRIP00978"/>
    <x v="54"/>
    <x v="0"/>
    <s v="Mumbai"/>
    <n v="9.27"/>
    <d v="1900-01-29T05:31:12"/>
    <n v="134.94"/>
    <n v="1.5"/>
    <n v="202.41"/>
    <n v="3.4"/>
    <x v="2"/>
    <x v="3"/>
  </r>
  <r>
    <s v="TRIP00979"/>
    <x v="90"/>
    <x v="2"/>
    <s v="Bangalore"/>
    <n v="9.18"/>
    <d v="1900-01-23T04:48:00"/>
    <n v="176.68"/>
    <n v="1"/>
    <n v="176.68"/>
    <n v="3.2"/>
    <x v="0"/>
    <x v="0"/>
  </r>
  <r>
    <s v="TRIP00980"/>
    <x v="135"/>
    <x v="0"/>
    <s v="Mumbai"/>
    <n v="27.47"/>
    <d v="1900-03-28T11:16:48"/>
    <n v="424.8"/>
    <n v="1"/>
    <n v="424.8"/>
    <n v="3.6"/>
    <x v="2"/>
    <x v="2"/>
  </r>
  <r>
    <s v="TRIP00981"/>
    <x v="89"/>
    <x v="3"/>
    <s v="Bangalore"/>
    <n v="25.71"/>
    <d v="1900-03-20T04:04:48"/>
    <n v="389.44"/>
    <n v="2"/>
    <n v="778.88"/>
    <n v="4.8"/>
    <x v="1"/>
    <x v="3"/>
  </r>
  <r>
    <s v="TRIP00982"/>
    <x v="155"/>
    <x v="1"/>
    <s v="Chennai"/>
    <n v="28.95"/>
    <d v="1900-03-19T17:31:12"/>
    <n v="464.13"/>
    <n v="1.2"/>
    <n v="556.96"/>
    <n v="3"/>
    <x v="3"/>
    <x v="3"/>
  </r>
  <r>
    <s v="TRIP00983"/>
    <x v="278"/>
    <x v="1"/>
    <s v="Kolkata"/>
    <n v="25.68"/>
    <d v="1900-03-09T02:52:48"/>
    <n v="265.83999999999997"/>
    <n v="1.2"/>
    <n v="319.01"/>
    <n v="4.5"/>
    <x v="3"/>
    <x v="0"/>
  </r>
  <r>
    <s v="TRIP00984"/>
    <x v="134"/>
    <x v="2"/>
    <s v="Delhi"/>
    <n v="5.66"/>
    <d v="1900-01-16T09:36:00"/>
    <n v="67.459999999999994"/>
    <n v="2"/>
    <n v="134.91999999999999"/>
    <n v="4.2"/>
    <x v="0"/>
    <x v="1"/>
  </r>
  <r>
    <s v="TRIP00985"/>
    <x v="147"/>
    <x v="1"/>
    <s v="Kolkata"/>
    <n v="10.17"/>
    <d v="1900-02-05T12:43:12"/>
    <n v="150.13999999999999"/>
    <n v="1.5"/>
    <n v="225.21"/>
    <n v="4.5"/>
    <x v="4"/>
    <x v="2"/>
  </r>
  <r>
    <s v="TRIP00986"/>
    <x v="247"/>
    <x v="2"/>
    <s v="Bangalore"/>
    <n v="9.73"/>
    <d v="1900-01-22T00:57:36"/>
    <n v="170.9"/>
    <n v="1"/>
    <n v="170.9"/>
    <n v="3.4"/>
    <x v="1"/>
    <x v="2"/>
  </r>
  <r>
    <s v="TRIP00987"/>
    <x v="155"/>
    <x v="3"/>
    <s v="Kolkata"/>
    <n v="18.88"/>
    <d v="1900-02-07T06:43:12"/>
    <n v="250.38"/>
    <n v="2"/>
    <n v="500.76"/>
    <n v="3.5"/>
    <x v="1"/>
    <x v="2"/>
  </r>
  <r>
    <s v="TRIP00988"/>
    <x v="286"/>
    <x v="0"/>
    <s v="Bangalore"/>
    <n v="25.57"/>
    <d v="1900-03-01T16:19:12"/>
    <n v="499.15"/>
    <n v="1.2"/>
    <n v="598.98"/>
    <n v="4.5"/>
    <x v="3"/>
    <x v="3"/>
  </r>
  <r>
    <s v="TRIP00989"/>
    <x v="210"/>
    <x v="1"/>
    <s v="Chennai"/>
    <n v="25.32"/>
    <d v="1900-03-31T14:09:36"/>
    <n v="333.69"/>
    <n v="2"/>
    <n v="667.38"/>
    <n v="3.9"/>
    <x v="0"/>
    <x v="1"/>
  </r>
  <r>
    <s v="TRIP00990"/>
    <x v="80"/>
    <x v="3"/>
    <s v="Chennai"/>
    <n v="9.75"/>
    <d v="1900-01-19T05:31:12"/>
    <n v="146.77000000000001"/>
    <n v="1"/>
    <n v="146.77000000000001"/>
    <n v="4.8"/>
    <x v="0"/>
    <x v="1"/>
  </r>
  <r>
    <s v="TRIP00991"/>
    <x v="73"/>
    <x v="4"/>
    <s v="Mumbai"/>
    <n v="19.010000000000002"/>
    <d v="1900-02-10T14:38:24"/>
    <n v="375.82"/>
    <n v="1.2"/>
    <n v="450.98"/>
    <n v="4.5"/>
    <x v="1"/>
    <x v="3"/>
  </r>
  <r>
    <s v="TRIP00992"/>
    <x v="51"/>
    <x v="3"/>
    <s v="Kolkata"/>
    <n v="15.16"/>
    <d v="1900-02-22T23:16:48"/>
    <n v="166.64"/>
    <n v="1.2"/>
    <n v="199.97"/>
    <n v="3.6"/>
    <x v="2"/>
    <x v="2"/>
  </r>
  <r>
    <s v="TRIP00993"/>
    <x v="169"/>
    <x v="2"/>
    <s v="Mumbai"/>
    <n v="7.24"/>
    <d v="1900-01-22T13:40:48"/>
    <n v="139.27000000000001"/>
    <n v="1.5"/>
    <n v="208.91"/>
    <n v="3.4"/>
    <x v="4"/>
    <x v="3"/>
  </r>
  <r>
    <s v="TRIP00994"/>
    <x v="335"/>
    <x v="0"/>
    <s v="Chennai"/>
    <n v="22.42"/>
    <d v="1900-02-15T16:48:00"/>
    <n v="311.02"/>
    <n v="1.5"/>
    <n v="466.53"/>
    <n v="3.4"/>
    <x v="4"/>
    <x v="3"/>
  </r>
  <r>
    <s v="TRIP00995"/>
    <x v="59"/>
    <x v="4"/>
    <s v="Chennai"/>
    <n v="27.64"/>
    <d v="1900-02-25T21:07:12"/>
    <n v="370.05"/>
    <n v="1.5"/>
    <n v="555.08000000000004"/>
    <n v="3.8"/>
    <x v="4"/>
    <x v="3"/>
  </r>
  <r>
    <s v="TRIP00996"/>
    <x v="60"/>
    <x v="2"/>
    <s v="Chennai"/>
    <n v="13.6"/>
    <d v="1900-02-18T20:24:00"/>
    <n v="160.57"/>
    <n v="1.5"/>
    <n v="240.86"/>
    <n v="4.0999999999999996"/>
    <x v="3"/>
    <x v="0"/>
  </r>
  <r>
    <s v="TRIP00997"/>
    <x v="270"/>
    <x v="3"/>
    <s v="Mumbai"/>
    <n v="10.46"/>
    <d v="1900-02-04T17:45:36"/>
    <n v="145.79"/>
    <n v="1"/>
    <n v="145.79"/>
    <n v="3.3"/>
    <x v="2"/>
    <x v="3"/>
  </r>
  <r>
    <s v="TRIP00998"/>
    <x v="180"/>
    <x v="3"/>
    <s v="Chennai"/>
    <n v="9.4600000000000009"/>
    <d v="1900-02-04T09:50:24"/>
    <n v="116.39"/>
    <n v="1.2"/>
    <n v="139.66999999999999"/>
    <n v="3.9"/>
    <x v="3"/>
    <x v="2"/>
  </r>
  <r>
    <s v="TRIP00999"/>
    <x v="282"/>
    <x v="2"/>
    <s v="Delhi"/>
    <n v="20.25"/>
    <d v="1900-02-13T06:57:36"/>
    <n v="395.67"/>
    <n v="2"/>
    <n v="791.34"/>
    <n v="4.2"/>
    <x v="1"/>
    <x v="2"/>
  </r>
  <r>
    <s v="TRIP01000"/>
    <x v="4"/>
    <x v="2"/>
    <s v="Kolkata"/>
    <n v="20.55"/>
    <d v="1900-02-09T18:43:12"/>
    <n v="275.14999999999998"/>
    <n v="1.5"/>
    <n v="412.72"/>
    <n v="3.8"/>
    <x v="2"/>
    <x v="0"/>
  </r>
  <r>
    <s v="TRIP01001"/>
    <x v="179"/>
    <x v="0"/>
    <s v="Mumbai"/>
    <n v="12.91"/>
    <d v="1900-02-06T20:24:00"/>
    <n v="130.05000000000001"/>
    <n v="2"/>
    <n v="260.10000000000002"/>
    <n v="3.3"/>
    <x v="0"/>
    <x v="3"/>
  </r>
  <r>
    <s v="TRIP01002"/>
    <x v="100"/>
    <x v="3"/>
    <s v="Kolkata"/>
    <n v="11.68"/>
    <d v="1900-02-14T05:31:12"/>
    <n v="165.94"/>
    <n v="1.2"/>
    <n v="199.13"/>
    <n v="4.7"/>
    <x v="2"/>
    <x v="0"/>
  </r>
  <r>
    <s v="TRIP01003"/>
    <x v="64"/>
    <x v="4"/>
    <s v="Bangalore"/>
    <n v="21.8"/>
    <d v="1900-03-08T23:31:12"/>
    <n v="391.92"/>
    <n v="1.5"/>
    <n v="587.88"/>
    <n v="3.9"/>
    <x v="1"/>
    <x v="3"/>
  </r>
  <r>
    <s v="TRIP01004"/>
    <x v="142"/>
    <x v="1"/>
    <s v="Kolkata"/>
    <n v="21.22"/>
    <d v="1900-02-13T23:16:48"/>
    <n v="395.32"/>
    <n v="1.5"/>
    <n v="592.98"/>
    <n v="3.9"/>
    <x v="2"/>
    <x v="0"/>
  </r>
  <r>
    <s v="TRIP01005"/>
    <x v="174"/>
    <x v="1"/>
    <s v="Delhi"/>
    <n v="16.940000000000001"/>
    <d v="1900-02-16T00:14:24"/>
    <n v="318.08999999999997"/>
    <n v="1.5"/>
    <n v="477.14"/>
    <n v="3.4"/>
    <x v="0"/>
    <x v="0"/>
  </r>
  <r>
    <s v="TRIP01006"/>
    <x v="145"/>
    <x v="2"/>
    <s v="Delhi"/>
    <n v="17.170000000000002"/>
    <d v="1900-02-04T05:16:48"/>
    <n v="338.57"/>
    <n v="1"/>
    <n v="338.57"/>
    <n v="3.8"/>
    <x v="1"/>
    <x v="3"/>
  </r>
  <r>
    <s v="TRIP01007"/>
    <x v="172"/>
    <x v="3"/>
    <s v="Mumbai"/>
    <n v="14.61"/>
    <d v="1900-02-22T06:57:36"/>
    <n v="190.65"/>
    <n v="1.2"/>
    <n v="228.78"/>
    <n v="3.4"/>
    <x v="0"/>
    <x v="1"/>
  </r>
  <r>
    <s v="TRIP01008"/>
    <x v="233"/>
    <x v="4"/>
    <s v="Bangalore"/>
    <n v="21.75"/>
    <d v="1900-03-25T20:09:36"/>
    <n v="261.31"/>
    <n v="1"/>
    <n v="261.31"/>
    <n v="3.3"/>
    <x v="2"/>
    <x v="2"/>
  </r>
  <r>
    <s v="TRIP01009"/>
    <x v="210"/>
    <x v="1"/>
    <s v="Kolkata"/>
    <n v="11.9"/>
    <d v="1900-02-11T07:55:12"/>
    <n v="119.85"/>
    <n v="2"/>
    <n v="239.7"/>
    <n v="4"/>
    <x v="1"/>
    <x v="1"/>
  </r>
  <r>
    <s v="TRIP01010"/>
    <x v="15"/>
    <x v="4"/>
    <s v="Chennai"/>
    <n v="26.84"/>
    <d v="1900-03-18T09:21:36"/>
    <n v="458.88"/>
    <n v="2"/>
    <n v="917.76"/>
    <n v="4.4000000000000004"/>
    <x v="4"/>
    <x v="3"/>
  </r>
  <r>
    <s v="TRIP01011"/>
    <x v="167"/>
    <x v="0"/>
    <s v="Chennai"/>
    <n v="21.89"/>
    <d v="1900-02-24T02:52:48"/>
    <n v="259.24"/>
    <n v="1"/>
    <n v="259.24"/>
    <n v="3.2"/>
    <x v="3"/>
    <x v="1"/>
  </r>
  <r>
    <s v="TRIP01012"/>
    <x v="172"/>
    <x v="3"/>
    <s v="Kolkata"/>
    <n v="23.46"/>
    <d v="1900-02-21T05:31:12"/>
    <n v="344.33"/>
    <n v="1"/>
    <n v="344.33"/>
    <n v="4.9000000000000004"/>
    <x v="1"/>
    <x v="2"/>
  </r>
  <r>
    <s v="TRIP01013"/>
    <x v="126"/>
    <x v="0"/>
    <s v="Delhi"/>
    <n v="1.79"/>
    <d v="1900-01-05T09:07:12"/>
    <n v="18.09"/>
    <n v="1.2"/>
    <n v="21.71"/>
    <n v="4.2"/>
    <x v="2"/>
    <x v="3"/>
  </r>
  <r>
    <s v="TRIP01014"/>
    <x v="194"/>
    <x v="0"/>
    <s v="Kolkata"/>
    <n v="23.97"/>
    <d v="1900-04-04T05:45:36"/>
    <n v="299.83"/>
    <n v="1.5"/>
    <n v="449.74"/>
    <n v="4.8"/>
    <x v="2"/>
    <x v="3"/>
  </r>
  <r>
    <s v="TRIP01015"/>
    <x v="334"/>
    <x v="4"/>
    <s v="Delhi"/>
    <n v="10.74"/>
    <d v="1900-02-02T16:33:36"/>
    <n v="206.95"/>
    <n v="2"/>
    <n v="413.9"/>
    <n v="4.9000000000000004"/>
    <x v="1"/>
    <x v="1"/>
  </r>
  <r>
    <s v="TRIP01016"/>
    <x v="73"/>
    <x v="0"/>
    <s v="Bangalore"/>
    <n v="26.82"/>
    <d v="1900-03-07T17:31:12"/>
    <n v="394.86"/>
    <n v="1.5"/>
    <n v="592.29"/>
    <n v="3.6"/>
    <x v="4"/>
    <x v="3"/>
  </r>
  <r>
    <s v="TRIP01017"/>
    <x v="254"/>
    <x v="2"/>
    <s v="Chennai"/>
    <n v="24.89"/>
    <d v="1900-03-25T01:40:48"/>
    <n v="395.16"/>
    <n v="1.2"/>
    <n v="474.19"/>
    <n v="4.2"/>
    <x v="0"/>
    <x v="2"/>
  </r>
  <r>
    <s v="TRIP01018"/>
    <x v="105"/>
    <x v="0"/>
    <s v="Chennai"/>
    <n v="13.98"/>
    <d v="1900-02-16T08:52:48"/>
    <n v="189.81"/>
    <n v="1"/>
    <n v="189.81"/>
    <n v="3.5"/>
    <x v="3"/>
    <x v="0"/>
  </r>
  <r>
    <s v="TRIP01019"/>
    <x v="222"/>
    <x v="0"/>
    <s v="Delhi"/>
    <n v="3.52"/>
    <d v="1900-01-08T04:04:48"/>
    <n v="69.22"/>
    <n v="1.5"/>
    <n v="103.83"/>
    <n v="3.8"/>
    <x v="1"/>
    <x v="3"/>
  </r>
  <r>
    <s v="TRIP01020"/>
    <x v="138"/>
    <x v="3"/>
    <s v="Mumbai"/>
    <n v="24.03"/>
    <d v="1900-03-18T02:38:24"/>
    <n v="465.61"/>
    <n v="2"/>
    <n v="931.22"/>
    <n v="3.2"/>
    <x v="0"/>
    <x v="2"/>
  </r>
  <r>
    <s v="TRIP01021"/>
    <x v="225"/>
    <x v="4"/>
    <s v="Bangalore"/>
    <n v="18.7"/>
    <d v="1900-03-12T15:21:36"/>
    <n v="334.39"/>
    <n v="1.5"/>
    <n v="501.58"/>
    <n v="3.5"/>
    <x v="2"/>
    <x v="2"/>
  </r>
  <r>
    <s v="TRIP01022"/>
    <x v="14"/>
    <x v="2"/>
    <s v="Chennai"/>
    <n v="20.96"/>
    <d v="1900-03-13T07:26:24"/>
    <n v="254.27"/>
    <n v="1.2"/>
    <n v="305.12"/>
    <n v="3.6"/>
    <x v="4"/>
    <x v="3"/>
  </r>
  <r>
    <s v="TRIP01023"/>
    <x v="90"/>
    <x v="2"/>
    <s v="Delhi"/>
    <n v="7.86"/>
    <d v="1900-01-28T14:09:36"/>
    <n v="86.22"/>
    <n v="2"/>
    <n v="172.44"/>
    <n v="5"/>
    <x v="3"/>
    <x v="2"/>
  </r>
  <r>
    <s v="TRIP01024"/>
    <x v="296"/>
    <x v="0"/>
    <s v="Kolkata"/>
    <n v="2.67"/>
    <d v="1900-01-08T20:24:00"/>
    <n v="28.28"/>
    <n v="2"/>
    <n v="56.56"/>
    <n v="4.0999999999999996"/>
    <x v="3"/>
    <x v="3"/>
  </r>
  <r>
    <s v="TRIP01025"/>
    <x v="103"/>
    <x v="2"/>
    <s v="Bangalore"/>
    <n v="9.57"/>
    <d v="1900-01-19T20:52:48"/>
    <n v="159.63"/>
    <n v="1.2"/>
    <n v="191.56"/>
    <n v="3.7"/>
    <x v="3"/>
    <x v="1"/>
  </r>
  <r>
    <s v="TRIP01026"/>
    <x v="166"/>
    <x v="1"/>
    <s v="Delhi"/>
    <n v="24.7"/>
    <d v="1900-02-18T01:40:48"/>
    <n v="468.24"/>
    <n v="2"/>
    <n v="936.48"/>
    <n v="3.9"/>
    <x v="2"/>
    <x v="2"/>
  </r>
  <r>
    <s v="TRIP01027"/>
    <x v="283"/>
    <x v="0"/>
    <s v="Delhi"/>
    <n v="1.94"/>
    <d v="1900-01-04T04:19:12"/>
    <n v="29.37"/>
    <n v="1.5"/>
    <n v="44.06"/>
    <n v="3.7"/>
    <x v="3"/>
    <x v="3"/>
  </r>
  <r>
    <s v="TRIP01028"/>
    <x v="174"/>
    <x v="0"/>
    <s v="Bangalore"/>
    <n v="21.46"/>
    <d v="1900-02-18T23:16:48"/>
    <n v="375.68"/>
    <n v="1.2"/>
    <n v="450.82"/>
    <n v="3.5"/>
    <x v="1"/>
    <x v="2"/>
  </r>
  <r>
    <s v="TRIP01029"/>
    <x v="107"/>
    <x v="4"/>
    <s v="Bangalore"/>
    <n v="6.38"/>
    <d v="1900-01-14T01:55:12"/>
    <n v="96.52"/>
    <n v="2"/>
    <n v="193.04"/>
    <n v="4.9000000000000004"/>
    <x v="3"/>
    <x v="1"/>
  </r>
  <r>
    <s v="TRIP01030"/>
    <x v="170"/>
    <x v="0"/>
    <s v="Delhi"/>
    <n v="21.5"/>
    <d v="1900-03-11T03:21:36"/>
    <n v="402.59"/>
    <n v="1.2"/>
    <n v="483.11"/>
    <n v="4.7"/>
    <x v="3"/>
    <x v="0"/>
  </r>
  <r>
    <s v="TRIP01031"/>
    <x v="228"/>
    <x v="3"/>
    <s v="Kolkata"/>
    <n v="27.85"/>
    <d v="1900-04-01T11:02:24"/>
    <n v="386.77"/>
    <n v="2"/>
    <n v="773.54"/>
    <n v="3.9"/>
    <x v="2"/>
    <x v="0"/>
  </r>
  <r>
    <s v="TRIP01032"/>
    <x v="245"/>
    <x v="0"/>
    <s v="Delhi"/>
    <n v="8.08"/>
    <d v="1900-01-30T18:43:12"/>
    <n v="158.22"/>
    <n v="1"/>
    <n v="158.22"/>
    <n v="4"/>
    <x v="4"/>
    <x v="0"/>
  </r>
  <r>
    <s v="TRIP01033"/>
    <x v="40"/>
    <x v="2"/>
    <s v="Mumbai"/>
    <n v="26.97"/>
    <d v="1900-04-15T01:55:12"/>
    <n v="389.3"/>
    <n v="2"/>
    <n v="778.6"/>
    <n v="3.3"/>
    <x v="3"/>
    <x v="2"/>
  </r>
  <r>
    <s v="TRIP01034"/>
    <x v="336"/>
    <x v="0"/>
    <s v="Delhi"/>
    <n v="20.95"/>
    <d v="1900-02-21T08:38:24"/>
    <n v="363.79"/>
    <n v="1.2"/>
    <n v="436.55"/>
    <n v="3.2"/>
    <x v="1"/>
    <x v="2"/>
  </r>
  <r>
    <s v="TRIP01035"/>
    <x v="224"/>
    <x v="2"/>
    <s v="Delhi"/>
    <n v="5.03"/>
    <d v="1900-01-16T13:55:12"/>
    <n v="52.71"/>
    <n v="1.2"/>
    <n v="63.25"/>
    <n v="3.6"/>
    <x v="2"/>
    <x v="2"/>
  </r>
  <r>
    <s v="TRIP01036"/>
    <x v="113"/>
    <x v="1"/>
    <s v="Mumbai"/>
    <n v="1.2"/>
    <d v="1900-01-03T05:31:12"/>
    <n v="18.170000000000002"/>
    <n v="1.2"/>
    <n v="21.8"/>
    <n v="3.9"/>
    <x v="2"/>
    <x v="2"/>
  </r>
  <r>
    <s v="TRIP01037"/>
    <x v="155"/>
    <x v="0"/>
    <s v="Chennai"/>
    <n v="29.52"/>
    <d v="1900-03-13T07:12:00"/>
    <n v="496.31"/>
    <n v="1.5"/>
    <n v="744.46"/>
    <n v="4.7"/>
    <x v="4"/>
    <x v="3"/>
  </r>
  <r>
    <s v="TRIP01038"/>
    <x v="104"/>
    <x v="3"/>
    <s v="Delhi"/>
    <n v="1.23"/>
    <d v="1900-01-02T16:04:48"/>
    <n v="24.43"/>
    <n v="1.5"/>
    <n v="36.64"/>
    <n v="3.4"/>
    <x v="0"/>
    <x v="2"/>
  </r>
  <r>
    <s v="TRIP01039"/>
    <x v="240"/>
    <x v="3"/>
    <s v="Bangalore"/>
    <n v="20.93"/>
    <d v="1900-03-15T23:16:48"/>
    <n v="296.66000000000003"/>
    <n v="2"/>
    <n v="593.32000000000005"/>
    <n v="3.4"/>
    <x v="2"/>
    <x v="2"/>
  </r>
  <r>
    <s v="TRIP01040"/>
    <x v="102"/>
    <x v="2"/>
    <s v="Mumbai"/>
    <n v="20.64"/>
    <d v="1900-02-14T04:33:36"/>
    <n v="220.63"/>
    <n v="1"/>
    <n v="220.63"/>
    <n v="3.7"/>
    <x v="0"/>
    <x v="0"/>
  </r>
  <r>
    <s v="TRIP01041"/>
    <x v="260"/>
    <x v="3"/>
    <s v="Chennai"/>
    <n v="8.3699999999999992"/>
    <d v="1900-01-30T10:19:12"/>
    <n v="91.2"/>
    <n v="2"/>
    <n v="182.4"/>
    <n v="3.5"/>
    <x v="2"/>
    <x v="0"/>
  </r>
  <r>
    <s v="TRIP01042"/>
    <x v="290"/>
    <x v="0"/>
    <s v="Bangalore"/>
    <n v="23.05"/>
    <d v="1900-03-19T09:36:00"/>
    <n v="232.2"/>
    <n v="1"/>
    <n v="232.2"/>
    <n v="3.7"/>
    <x v="3"/>
    <x v="3"/>
  </r>
  <r>
    <s v="TRIP01043"/>
    <x v="181"/>
    <x v="4"/>
    <s v="Kolkata"/>
    <n v="26.12"/>
    <d v="1900-04-06T18:28:48"/>
    <n v="370.47"/>
    <n v="2"/>
    <n v="740.94"/>
    <n v="3.5"/>
    <x v="3"/>
    <x v="2"/>
  </r>
  <r>
    <s v="TRIP01044"/>
    <x v="70"/>
    <x v="2"/>
    <s v="Chennai"/>
    <n v="21.78"/>
    <d v="1900-02-27T04:19:12"/>
    <n v="276.13"/>
    <n v="1"/>
    <n v="276.13"/>
    <n v="4.5999999999999996"/>
    <x v="2"/>
    <x v="1"/>
  </r>
  <r>
    <s v="TRIP01045"/>
    <x v="252"/>
    <x v="1"/>
    <s v="Bangalore"/>
    <n v="22.65"/>
    <d v="1900-02-13T20:52:48"/>
    <n v="372.48"/>
    <n v="2"/>
    <n v="744.96"/>
    <n v="3.6"/>
    <x v="2"/>
    <x v="2"/>
  </r>
  <r>
    <s v="TRIP01046"/>
    <x v="247"/>
    <x v="2"/>
    <s v="Chennai"/>
    <n v="19.43"/>
    <d v="1900-03-17T10:48:00"/>
    <n v="345.41"/>
    <n v="1.2"/>
    <n v="414.49"/>
    <n v="3.7"/>
    <x v="3"/>
    <x v="1"/>
  </r>
  <r>
    <s v="TRIP01047"/>
    <x v="126"/>
    <x v="1"/>
    <s v="Chennai"/>
    <n v="26.12"/>
    <d v="1900-03-15T10:33:36"/>
    <n v="297"/>
    <n v="1.5"/>
    <n v="445.5"/>
    <n v="3.6"/>
    <x v="4"/>
    <x v="1"/>
  </r>
  <r>
    <s v="TRIP01048"/>
    <x v="300"/>
    <x v="4"/>
    <s v="Kolkata"/>
    <n v="27.38"/>
    <d v="1900-04-10T09:36:00"/>
    <n v="288.19"/>
    <n v="1"/>
    <n v="288.19"/>
    <n v="4.3"/>
    <x v="3"/>
    <x v="2"/>
  </r>
  <r>
    <s v="TRIP01049"/>
    <x v="251"/>
    <x v="1"/>
    <s v="Bangalore"/>
    <n v="16.41"/>
    <d v="1900-02-15T20:24:00"/>
    <n v="229.21"/>
    <n v="1.2"/>
    <n v="275.05"/>
    <n v="4.0999999999999996"/>
    <x v="0"/>
    <x v="3"/>
  </r>
  <r>
    <s v="TRIP01050"/>
    <x v="214"/>
    <x v="3"/>
    <s v="Chennai"/>
    <n v="1.06"/>
    <d v="1900-01-01T16:04:48"/>
    <n v="16.09"/>
    <n v="1.2"/>
    <n v="19.309999999999999"/>
    <n v="4.8"/>
    <x v="4"/>
    <x v="3"/>
  </r>
  <r>
    <s v="TRIP01051"/>
    <x v="267"/>
    <x v="2"/>
    <s v="Mumbai"/>
    <n v="16.86"/>
    <d v="1900-02-25T19:26:24"/>
    <n v="243.56"/>
    <n v="1.5"/>
    <n v="365.34"/>
    <n v="3.5"/>
    <x v="3"/>
    <x v="0"/>
  </r>
  <r>
    <s v="TRIP01052"/>
    <x v="325"/>
    <x v="1"/>
    <s v="Chennai"/>
    <n v="9.6"/>
    <d v="1900-02-05T01:12:00"/>
    <n v="107.96"/>
    <n v="2"/>
    <n v="215.92"/>
    <n v="3.6"/>
    <x v="4"/>
    <x v="2"/>
  </r>
  <r>
    <s v="TRIP01053"/>
    <x v="193"/>
    <x v="1"/>
    <s v="Kolkata"/>
    <n v="9.64"/>
    <d v="1900-01-27T01:12:00"/>
    <n v="112.17"/>
    <n v="1.5"/>
    <n v="168.26"/>
    <n v="3.2"/>
    <x v="4"/>
    <x v="0"/>
  </r>
  <r>
    <s v="TRIP01054"/>
    <x v="108"/>
    <x v="4"/>
    <s v="Delhi"/>
    <n v="9.75"/>
    <d v="1900-02-05T00:57:36"/>
    <n v="158.77000000000001"/>
    <n v="1.5"/>
    <n v="238.16"/>
    <n v="4.3"/>
    <x v="4"/>
    <x v="3"/>
  </r>
  <r>
    <s v="TRIP01055"/>
    <x v="43"/>
    <x v="3"/>
    <s v="Delhi"/>
    <n v="15.49"/>
    <d v="1900-02-22T16:04:48"/>
    <n v="196.03"/>
    <n v="1.2"/>
    <n v="235.24"/>
    <n v="4.0999999999999996"/>
    <x v="4"/>
    <x v="1"/>
  </r>
  <r>
    <s v="TRIP01056"/>
    <x v="337"/>
    <x v="4"/>
    <s v="Delhi"/>
    <n v="19.53"/>
    <d v="1900-02-10T05:45:36"/>
    <n v="280.26"/>
    <n v="1.5"/>
    <n v="420.39"/>
    <n v="3.6"/>
    <x v="3"/>
    <x v="2"/>
  </r>
  <r>
    <s v="TRIP01057"/>
    <x v="217"/>
    <x v="4"/>
    <s v="Bangalore"/>
    <n v="4.87"/>
    <d v="1900-01-15T11:31:12"/>
    <n v="87.42"/>
    <n v="1"/>
    <n v="87.42"/>
    <n v="3.2"/>
    <x v="1"/>
    <x v="2"/>
  </r>
  <r>
    <s v="TRIP01058"/>
    <x v="288"/>
    <x v="0"/>
    <s v="Chennai"/>
    <n v="5.22"/>
    <d v="1900-01-18T14:24:00"/>
    <n v="79.77"/>
    <n v="1"/>
    <n v="79.77"/>
    <n v="3.5"/>
    <x v="1"/>
    <x v="3"/>
  </r>
  <r>
    <s v="TRIP01059"/>
    <x v="338"/>
    <x v="3"/>
    <s v="Chennai"/>
    <n v="19.84"/>
    <d v="1900-03-14T02:52:48"/>
    <n v="362.71"/>
    <n v="2"/>
    <n v="725.42"/>
    <n v="4.3"/>
    <x v="0"/>
    <x v="1"/>
  </r>
  <r>
    <s v="TRIP01060"/>
    <x v="50"/>
    <x v="1"/>
    <s v="Kolkata"/>
    <n v="4.26"/>
    <d v="1900-01-07T22:33:36"/>
    <n v="53.57"/>
    <n v="1.2"/>
    <n v="64.28"/>
    <n v="4.8"/>
    <x v="4"/>
    <x v="3"/>
  </r>
  <r>
    <s v="TRIP01061"/>
    <x v="67"/>
    <x v="2"/>
    <s v="Kolkata"/>
    <n v="12.17"/>
    <d v="1900-02-15T06:57:36"/>
    <n v="195.98"/>
    <n v="1.5"/>
    <n v="293.97000000000003"/>
    <n v="3.9"/>
    <x v="4"/>
    <x v="2"/>
  </r>
  <r>
    <s v="TRIP01062"/>
    <x v="16"/>
    <x v="4"/>
    <s v="Mumbai"/>
    <n v="4.26"/>
    <d v="1900-01-13T18:57:36"/>
    <n v="54.32"/>
    <n v="1"/>
    <n v="54.32"/>
    <n v="3.3"/>
    <x v="3"/>
    <x v="1"/>
  </r>
  <r>
    <s v="TRIP01063"/>
    <x v="121"/>
    <x v="1"/>
    <s v="Bangalore"/>
    <n v="29.93"/>
    <d v="1900-03-15T15:21:36"/>
    <n v="382.84"/>
    <n v="2"/>
    <n v="765.68"/>
    <n v="4.3"/>
    <x v="0"/>
    <x v="0"/>
  </r>
  <r>
    <s v="TRIP01064"/>
    <x v="288"/>
    <x v="1"/>
    <s v="Bangalore"/>
    <n v="21.2"/>
    <d v="1900-03-13T03:36:00"/>
    <n v="389.31"/>
    <n v="1.5"/>
    <n v="583.96"/>
    <n v="3.7"/>
    <x v="0"/>
    <x v="3"/>
  </r>
  <r>
    <s v="TRIP01065"/>
    <x v="91"/>
    <x v="4"/>
    <s v="Delhi"/>
    <n v="2.89"/>
    <d v="1900-01-09T12:43:12"/>
    <n v="47.58"/>
    <n v="1"/>
    <n v="47.58"/>
    <n v="4"/>
    <x v="4"/>
    <x v="0"/>
  </r>
  <r>
    <s v="TRIP01066"/>
    <x v="130"/>
    <x v="4"/>
    <s v="Bangalore"/>
    <n v="19.86"/>
    <d v="1900-03-18T17:45:36"/>
    <n v="379.69"/>
    <n v="1.2"/>
    <n v="455.63"/>
    <n v="4.2"/>
    <x v="2"/>
    <x v="0"/>
  </r>
  <r>
    <s v="TRIP01067"/>
    <x v="225"/>
    <x v="1"/>
    <s v="Delhi"/>
    <n v="11.51"/>
    <d v="1900-02-10T00:57:36"/>
    <n v="195.84"/>
    <n v="2"/>
    <n v="391.68"/>
    <n v="4.7"/>
    <x v="0"/>
    <x v="2"/>
  </r>
  <r>
    <s v="TRIP01068"/>
    <x v="7"/>
    <x v="2"/>
    <s v="Chennai"/>
    <n v="13.38"/>
    <d v="1900-02-07T07:26:24"/>
    <n v="258.04000000000002"/>
    <n v="1.2"/>
    <n v="309.64999999999998"/>
    <n v="3.6"/>
    <x v="3"/>
    <x v="3"/>
  </r>
  <r>
    <s v="TRIP01069"/>
    <x v="148"/>
    <x v="1"/>
    <s v="Bangalore"/>
    <n v="16.23"/>
    <d v="1900-02-02T14:24:00"/>
    <n v="320.14999999999998"/>
    <n v="1"/>
    <n v="320.14999999999998"/>
    <n v="5"/>
    <x v="4"/>
    <x v="2"/>
  </r>
  <r>
    <s v="TRIP01070"/>
    <x v="125"/>
    <x v="1"/>
    <s v="Bangalore"/>
    <n v="20.79"/>
    <d v="1900-03-09T02:52:48"/>
    <n v="356.62"/>
    <n v="2"/>
    <n v="713.24"/>
    <n v="3.1"/>
    <x v="2"/>
    <x v="1"/>
  </r>
  <r>
    <s v="TRIP01071"/>
    <x v="124"/>
    <x v="2"/>
    <s v="Chennai"/>
    <n v="4.63"/>
    <d v="1900-01-14T07:55:12"/>
    <n v="48.14"/>
    <n v="1"/>
    <n v="48.14"/>
    <n v="3.3"/>
    <x v="0"/>
    <x v="0"/>
  </r>
  <r>
    <s v="TRIP01072"/>
    <x v="281"/>
    <x v="4"/>
    <s v="Delhi"/>
    <n v="26.83"/>
    <d v="1900-03-17T18:14:24"/>
    <n v="391.53"/>
    <n v="1"/>
    <n v="391.53"/>
    <n v="4.7"/>
    <x v="4"/>
    <x v="1"/>
  </r>
  <r>
    <s v="TRIP01073"/>
    <x v="164"/>
    <x v="2"/>
    <s v="Delhi"/>
    <n v="24.82"/>
    <d v="1900-03-01T18:43:12"/>
    <n v="352.77"/>
    <n v="1.2"/>
    <n v="423.32"/>
    <n v="4.9000000000000004"/>
    <x v="2"/>
    <x v="2"/>
  </r>
  <r>
    <s v="TRIP01074"/>
    <x v="8"/>
    <x v="3"/>
    <s v="Bangalore"/>
    <n v="13.94"/>
    <d v="1900-02-14T14:38:24"/>
    <n v="185.95"/>
    <n v="2"/>
    <n v="371.9"/>
    <n v="4.8"/>
    <x v="2"/>
    <x v="1"/>
  </r>
  <r>
    <s v="TRIP01075"/>
    <x v="236"/>
    <x v="4"/>
    <s v="Mumbai"/>
    <n v="23.04"/>
    <d v="1900-02-16T07:55:12"/>
    <n v="424.8"/>
    <n v="1.5"/>
    <n v="637.20000000000005"/>
    <n v="4.3"/>
    <x v="2"/>
    <x v="1"/>
  </r>
  <r>
    <s v="TRIP01076"/>
    <x v="254"/>
    <x v="2"/>
    <s v="Chennai"/>
    <n v="16.850000000000001"/>
    <d v="1900-02-04T18:43:12"/>
    <n v="295.99"/>
    <n v="1"/>
    <n v="295.99"/>
    <n v="4.5"/>
    <x v="1"/>
    <x v="1"/>
  </r>
  <r>
    <s v="TRIP01077"/>
    <x v="195"/>
    <x v="3"/>
    <s v="Chennai"/>
    <n v="6.46"/>
    <d v="1900-01-14T07:12:00"/>
    <n v="68.28"/>
    <n v="1.5"/>
    <n v="102.42"/>
    <n v="3.8"/>
    <x v="2"/>
    <x v="1"/>
  </r>
  <r>
    <s v="TRIP01078"/>
    <x v="254"/>
    <x v="3"/>
    <s v="Kolkata"/>
    <n v="1.51"/>
    <d v="1900-01-02T04:04:48"/>
    <n v="23.75"/>
    <n v="1.2"/>
    <n v="28.5"/>
    <n v="5"/>
    <x v="0"/>
    <x v="0"/>
  </r>
  <r>
    <s v="TRIP01079"/>
    <x v="287"/>
    <x v="0"/>
    <s v="Bangalore"/>
    <n v="9.24"/>
    <d v="1900-02-04T20:38:24"/>
    <n v="181.71"/>
    <n v="1"/>
    <n v="181.71"/>
    <n v="4.5"/>
    <x v="1"/>
    <x v="2"/>
  </r>
  <r>
    <s v="TRIP01080"/>
    <x v="219"/>
    <x v="2"/>
    <s v="Chennai"/>
    <n v="21.75"/>
    <d v="1900-03-13T09:07:12"/>
    <n v="411.75"/>
    <n v="1.2"/>
    <n v="494.1"/>
    <n v="3.7"/>
    <x v="0"/>
    <x v="0"/>
  </r>
  <r>
    <s v="TRIP01081"/>
    <x v="85"/>
    <x v="4"/>
    <s v="Delhi"/>
    <n v="21.12"/>
    <d v="1900-02-23T03:50:24"/>
    <n v="371.55"/>
    <n v="1.5"/>
    <n v="557.33000000000004"/>
    <n v="4.9000000000000004"/>
    <x v="4"/>
    <x v="1"/>
  </r>
  <r>
    <s v="TRIP01082"/>
    <x v="79"/>
    <x v="2"/>
    <s v="Chennai"/>
    <n v="15.87"/>
    <d v="1900-02-10T15:21:36"/>
    <n v="210.84"/>
    <n v="1.2"/>
    <n v="253.01"/>
    <n v="4.2"/>
    <x v="2"/>
    <x v="1"/>
  </r>
  <r>
    <s v="TRIP01083"/>
    <x v="31"/>
    <x v="2"/>
    <s v="Mumbai"/>
    <n v="23.53"/>
    <d v="1900-02-18T09:21:36"/>
    <n v="390.69"/>
    <n v="1.2"/>
    <n v="468.83"/>
    <n v="3.1"/>
    <x v="4"/>
    <x v="3"/>
  </r>
  <r>
    <s v="TRIP01084"/>
    <x v="299"/>
    <x v="0"/>
    <s v="Delhi"/>
    <n v="15.42"/>
    <d v="1900-02-28T03:36:00"/>
    <n v="200.45"/>
    <n v="1"/>
    <n v="200.45"/>
    <n v="3.6"/>
    <x v="0"/>
    <x v="1"/>
  </r>
  <r>
    <s v="TRIP01085"/>
    <x v="246"/>
    <x v="1"/>
    <s v="Bangalore"/>
    <n v="1.97"/>
    <d v="1900-01-05T05:16:48"/>
    <n v="22.98"/>
    <n v="1.2"/>
    <n v="27.58"/>
    <n v="4.5"/>
    <x v="4"/>
    <x v="3"/>
  </r>
  <r>
    <s v="TRIP01086"/>
    <x v="300"/>
    <x v="3"/>
    <s v="Delhi"/>
    <n v="7.83"/>
    <d v="1900-01-22T09:36:00"/>
    <n v="149.93"/>
    <n v="1"/>
    <n v="149.93"/>
    <n v="3"/>
    <x v="2"/>
    <x v="3"/>
  </r>
  <r>
    <s v="TRIP01087"/>
    <x v="17"/>
    <x v="0"/>
    <s v="Chennai"/>
    <n v="29.31"/>
    <d v="1900-03-11T15:36:00"/>
    <n v="354.1"/>
    <n v="1.5"/>
    <n v="531.15"/>
    <n v="4.3"/>
    <x v="4"/>
    <x v="1"/>
  </r>
  <r>
    <s v="TRIP01088"/>
    <x v="180"/>
    <x v="2"/>
    <s v="Mumbai"/>
    <n v="5.55"/>
    <d v="1900-01-17T16:33:36"/>
    <n v="88.45"/>
    <n v="1.5"/>
    <n v="132.68"/>
    <n v="4"/>
    <x v="4"/>
    <x v="1"/>
  </r>
  <r>
    <s v="TRIP01089"/>
    <x v="210"/>
    <x v="3"/>
    <s v="Bangalore"/>
    <n v="13.99"/>
    <d v="1900-02-07T07:55:12"/>
    <n v="277.57"/>
    <n v="1.2"/>
    <n v="333.08"/>
    <n v="5"/>
    <x v="4"/>
    <x v="2"/>
  </r>
  <r>
    <s v="TRIP01090"/>
    <x v="241"/>
    <x v="3"/>
    <s v="Kolkata"/>
    <n v="11.28"/>
    <d v="1900-02-03T07:12:00"/>
    <n v="141.26"/>
    <n v="1.5"/>
    <n v="211.89"/>
    <n v="3.5"/>
    <x v="1"/>
    <x v="2"/>
  </r>
  <r>
    <s v="TRIP01091"/>
    <x v="220"/>
    <x v="1"/>
    <s v="Bangalore"/>
    <n v="26.98"/>
    <d v="1900-02-27T12:57:36"/>
    <n v="446.94"/>
    <n v="1"/>
    <n v="446.94"/>
    <n v="4.2"/>
    <x v="3"/>
    <x v="2"/>
  </r>
  <r>
    <s v="TRIP01092"/>
    <x v="227"/>
    <x v="0"/>
    <s v="Delhi"/>
    <n v="16.82"/>
    <d v="1900-02-24T15:36:00"/>
    <n v="200.2"/>
    <n v="1"/>
    <n v="200.2"/>
    <n v="3.6"/>
    <x v="1"/>
    <x v="0"/>
  </r>
  <r>
    <s v="TRIP01093"/>
    <x v="327"/>
    <x v="1"/>
    <s v="Mumbai"/>
    <n v="3.06"/>
    <d v="1900-01-10T03:07:12"/>
    <n v="40.869999999999997"/>
    <n v="1.5"/>
    <n v="61.3"/>
    <n v="3.2"/>
    <x v="1"/>
    <x v="0"/>
  </r>
  <r>
    <s v="TRIP01094"/>
    <x v="176"/>
    <x v="1"/>
    <s v="Mumbai"/>
    <n v="15.88"/>
    <d v="1900-02-03T04:04:48"/>
    <n v="226.05"/>
    <n v="2"/>
    <n v="452.1"/>
    <n v="4.3"/>
    <x v="1"/>
    <x v="2"/>
  </r>
  <r>
    <s v="TRIP01095"/>
    <x v="80"/>
    <x v="3"/>
    <s v="Chennai"/>
    <n v="3.83"/>
    <d v="1900-01-07T22:33:36"/>
    <n v="73.680000000000007"/>
    <n v="1"/>
    <n v="73.680000000000007"/>
    <n v="3.3"/>
    <x v="4"/>
    <x v="3"/>
  </r>
  <r>
    <s v="TRIP01096"/>
    <x v="339"/>
    <x v="3"/>
    <s v="Kolkata"/>
    <n v="11.61"/>
    <d v="1900-01-27T13:12:00"/>
    <n v="141.44"/>
    <n v="2"/>
    <n v="282.88"/>
    <n v="4.3"/>
    <x v="1"/>
    <x v="2"/>
  </r>
  <r>
    <s v="TRIP01097"/>
    <x v="121"/>
    <x v="2"/>
    <s v="Kolkata"/>
    <n v="3.98"/>
    <d v="1900-01-08T07:55:12"/>
    <n v="56.95"/>
    <n v="2"/>
    <n v="113.9"/>
    <n v="4.0999999999999996"/>
    <x v="3"/>
    <x v="1"/>
  </r>
  <r>
    <s v="TRIP01098"/>
    <x v="287"/>
    <x v="0"/>
    <s v="Kolkata"/>
    <n v="13.32"/>
    <d v="1900-02-03T17:45:36"/>
    <n v="157.63"/>
    <n v="2"/>
    <n v="315.26"/>
    <n v="4.3"/>
    <x v="1"/>
    <x v="2"/>
  </r>
  <r>
    <s v="TRIP01099"/>
    <x v="179"/>
    <x v="1"/>
    <s v="Mumbai"/>
    <n v="20.88"/>
    <d v="1900-02-19T05:02:24"/>
    <n v="236.32"/>
    <n v="1.5"/>
    <n v="354.48"/>
    <n v="4.5999999999999996"/>
    <x v="3"/>
    <x v="0"/>
  </r>
  <r>
    <s v="TRIP01100"/>
    <x v="20"/>
    <x v="1"/>
    <s v="Kolkata"/>
    <n v="7.48"/>
    <d v="1900-01-26T18:43:12"/>
    <n v="135.91999999999999"/>
    <n v="2"/>
    <n v="271.83999999999997"/>
    <n v="4.3"/>
    <x v="4"/>
    <x v="0"/>
  </r>
  <r>
    <s v="TRIP01101"/>
    <x v="117"/>
    <x v="2"/>
    <s v="Kolkata"/>
    <n v="13.7"/>
    <d v="1900-02-03T21:36:00"/>
    <n v="241.41"/>
    <n v="1.2"/>
    <n v="289.69"/>
    <n v="3.9"/>
    <x v="1"/>
    <x v="0"/>
  </r>
  <r>
    <s v="TRIP01102"/>
    <x v="126"/>
    <x v="0"/>
    <s v="Bangalore"/>
    <n v="6.07"/>
    <d v="1900-01-21T18:14:24"/>
    <n v="105.46"/>
    <n v="1"/>
    <n v="105.46"/>
    <n v="3.9"/>
    <x v="2"/>
    <x v="2"/>
  </r>
  <r>
    <s v="TRIP01103"/>
    <x v="159"/>
    <x v="3"/>
    <s v="Kolkata"/>
    <n v="8.77"/>
    <d v="1900-02-01T12:57:36"/>
    <n v="143.22999999999999"/>
    <n v="1.2"/>
    <n v="171.88"/>
    <n v="3.7"/>
    <x v="1"/>
    <x v="3"/>
  </r>
  <r>
    <s v="TRIP01104"/>
    <x v="36"/>
    <x v="4"/>
    <s v="Kolkata"/>
    <n v="23.95"/>
    <d v="1900-03-20T12:00:00"/>
    <n v="311.24"/>
    <n v="1.2"/>
    <n v="373.49"/>
    <n v="3.3"/>
    <x v="0"/>
    <x v="2"/>
  </r>
  <r>
    <s v="TRIP01105"/>
    <x v="222"/>
    <x v="3"/>
    <s v="Kolkata"/>
    <n v="27.05"/>
    <d v="1900-04-13T17:02:24"/>
    <n v="535.54"/>
    <n v="1.2"/>
    <n v="642.65"/>
    <n v="4.2"/>
    <x v="3"/>
    <x v="2"/>
  </r>
  <r>
    <s v="TRIP01106"/>
    <x v="173"/>
    <x v="3"/>
    <s v="Bangalore"/>
    <n v="2.34"/>
    <d v="1900-01-06T09:21:36"/>
    <n v="44.75"/>
    <n v="2"/>
    <n v="89.5"/>
    <n v="4.5999999999999996"/>
    <x v="3"/>
    <x v="0"/>
  </r>
  <r>
    <s v="TRIP01107"/>
    <x v="259"/>
    <x v="4"/>
    <s v="Mumbai"/>
    <n v="7.13"/>
    <d v="1900-01-17T00:57:36"/>
    <n v="118.56"/>
    <n v="2"/>
    <n v="237.12"/>
    <n v="3.5"/>
    <x v="3"/>
    <x v="3"/>
  </r>
  <r>
    <s v="TRIP01108"/>
    <x v="190"/>
    <x v="2"/>
    <s v="Kolkata"/>
    <n v="15.58"/>
    <d v="1900-02-23T22:33:36"/>
    <n v="176.95"/>
    <n v="1.5"/>
    <n v="265.42"/>
    <n v="3.7"/>
    <x v="2"/>
    <x v="3"/>
  </r>
  <r>
    <s v="TRIP01109"/>
    <x v="340"/>
    <x v="1"/>
    <s v="Chennai"/>
    <n v="5.75"/>
    <d v="1900-01-13T22:33:36"/>
    <n v="63.26"/>
    <n v="2"/>
    <n v="126.52"/>
    <n v="4.5999999999999996"/>
    <x v="0"/>
    <x v="1"/>
  </r>
  <r>
    <s v="TRIP01110"/>
    <x v="331"/>
    <x v="2"/>
    <s v="Bangalore"/>
    <n v="8.56"/>
    <d v="1900-01-17T16:48:00"/>
    <n v="119.79"/>
    <n v="1.5"/>
    <n v="179.68"/>
    <n v="4.3"/>
    <x v="2"/>
    <x v="0"/>
  </r>
  <r>
    <s v="TRIP01111"/>
    <x v="132"/>
    <x v="1"/>
    <s v="Chennai"/>
    <n v="21.56"/>
    <d v="1900-03-22T04:33:36"/>
    <n v="245.3"/>
    <n v="1.5"/>
    <n v="367.95"/>
    <n v="3.6"/>
    <x v="4"/>
    <x v="1"/>
  </r>
  <r>
    <s v="TRIP01112"/>
    <x v="145"/>
    <x v="0"/>
    <s v="Kolkata"/>
    <n v="2.64"/>
    <d v="1900-01-04T22:04:48"/>
    <n v="41.73"/>
    <n v="1.2"/>
    <n v="50.08"/>
    <n v="3.5"/>
    <x v="2"/>
    <x v="2"/>
  </r>
  <r>
    <s v="TRIP01113"/>
    <x v="317"/>
    <x v="0"/>
    <s v="Kolkata"/>
    <n v="25.45"/>
    <d v="1900-03-13T14:24:00"/>
    <n v="434.83"/>
    <n v="2"/>
    <n v="869.66"/>
    <n v="5"/>
    <x v="1"/>
    <x v="1"/>
  </r>
  <r>
    <s v="TRIP01114"/>
    <x v="291"/>
    <x v="2"/>
    <s v="Delhi"/>
    <n v="19.48"/>
    <d v="1900-02-09T17:02:24"/>
    <n v="265.23"/>
    <n v="1.5"/>
    <n v="397.84"/>
    <n v="3.6"/>
    <x v="1"/>
    <x v="1"/>
  </r>
  <r>
    <s v="TRIP01115"/>
    <x v="205"/>
    <x v="0"/>
    <s v="Delhi"/>
    <n v="14.76"/>
    <d v="1900-02-21T14:38:24"/>
    <n v="211.37"/>
    <n v="1.5"/>
    <n v="317.06"/>
    <n v="3.8"/>
    <x v="0"/>
    <x v="3"/>
  </r>
  <r>
    <s v="TRIP01116"/>
    <x v="160"/>
    <x v="4"/>
    <s v="Delhi"/>
    <n v="26.71"/>
    <d v="1900-03-15T08:52:48"/>
    <n v="428.51"/>
    <n v="1.5"/>
    <n v="642.76"/>
    <n v="4.8"/>
    <x v="1"/>
    <x v="1"/>
  </r>
  <r>
    <s v="TRIP01117"/>
    <x v="159"/>
    <x v="1"/>
    <s v="Kolkata"/>
    <n v="5.19"/>
    <d v="1900-01-10T08:24:00"/>
    <n v="52.77"/>
    <n v="1.2"/>
    <n v="63.32"/>
    <n v="3.6"/>
    <x v="1"/>
    <x v="3"/>
  </r>
  <r>
    <s v="TRIP01118"/>
    <x v="136"/>
    <x v="3"/>
    <s v="Kolkata"/>
    <n v="11.01"/>
    <d v="1900-01-24T19:40:48"/>
    <n v="178.58"/>
    <n v="1.2"/>
    <n v="214.3"/>
    <n v="3.3"/>
    <x v="2"/>
    <x v="0"/>
  </r>
  <r>
    <s v="TRIP01119"/>
    <x v="341"/>
    <x v="1"/>
    <s v="Kolkata"/>
    <n v="6.58"/>
    <d v="1900-01-21T14:24:00"/>
    <n v="109.51"/>
    <n v="1.5"/>
    <n v="164.26"/>
    <n v="4.5"/>
    <x v="2"/>
    <x v="0"/>
  </r>
  <r>
    <s v="TRIP01120"/>
    <x v="153"/>
    <x v="3"/>
    <s v="Delhi"/>
    <n v="21"/>
    <d v="1900-03-21T17:02:24"/>
    <n v="342.75"/>
    <n v="1.5"/>
    <n v="514.12"/>
    <n v="3.9"/>
    <x v="0"/>
    <x v="3"/>
  </r>
  <r>
    <s v="TRIP01121"/>
    <x v="4"/>
    <x v="1"/>
    <s v="Delhi"/>
    <n v="22.77"/>
    <d v="1900-03-19T12:43:12"/>
    <n v="260.83"/>
    <n v="1"/>
    <n v="260.83"/>
    <n v="4.5"/>
    <x v="0"/>
    <x v="0"/>
  </r>
  <r>
    <s v="TRIP01122"/>
    <x v="333"/>
    <x v="2"/>
    <s v="Chennai"/>
    <n v="24.58"/>
    <d v="1900-03-18T02:09:36"/>
    <n v="297.61"/>
    <n v="1"/>
    <n v="297.61"/>
    <n v="3.9"/>
    <x v="1"/>
    <x v="2"/>
  </r>
  <r>
    <s v="TRIP01123"/>
    <x v="64"/>
    <x v="0"/>
    <s v="Bangalore"/>
    <n v="13.05"/>
    <d v="1900-01-31T20:09:36"/>
    <n v="243.65"/>
    <n v="1"/>
    <n v="243.65"/>
    <n v="4.0999999999999996"/>
    <x v="1"/>
    <x v="1"/>
  </r>
  <r>
    <s v="TRIP01124"/>
    <x v="203"/>
    <x v="2"/>
    <s v="Chennai"/>
    <n v="15.15"/>
    <d v="1900-02-04T11:45:36"/>
    <n v="246.46"/>
    <n v="2"/>
    <n v="492.92"/>
    <n v="4.4000000000000004"/>
    <x v="2"/>
    <x v="3"/>
  </r>
  <r>
    <s v="TRIP01125"/>
    <x v="149"/>
    <x v="0"/>
    <s v="Chennai"/>
    <n v="13.8"/>
    <d v="1900-01-30T05:02:24"/>
    <n v="178.16"/>
    <n v="1.2"/>
    <n v="213.79"/>
    <n v="4.5999999999999996"/>
    <x v="4"/>
    <x v="2"/>
  </r>
  <r>
    <s v="TRIP01126"/>
    <x v="93"/>
    <x v="3"/>
    <s v="Bangalore"/>
    <n v="1.02"/>
    <d v="1900-01-02T06:00:00"/>
    <n v="17.54"/>
    <n v="2"/>
    <n v="35.08"/>
    <n v="3.4"/>
    <x v="3"/>
    <x v="0"/>
  </r>
  <r>
    <s v="TRIP01127"/>
    <x v="139"/>
    <x v="0"/>
    <s v="Mumbai"/>
    <n v="7.31"/>
    <d v="1900-01-17T06:43:12"/>
    <n v="133.9"/>
    <n v="1.2"/>
    <n v="160.68"/>
    <n v="4.9000000000000004"/>
    <x v="0"/>
    <x v="3"/>
  </r>
  <r>
    <s v="TRIP01128"/>
    <x v="264"/>
    <x v="0"/>
    <s v="Bangalore"/>
    <n v="19.309999999999999"/>
    <d v="1900-02-27T14:09:36"/>
    <n v="218.08"/>
    <n v="1.5"/>
    <n v="327.12"/>
    <n v="3.3"/>
    <x v="3"/>
    <x v="2"/>
  </r>
  <r>
    <s v="TRIP01129"/>
    <x v="54"/>
    <x v="0"/>
    <s v="Mumbai"/>
    <n v="19.07"/>
    <d v="1900-02-23T04:19:12"/>
    <n v="339.06"/>
    <n v="1.5"/>
    <n v="508.59"/>
    <n v="3.1"/>
    <x v="0"/>
    <x v="1"/>
  </r>
  <r>
    <s v="TRIP01130"/>
    <x v="274"/>
    <x v="3"/>
    <s v="Delhi"/>
    <n v="12.78"/>
    <d v="1900-02-17T05:45:36"/>
    <n v="218.59"/>
    <n v="1.2"/>
    <n v="262.31"/>
    <n v="3.3"/>
    <x v="2"/>
    <x v="3"/>
  </r>
  <r>
    <s v="TRIP01131"/>
    <x v="154"/>
    <x v="0"/>
    <s v="Chennai"/>
    <n v="3.44"/>
    <d v="1900-01-12T15:36:00"/>
    <n v="57.32"/>
    <n v="2"/>
    <n v="114.64"/>
    <n v="4.3"/>
    <x v="1"/>
    <x v="1"/>
  </r>
  <r>
    <s v="TRIP01132"/>
    <x v="279"/>
    <x v="4"/>
    <s v="Kolkata"/>
    <n v="13.47"/>
    <d v="1900-02-03T04:48:00"/>
    <n v="264.31"/>
    <n v="1.5"/>
    <n v="396.46"/>
    <n v="3.5"/>
    <x v="2"/>
    <x v="3"/>
  </r>
  <r>
    <s v="TRIP01133"/>
    <x v="110"/>
    <x v="3"/>
    <s v="Bangalore"/>
    <n v="14.91"/>
    <d v="1900-02-26T19:55:12"/>
    <n v="149.83000000000001"/>
    <n v="1"/>
    <n v="149.83000000000001"/>
    <n v="4.8"/>
    <x v="0"/>
    <x v="2"/>
  </r>
  <r>
    <s v="TRIP01134"/>
    <x v="317"/>
    <x v="0"/>
    <s v="Delhi"/>
    <n v="15.77"/>
    <d v="1900-01-31T07:40:48"/>
    <n v="221.87"/>
    <n v="2"/>
    <n v="443.74"/>
    <n v="3.8"/>
    <x v="4"/>
    <x v="0"/>
  </r>
  <r>
    <s v="TRIP01135"/>
    <x v="233"/>
    <x v="1"/>
    <s v="Mumbai"/>
    <n v="29.88"/>
    <d v="1900-04-16T14:24:00"/>
    <n v="551.48"/>
    <n v="2"/>
    <n v="1102.96"/>
    <n v="3.6"/>
    <x v="3"/>
    <x v="1"/>
  </r>
  <r>
    <s v="TRIP01136"/>
    <x v="186"/>
    <x v="0"/>
    <s v="Chennai"/>
    <n v="7"/>
    <d v="1900-01-25T22:48:00"/>
    <n v="95.63"/>
    <n v="1"/>
    <n v="95.63"/>
    <n v="4.9000000000000004"/>
    <x v="4"/>
    <x v="3"/>
  </r>
  <r>
    <s v="TRIP01137"/>
    <x v="342"/>
    <x v="1"/>
    <s v="Chennai"/>
    <n v="9.68"/>
    <d v="1900-01-23T13:40:48"/>
    <n v="193.4"/>
    <n v="1.5"/>
    <n v="290.10000000000002"/>
    <n v="4.7"/>
    <x v="4"/>
    <x v="2"/>
  </r>
  <r>
    <s v="TRIP01138"/>
    <x v="278"/>
    <x v="1"/>
    <s v="Mumbai"/>
    <n v="29.43"/>
    <d v="1900-04-06T03:07:12"/>
    <n v="512.67999999999995"/>
    <n v="2"/>
    <n v="1025.3599999999999"/>
    <n v="3.1"/>
    <x v="0"/>
    <x v="3"/>
  </r>
  <r>
    <s v="TRIP01139"/>
    <x v="279"/>
    <x v="0"/>
    <s v="Chennai"/>
    <n v="19.36"/>
    <d v="1900-03-13T12:43:12"/>
    <n v="314.36"/>
    <n v="1"/>
    <n v="314.36"/>
    <n v="4.5999999999999996"/>
    <x v="2"/>
    <x v="1"/>
  </r>
  <r>
    <s v="TRIP01140"/>
    <x v="85"/>
    <x v="2"/>
    <s v="Chennai"/>
    <n v="28.47"/>
    <d v="1900-03-20T01:55:12"/>
    <n v="504.44"/>
    <n v="2"/>
    <n v="1008.88"/>
    <n v="3.2"/>
    <x v="0"/>
    <x v="2"/>
  </r>
  <r>
    <s v="TRIP01141"/>
    <x v="151"/>
    <x v="1"/>
    <s v="Mumbai"/>
    <n v="27.33"/>
    <d v="1900-02-27T10:33:36"/>
    <n v="529.24"/>
    <n v="2"/>
    <n v="1058.48"/>
    <n v="4.5999999999999996"/>
    <x v="4"/>
    <x v="0"/>
  </r>
  <r>
    <s v="TRIP01142"/>
    <x v="235"/>
    <x v="1"/>
    <s v="Delhi"/>
    <n v="16.72"/>
    <d v="1900-03-05T19:40:48"/>
    <n v="191.92"/>
    <n v="1"/>
    <n v="191.92"/>
    <n v="4.9000000000000004"/>
    <x v="3"/>
    <x v="2"/>
  </r>
  <r>
    <s v="TRIP01143"/>
    <x v="161"/>
    <x v="2"/>
    <s v="Chennai"/>
    <n v="17.46"/>
    <d v="1900-02-16T02:09:36"/>
    <n v="343.08"/>
    <n v="1.5"/>
    <n v="514.62"/>
    <n v="4.3"/>
    <x v="2"/>
    <x v="0"/>
  </r>
  <r>
    <s v="TRIP01144"/>
    <x v="24"/>
    <x v="1"/>
    <s v="Delhi"/>
    <n v="29.5"/>
    <d v="1900-03-30T15:36:00"/>
    <n v="443.28"/>
    <n v="1"/>
    <n v="443.28"/>
    <n v="3"/>
    <x v="1"/>
    <x v="1"/>
  </r>
  <r>
    <s v="TRIP01145"/>
    <x v="277"/>
    <x v="3"/>
    <s v="Chennai"/>
    <n v="1.42"/>
    <d v="1900-01-01T23:31:12"/>
    <n v="22.71"/>
    <n v="1.2"/>
    <n v="27.25"/>
    <n v="3"/>
    <x v="2"/>
    <x v="3"/>
  </r>
  <r>
    <s v="TRIP01146"/>
    <x v="236"/>
    <x v="0"/>
    <s v="Kolkata"/>
    <n v="14.33"/>
    <d v="1900-02-10T23:02:24"/>
    <n v="153.65"/>
    <n v="1.2"/>
    <n v="184.38"/>
    <n v="3.3"/>
    <x v="1"/>
    <x v="1"/>
  </r>
  <r>
    <s v="TRIP01147"/>
    <x v="270"/>
    <x v="2"/>
    <s v="Delhi"/>
    <n v="23.19"/>
    <d v="1900-03-08T21:21:36"/>
    <n v="266.54000000000002"/>
    <n v="1"/>
    <n v="266.54000000000002"/>
    <n v="4.0999999999999996"/>
    <x v="4"/>
    <x v="3"/>
  </r>
  <r>
    <s v="TRIP01148"/>
    <x v="124"/>
    <x v="4"/>
    <s v="Bangalore"/>
    <n v="26.3"/>
    <d v="1900-03-24T20:24:00"/>
    <n v="304.33999999999997"/>
    <n v="1.5"/>
    <n v="456.51"/>
    <n v="4.3"/>
    <x v="2"/>
    <x v="0"/>
  </r>
  <r>
    <s v="TRIP01149"/>
    <x v="110"/>
    <x v="4"/>
    <s v="Mumbai"/>
    <n v="3.11"/>
    <d v="1900-01-09T02:52:48"/>
    <n v="38.97"/>
    <n v="1.5"/>
    <n v="58.46"/>
    <n v="3.2"/>
    <x v="0"/>
    <x v="3"/>
  </r>
  <r>
    <s v="TRIP01150"/>
    <x v="2"/>
    <x v="2"/>
    <s v="Chennai"/>
    <n v="28.1"/>
    <d v="1900-03-07T19:26:24"/>
    <n v="487.54"/>
    <n v="1"/>
    <n v="487.54"/>
    <n v="3.3"/>
    <x v="3"/>
    <x v="1"/>
  </r>
  <r>
    <s v="TRIP01151"/>
    <x v="81"/>
    <x v="4"/>
    <s v="Mumbai"/>
    <n v="16.84"/>
    <d v="1900-02-04T16:33:36"/>
    <n v="238.79"/>
    <n v="1"/>
    <n v="238.79"/>
    <n v="3"/>
    <x v="3"/>
    <x v="1"/>
  </r>
  <r>
    <s v="TRIP01152"/>
    <x v="54"/>
    <x v="0"/>
    <s v="Kolkata"/>
    <n v="3.88"/>
    <d v="1900-01-07T11:02:24"/>
    <n v="48.99"/>
    <n v="1.5"/>
    <n v="73.48"/>
    <n v="3.9"/>
    <x v="1"/>
    <x v="2"/>
  </r>
  <r>
    <s v="TRIP01153"/>
    <x v="113"/>
    <x v="0"/>
    <s v="Bangalore"/>
    <n v="19.07"/>
    <d v="1900-02-19T17:16:48"/>
    <n v="341.15"/>
    <n v="2"/>
    <n v="682.3"/>
    <n v="3.2"/>
    <x v="1"/>
    <x v="2"/>
  </r>
  <r>
    <s v="TRIP01154"/>
    <x v="338"/>
    <x v="4"/>
    <s v="Kolkata"/>
    <n v="7.83"/>
    <d v="1900-01-25T20:09:36"/>
    <n v="146.71"/>
    <n v="1"/>
    <n v="146.71"/>
    <n v="3.8"/>
    <x v="0"/>
    <x v="3"/>
  </r>
  <r>
    <s v="TRIP01155"/>
    <x v="59"/>
    <x v="4"/>
    <s v="Mumbai"/>
    <n v="18.21"/>
    <d v="1900-02-09T01:12:00"/>
    <n v="259.95999999999998"/>
    <n v="2"/>
    <n v="519.91999999999996"/>
    <n v="3.2"/>
    <x v="2"/>
    <x v="3"/>
  </r>
  <r>
    <s v="TRIP01156"/>
    <x v="157"/>
    <x v="2"/>
    <s v="Mumbai"/>
    <n v="23.01"/>
    <d v="1900-02-18T21:21:36"/>
    <n v="346.56"/>
    <n v="1"/>
    <n v="346.56"/>
    <n v="3.4"/>
    <x v="3"/>
    <x v="0"/>
  </r>
  <r>
    <s v="TRIP01157"/>
    <x v="323"/>
    <x v="0"/>
    <s v="Mumbai"/>
    <n v="15.89"/>
    <d v="1900-03-01T23:31:12"/>
    <n v="244.02"/>
    <n v="2"/>
    <n v="488.04"/>
    <n v="4.2"/>
    <x v="0"/>
    <x v="2"/>
  </r>
  <r>
    <s v="TRIP01158"/>
    <x v="147"/>
    <x v="3"/>
    <s v="Chennai"/>
    <n v="15.3"/>
    <d v="1900-02-13T00:57:36"/>
    <n v="228.02"/>
    <n v="1.2"/>
    <n v="273.62"/>
    <n v="3.1"/>
    <x v="4"/>
    <x v="1"/>
  </r>
  <r>
    <s v="TRIP01159"/>
    <x v="135"/>
    <x v="1"/>
    <s v="Chennai"/>
    <n v="18.05"/>
    <d v="1900-03-09T20:09:36"/>
    <n v="311.55"/>
    <n v="1.5"/>
    <n v="467.33"/>
    <n v="3.5"/>
    <x v="1"/>
    <x v="3"/>
  </r>
  <r>
    <s v="TRIP01160"/>
    <x v="36"/>
    <x v="2"/>
    <s v="Bangalore"/>
    <n v="15.11"/>
    <d v="1900-02-08T07:26:24"/>
    <n v="167.24"/>
    <n v="1.2"/>
    <n v="200.69"/>
    <n v="4.5"/>
    <x v="3"/>
    <x v="2"/>
  </r>
  <r>
    <s v="TRIP01161"/>
    <x v="301"/>
    <x v="3"/>
    <s v="Chennai"/>
    <n v="9.85"/>
    <d v="1900-01-22T00:43:12"/>
    <n v="143.88"/>
    <n v="1.5"/>
    <n v="215.82"/>
    <n v="3.4"/>
    <x v="4"/>
    <x v="0"/>
  </r>
  <r>
    <s v="TRIP01162"/>
    <x v="260"/>
    <x v="1"/>
    <s v="Mumbai"/>
    <n v="10.37"/>
    <d v="1900-01-31T00:28:48"/>
    <n v="160.91"/>
    <n v="2"/>
    <n v="321.82"/>
    <n v="3.6"/>
    <x v="3"/>
    <x v="3"/>
  </r>
  <r>
    <s v="TRIP01163"/>
    <x v="6"/>
    <x v="3"/>
    <s v="Chennai"/>
    <n v="29"/>
    <d v="1900-03-19T21:21:36"/>
    <n v="364.89"/>
    <n v="1"/>
    <n v="364.89"/>
    <n v="4"/>
    <x v="2"/>
    <x v="1"/>
  </r>
  <r>
    <s v="TRIP01164"/>
    <x v="85"/>
    <x v="0"/>
    <s v="Bangalore"/>
    <n v="23.03"/>
    <d v="1900-02-23T13:12:00"/>
    <n v="393.65"/>
    <n v="1"/>
    <n v="393.65"/>
    <n v="3.5"/>
    <x v="0"/>
    <x v="0"/>
  </r>
  <r>
    <s v="TRIP01165"/>
    <x v="0"/>
    <x v="0"/>
    <s v="Delhi"/>
    <n v="10.82"/>
    <d v="1900-02-01T20:09:36"/>
    <n v="130.38"/>
    <n v="1.2"/>
    <n v="156.46"/>
    <n v="4.2"/>
    <x v="0"/>
    <x v="0"/>
  </r>
  <r>
    <s v="TRIP01166"/>
    <x v="146"/>
    <x v="4"/>
    <s v="Chennai"/>
    <n v="25.72"/>
    <d v="1900-03-01T15:21:36"/>
    <n v="482.1"/>
    <n v="1.2"/>
    <n v="578.52"/>
    <n v="4.5999999999999996"/>
    <x v="3"/>
    <x v="2"/>
  </r>
  <r>
    <s v="TRIP01167"/>
    <x v="165"/>
    <x v="4"/>
    <s v="Bangalore"/>
    <n v="10.26"/>
    <d v="1900-02-07T02:38:24"/>
    <n v="115.59"/>
    <n v="1"/>
    <n v="115.59"/>
    <n v="4"/>
    <x v="0"/>
    <x v="2"/>
  </r>
  <r>
    <s v="TRIP01168"/>
    <x v="343"/>
    <x v="1"/>
    <s v="Bangalore"/>
    <n v="4.58"/>
    <d v="1900-01-09T06:57:36"/>
    <n v="72.510000000000005"/>
    <n v="1.5"/>
    <n v="108.77"/>
    <n v="3.8"/>
    <x v="4"/>
    <x v="3"/>
  </r>
  <r>
    <s v="TRIP01169"/>
    <x v="273"/>
    <x v="2"/>
    <s v="Delhi"/>
    <n v="2"/>
    <d v="1900-01-03T12:14:24"/>
    <n v="38.29"/>
    <n v="1"/>
    <n v="38.29"/>
    <n v="4.3"/>
    <x v="2"/>
    <x v="0"/>
  </r>
  <r>
    <s v="TRIP01170"/>
    <x v="173"/>
    <x v="3"/>
    <s v="Chennai"/>
    <n v="2.1"/>
    <d v="1900-01-06T06:14:24"/>
    <n v="32.090000000000003"/>
    <n v="1.2"/>
    <n v="38.51"/>
    <n v="3.2"/>
    <x v="0"/>
    <x v="0"/>
  </r>
  <r>
    <s v="TRIP01171"/>
    <x v="247"/>
    <x v="1"/>
    <s v="Kolkata"/>
    <n v="12.12"/>
    <d v="1900-02-12T12:43:12"/>
    <n v="226.07"/>
    <n v="1.5"/>
    <n v="339.1"/>
    <n v="4"/>
    <x v="1"/>
    <x v="1"/>
  </r>
  <r>
    <s v="TRIP01172"/>
    <x v="138"/>
    <x v="4"/>
    <s v="Bangalore"/>
    <n v="4.34"/>
    <d v="1900-01-12T18:43:12"/>
    <n v="72.349999999999994"/>
    <n v="1"/>
    <n v="72.349999999999994"/>
    <n v="4.5"/>
    <x v="2"/>
    <x v="3"/>
  </r>
  <r>
    <s v="TRIP01173"/>
    <x v="136"/>
    <x v="4"/>
    <s v="Mumbai"/>
    <n v="6.65"/>
    <d v="1900-01-16T11:16:48"/>
    <n v="107.77"/>
    <n v="2"/>
    <n v="215.54"/>
    <n v="3.8"/>
    <x v="0"/>
    <x v="1"/>
  </r>
  <r>
    <s v="TRIP01174"/>
    <x v="280"/>
    <x v="2"/>
    <s v="Kolkata"/>
    <n v="4.25"/>
    <d v="1900-01-14T17:16:48"/>
    <n v="65.150000000000006"/>
    <n v="2"/>
    <n v="130.30000000000001"/>
    <n v="3.7"/>
    <x v="2"/>
    <x v="2"/>
  </r>
  <r>
    <s v="TRIP01175"/>
    <x v="162"/>
    <x v="1"/>
    <s v="Kolkata"/>
    <n v="22.47"/>
    <d v="1900-02-18T05:45:36"/>
    <n v="394.69"/>
    <n v="1.2"/>
    <n v="473.63"/>
    <n v="4"/>
    <x v="0"/>
    <x v="0"/>
  </r>
  <r>
    <s v="TRIP01176"/>
    <x v="232"/>
    <x v="4"/>
    <s v="Bangalore"/>
    <n v="12.71"/>
    <d v="1900-02-18T16:19:12"/>
    <n v="149.33000000000001"/>
    <n v="2"/>
    <n v="298.66000000000003"/>
    <n v="4.0999999999999996"/>
    <x v="2"/>
    <x v="2"/>
  </r>
  <r>
    <s v="TRIP01177"/>
    <x v="147"/>
    <x v="2"/>
    <s v="Mumbai"/>
    <n v="22.02"/>
    <d v="1900-03-06T07:12:00"/>
    <n v="369.93"/>
    <n v="1"/>
    <n v="369.93"/>
    <n v="4.5"/>
    <x v="3"/>
    <x v="2"/>
  </r>
  <r>
    <s v="TRIP01178"/>
    <x v="126"/>
    <x v="4"/>
    <s v="Chennai"/>
    <n v="29.87"/>
    <d v="1900-04-08T12:14:24"/>
    <n v="446.1"/>
    <n v="2"/>
    <n v="892.2"/>
    <n v="3.6"/>
    <x v="2"/>
    <x v="1"/>
  </r>
  <r>
    <s v="TRIP01179"/>
    <x v="280"/>
    <x v="4"/>
    <s v="Chennai"/>
    <n v="22.17"/>
    <d v="1900-03-23T18:00:00"/>
    <n v="235.37"/>
    <n v="2"/>
    <n v="470.74"/>
    <n v="3.8"/>
    <x v="2"/>
    <x v="1"/>
  </r>
  <r>
    <s v="TRIP01180"/>
    <x v="60"/>
    <x v="0"/>
    <s v="Mumbai"/>
    <n v="19.84"/>
    <d v="1900-02-19T16:33:36"/>
    <n v="289.66000000000003"/>
    <n v="1"/>
    <n v="289.66000000000003"/>
    <n v="3.1"/>
    <x v="4"/>
    <x v="0"/>
  </r>
  <r>
    <s v="TRIP01181"/>
    <x v="326"/>
    <x v="3"/>
    <s v="Bangalore"/>
    <n v="5.63"/>
    <d v="1900-01-20T05:31:12"/>
    <n v="56.86"/>
    <n v="2"/>
    <n v="113.72"/>
    <n v="3.3"/>
    <x v="3"/>
    <x v="2"/>
  </r>
  <r>
    <s v="TRIP01182"/>
    <x v="146"/>
    <x v="0"/>
    <s v="Mumbai"/>
    <n v="10.62"/>
    <d v="1900-02-04T14:24:00"/>
    <n v="160.12"/>
    <n v="2"/>
    <n v="320.24"/>
    <n v="3.2"/>
    <x v="2"/>
    <x v="1"/>
  </r>
  <r>
    <s v="TRIP01183"/>
    <x v="196"/>
    <x v="2"/>
    <s v="Bangalore"/>
    <n v="12.3"/>
    <d v="1900-01-29T12:43:12"/>
    <n v="124.93"/>
    <n v="1.2"/>
    <n v="149.91999999999999"/>
    <n v="3.6"/>
    <x v="3"/>
    <x v="1"/>
  </r>
  <r>
    <s v="TRIP01184"/>
    <x v="312"/>
    <x v="2"/>
    <s v="Chennai"/>
    <n v="8.4499999999999993"/>
    <d v="1900-01-17T11:02:24"/>
    <n v="93.03"/>
    <n v="1.2"/>
    <n v="111.64"/>
    <n v="4.5999999999999996"/>
    <x v="1"/>
    <x v="3"/>
  </r>
  <r>
    <s v="TRIP01185"/>
    <x v="281"/>
    <x v="3"/>
    <s v="Mumbai"/>
    <n v="1.06"/>
    <d v="1900-01-02T11:16:48"/>
    <n v="12.1"/>
    <n v="1.2"/>
    <n v="14.52"/>
    <n v="4.7"/>
    <x v="2"/>
    <x v="1"/>
  </r>
  <r>
    <s v="TRIP01186"/>
    <x v="259"/>
    <x v="3"/>
    <s v="Bangalore"/>
    <n v="28.7"/>
    <d v="1900-04-01T11:16:48"/>
    <n v="287.36"/>
    <n v="1"/>
    <n v="287.36"/>
    <n v="4.8"/>
    <x v="4"/>
    <x v="3"/>
  </r>
  <r>
    <s v="TRIP01187"/>
    <x v="340"/>
    <x v="0"/>
    <s v="Mumbai"/>
    <n v="3.62"/>
    <d v="1900-01-13T02:24:00"/>
    <n v="45.56"/>
    <n v="1.2"/>
    <n v="54.67"/>
    <n v="3.6"/>
    <x v="2"/>
    <x v="1"/>
  </r>
  <r>
    <s v="TRIP01188"/>
    <x v="219"/>
    <x v="3"/>
    <s v="Bangalore"/>
    <n v="2.4900000000000002"/>
    <d v="1900-01-06T10:48:00"/>
    <n v="27.97"/>
    <n v="2"/>
    <n v="55.94"/>
    <n v="3.5"/>
    <x v="0"/>
    <x v="1"/>
  </r>
  <r>
    <s v="TRIP01189"/>
    <x v="200"/>
    <x v="4"/>
    <s v="Mumbai"/>
    <n v="23.41"/>
    <d v="1900-03-24T10:04:48"/>
    <n v="270.01"/>
    <n v="1.5"/>
    <n v="405.02"/>
    <n v="4.0999999999999996"/>
    <x v="3"/>
    <x v="0"/>
  </r>
  <r>
    <s v="TRIP01190"/>
    <x v="278"/>
    <x v="4"/>
    <s v="Bangalore"/>
    <n v="5.39"/>
    <d v="1900-01-18T09:21:36"/>
    <n v="92.02"/>
    <n v="2"/>
    <n v="184.04"/>
    <n v="4.5999999999999996"/>
    <x v="3"/>
    <x v="0"/>
  </r>
  <r>
    <s v="TRIP01191"/>
    <x v="137"/>
    <x v="2"/>
    <s v="Mumbai"/>
    <n v="4.07"/>
    <d v="1900-01-12T06:00:00"/>
    <n v="45.64"/>
    <n v="2"/>
    <n v="91.28"/>
    <n v="3.1"/>
    <x v="2"/>
    <x v="1"/>
  </r>
  <r>
    <s v="TRIP01192"/>
    <x v="294"/>
    <x v="4"/>
    <s v="Bangalore"/>
    <n v="12.32"/>
    <d v="1900-02-06T21:36:00"/>
    <n v="235.48"/>
    <n v="1.5"/>
    <n v="353.22"/>
    <n v="4"/>
    <x v="2"/>
    <x v="0"/>
  </r>
  <r>
    <s v="TRIP01193"/>
    <x v="330"/>
    <x v="4"/>
    <s v="Mumbai"/>
    <n v="25.45"/>
    <d v="1900-03-23T16:33:36"/>
    <n v="420.11"/>
    <n v="1.5"/>
    <n v="630.16"/>
    <n v="3.8"/>
    <x v="4"/>
    <x v="3"/>
  </r>
  <r>
    <s v="TRIP01194"/>
    <x v="305"/>
    <x v="0"/>
    <s v="Kolkata"/>
    <n v="7.25"/>
    <d v="1900-01-16T17:02:24"/>
    <n v="125.37"/>
    <n v="1"/>
    <n v="125.37"/>
    <n v="4.5"/>
    <x v="3"/>
    <x v="2"/>
  </r>
  <r>
    <s v="TRIP01195"/>
    <x v="344"/>
    <x v="1"/>
    <s v="Kolkata"/>
    <n v="5.91"/>
    <d v="1900-01-13T00:57:36"/>
    <n v="59.72"/>
    <n v="1.2"/>
    <n v="71.66"/>
    <n v="3.2"/>
    <x v="3"/>
    <x v="2"/>
  </r>
  <r>
    <s v="TRIP01196"/>
    <x v="121"/>
    <x v="1"/>
    <s v="Mumbai"/>
    <n v="6.05"/>
    <d v="1900-01-15T04:19:12"/>
    <n v="61.59"/>
    <n v="1.5"/>
    <n v="92.38"/>
    <n v="3.8"/>
    <x v="2"/>
    <x v="2"/>
  </r>
  <r>
    <s v="TRIP01197"/>
    <x v="32"/>
    <x v="0"/>
    <s v="Mumbai"/>
    <n v="18.97"/>
    <d v="1900-03-03T02:38:24"/>
    <n v="348.34"/>
    <n v="1"/>
    <n v="348.34"/>
    <n v="4.8"/>
    <x v="2"/>
    <x v="2"/>
  </r>
  <r>
    <s v="TRIP01198"/>
    <x v="71"/>
    <x v="0"/>
    <s v="Chennai"/>
    <n v="25.69"/>
    <d v="1900-02-27T10:19:12"/>
    <n v="507.32"/>
    <n v="1.5"/>
    <n v="760.98"/>
    <n v="4.8"/>
    <x v="2"/>
    <x v="1"/>
  </r>
  <r>
    <s v="TRIP01199"/>
    <x v="57"/>
    <x v="4"/>
    <s v="Delhi"/>
    <n v="29.46"/>
    <d v="1900-03-04T15:50:24"/>
    <n v="383.88"/>
    <n v="1"/>
    <n v="383.88"/>
    <n v="4.9000000000000004"/>
    <x v="1"/>
    <x v="0"/>
  </r>
  <r>
    <s v="TRIP01200"/>
    <x v="223"/>
    <x v="4"/>
    <s v="Mumbai"/>
    <n v="27.92"/>
    <d v="1900-02-27T12:00:00"/>
    <n v="432.6"/>
    <n v="1.2"/>
    <n v="519.12"/>
    <n v="4.9000000000000004"/>
    <x v="1"/>
    <x v="3"/>
  </r>
  <r>
    <s v="TRIP01201"/>
    <x v="152"/>
    <x v="1"/>
    <s v="Kolkata"/>
    <n v="8.41"/>
    <d v="1900-01-21T22:48:00"/>
    <n v="155.05000000000001"/>
    <n v="2"/>
    <n v="310.10000000000002"/>
    <n v="4.0999999999999996"/>
    <x v="4"/>
    <x v="2"/>
  </r>
  <r>
    <s v="TRIP01202"/>
    <x v="146"/>
    <x v="2"/>
    <s v="Kolkata"/>
    <n v="17.32"/>
    <d v="1900-03-01T00:57:36"/>
    <n v="296.8"/>
    <n v="1"/>
    <n v="296.8"/>
    <n v="3.9"/>
    <x v="2"/>
    <x v="0"/>
  </r>
  <r>
    <s v="TRIP01203"/>
    <x v="273"/>
    <x v="2"/>
    <s v="Kolkata"/>
    <n v="26.16"/>
    <d v="1900-03-14T22:19:12"/>
    <n v="514.46"/>
    <n v="1.2"/>
    <n v="617.35"/>
    <n v="3.6"/>
    <x v="1"/>
    <x v="1"/>
  </r>
  <r>
    <s v="TRIP01204"/>
    <x v="138"/>
    <x v="0"/>
    <s v="Kolkata"/>
    <n v="12.29"/>
    <d v="1900-02-15T23:16:48"/>
    <n v="162.19"/>
    <n v="2"/>
    <n v="324.38"/>
    <n v="4.4000000000000004"/>
    <x v="1"/>
    <x v="0"/>
  </r>
  <r>
    <s v="TRIP01205"/>
    <x v="279"/>
    <x v="2"/>
    <s v="Delhi"/>
    <n v="11.16"/>
    <d v="1900-01-23T04:19:12"/>
    <n v="192.46"/>
    <n v="1.2"/>
    <n v="230.95"/>
    <n v="3"/>
    <x v="4"/>
    <x v="0"/>
  </r>
  <r>
    <s v="TRIP01206"/>
    <x v="310"/>
    <x v="4"/>
    <s v="Kolkata"/>
    <n v="13.84"/>
    <d v="1900-02-09T02:38:24"/>
    <n v="246.06"/>
    <n v="1.2"/>
    <n v="295.27"/>
    <n v="4.0999999999999996"/>
    <x v="0"/>
    <x v="2"/>
  </r>
  <r>
    <s v="TRIP01207"/>
    <x v="286"/>
    <x v="4"/>
    <s v="Kolkata"/>
    <n v="1.39"/>
    <d v="1900-01-02T18:57:36"/>
    <n v="22.26"/>
    <n v="1.5"/>
    <n v="33.39"/>
    <n v="3.7"/>
    <x v="4"/>
    <x v="0"/>
  </r>
  <r>
    <s v="TRIP01208"/>
    <x v="265"/>
    <x v="0"/>
    <s v="Mumbai"/>
    <n v="15.03"/>
    <d v="1900-02-19T23:02:24"/>
    <n v="197.86"/>
    <n v="1"/>
    <n v="197.86"/>
    <n v="4.9000000000000004"/>
    <x v="4"/>
    <x v="1"/>
  </r>
  <r>
    <s v="TRIP01209"/>
    <x v="345"/>
    <x v="4"/>
    <s v="Chennai"/>
    <n v="17.739999999999998"/>
    <d v="1900-02-26T11:02:24"/>
    <n v="182.6"/>
    <n v="2"/>
    <n v="365.2"/>
    <n v="4.4000000000000004"/>
    <x v="2"/>
    <x v="3"/>
  </r>
  <r>
    <s v="TRIP01210"/>
    <x v="74"/>
    <x v="2"/>
    <s v="Chennai"/>
    <n v="16.829999999999998"/>
    <d v="1900-02-13T18:14:24"/>
    <n v="182.01"/>
    <n v="1.2"/>
    <n v="218.41"/>
    <n v="4.3"/>
    <x v="4"/>
    <x v="2"/>
  </r>
  <r>
    <s v="TRIP01211"/>
    <x v="105"/>
    <x v="4"/>
    <s v="Chennai"/>
    <n v="12.85"/>
    <d v="1900-02-05T16:33:36"/>
    <n v="135.27000000000001"/>
    <n v="1"/>
    <n v="135.27000000000001"/>
    <n v="5"/>
    <x v="3"/>
    <x v="2"/>
  </r>
  <r>
    <s v="TRIP01212"/>
    <x v="232"/>
    <x v="1"/>
    <s v="Chennai"/>
    <n v="8.75"/>
    <d v="1900-01-23T21:07:12"/>
    <n v="95.76"/>
    <n v="2"/>
    <n v="191.52"/>
    <n v="3.3"/>
    <x v="4"/>
    <x v="1"/>
  </r>
  <r>
    <s v="TRIP01213"/>
    <x v="327"/>
    <x v="4"/>
    <s v="Delhi"/>
    <n v="23.11"/>
    <d v="1900-03-27T19:55:12"/>
    <n v="384.74"/>
    <n v="1.5"/>
    <n v="577.11"/>
    <n v="4.3"/>
    <x v="1"/>
    <x v="3"/>
  </r>
  <r>
    <s v="TRIP01214"/>
    <x v="288"/>
    <x v="2"/>
    <s v="Delhi"/>
    <n v="24.91"/>
    <d v="1900-03-10T15:07:12"/>
    <n v="267.31"/>
    <n v="1.2"/>
    <n v="320.77"/>
    <n v="3.8"/>
    <x v="4"/>
    <x v="3"/>
  </r>
  <r>
    <s v="TRIP01215"/>
    <x v="185"/>
    <x v="0"/>
    <s v="Delhi"/>
    <n v="8.7799999999999994"/>
    <d v="1900-02-03T02:38:24"/>
    <n v="103.19"/>
    <n v="1.5"/>
    <n v="154.78"/>
    <n v="3.1"/>
    <x v="4"/>
    <x v="1"/>
  </r>
  <r>
    <s v="TRIP01216"/>
    <x v="346"/>
    <x v="4"/>
    <s v="Kolkata"/>
    <n v="23.5"/>
    <d v="1900-03-08T00:00:00"/>
    <n v="340.16"/>
    <n v="1"/>
    <n v="340.16"/>
    <n v="3.9"/>
    <x v="1"/>
    <x v="3"/>
  </r>
  <r>
    <s v="TRIP01217"/>
    <x v="317"/>
    <x v="2"/>
    <s v="Bangalore"/>
    <n v="20.53"/>
    <d v="1900-02-11T17:16:48"/>
    <n v="300.91000000000003"/>
    <n v="1"/>
    <n v="300.91000000000003"/>
    <n v="4.0999999999999996"/>
    <x v="1"/>
    <x v="1"/>
  </r>
  <r>
    <s v="TRIP01218"/>
    <x v="254"/>
    <x v="1"/>
    <s v="Bangalore"/>
    <n v="8.4499999999999993"/>
    <d v="1900-01-29T10:19:12"/>
    <n v="137.91"/>
    <n v="2"/>
    <n v="275.82"/>
    <n v="4"/>
    <x v="1"/>
    <x v="1"/>
  </r>
  <r>
    <s v="TRIP01219"/>
    <x v="319"/>
    <x v="3"/>
    <s v="Mumbai"/>
    <n v="27.56"/>
    <d v="1900-03-29T00:57:36"/>
    <n v="328.71"/>
    <n v="2"/>
    <n v="657.42"/>
    <n v="4.8"/>
    <x v="1"/>
    <x v="0"/>
  </r>
  <r>
    <s v="TRIP01220"/>
    <x v="131"/>
    <x v="3"/>
    <s v="Delhi"/>
    <n v="16.25"/>
    <d v="1900-02-23T20:09:36"/>
    <n v="256.99"/>
    <n v="1"/>
    <n v="256.99"/>
    <n v="4.9000000000000004"/>
    <x v="2"/>
    <x v="3"/>
  </r>
  <r>
    <s v="TRIP01221"/>
    <x v="261"/>
    <x v="3"/>
    <s v="Chennai"/>
    <n v="4.08"/>
    <d v="1900-01-08T13:55:12"/>
    <n v="68.959999999999994"/>
    <n v="1.5"/>
    <n v="103.44"/>
    <n v="3.5"/>
    <x v="0"/>
    <x v="2"/>
  </r>
  <r>
    <s v="TRIP01222"/>
    <x v="325"/>
    <x v="0"/>
    <s v="Mumbai"/>
    <n v="19.23"/>
    <d v="1900-02-27T21:21:36"/>
    <n v="335.11"/>
    <n v="1"/>
    <n v="335.11"/>
    <n v="4.7"/>
    <x v="0"/>
    <x v="1"/>
  </r>
  <r>
    <s v="TRIP01223"/>
    <x v="56"/>
    <x v="0"/>
    <s v="Kolkata"/>
    <n v="3.56"/>
    <d v="1900-01-09T01:40:48"/>
    <n v="62.31"/>
    <n v="1.2"/>
    <n v="74.77"/>
    <n v="3.3"/>
    <x v="2"/>
    <x v="1"/>
  </r>
  <r>
    <s v="TRIP01224"/>
    <x v="57"/>
    <x v="4"/>
    <s v="Kolkata"/>
    <n v="9.06"/>
    <d v="1900-01-26T03:36:00"/>
    <n v="120.46"/>
    <n v="1.5"/>
    <n v="180.69"/>
    <n v="4.8"/>
    <x v="3"/>
    <x v="1"/>
  </r>
  <r>
    <s v="TRIP01225"/>
    <x v="342"/>
    <x v="0"/>
    <s v="Chennai"/>
    <n v="26.59"/>
    <d v="1900-03-04T00:00:00"/>
    <n v="498.13"/>
    <n v="1"/>
    <n v="498.13"/>
    <n v="4.3"/>
    <x v="1"/>
    <x v="0"/>
  </r>
  <r>
    <s v="TRIP01226"/>
    <x v="93"/>
    <x v="4"/>
    <s v="Mumbai"/>
    <n v="13"/>
    <d v="1900-02-01T18:43:12"/>
    <n v="227.25"/>
    <n v="1.5"/>
    <n v="340.88"/>
    <n v="3.7"/>
    <x v="3"/>
    <x v="0"/>
  </r>
  <r>
    <s v="TRIP01227"/>
    <x v="253"/>
    <x v="2"/>
    <s v="Mumbai"/>
    <n v="6.5"/>
    <d v="1900-01-13T15:07:12"/>
    <n v="85.22"/>
    <n v="2"/>
    <n v="170.44"/>
    <n v="3.8"/>
    <x v="3"/>
    <x v="0"/>
  </r>
  <r>
    <s v="TRIP01228"/>
    <x v="347"/>
    <x v="1"/>
    <s v="Mumbai"/>
    <n v="22.32"/>
    <d v="1900-03-20T05:31:12"/>
    <n v="283.33"/>
    <n v="2"/>
    <n v="566.66"/>
    <n v="3.9"/>
    <x v="4"/>
    <x v="2"/>
  </r>
  <r>
    <s v="TRIP01229"/>
    <x v="207"/>
    <x v="0"/>
    <s v="Delhi"/>
    <n v="10.75"/>
    <d v="1900-02-02T02:52:48"/>
    <n v="118.56"/>
    <n v="1"/>
    <n v="118.56"/>
    <n v="4.9000000000000004"/>
    <x v="0"/>
    <x v="1"/>
  </r>
  <r>
    <s v="TRIP01230"/>
    <x v="347"/>
    <x v="0"/>
    <s v="Mumbai"/>
    <n v="8.7799999999999994"/>
    <d v="1900-01-26T22:19:12"/>
    <n v="151.13999999999999"/>
    <n v="1.5"/>
    <n v="226.71"/>
    <n v="3.5"/>
    <x v="4"/>
    <x v="1"/>
  </r>
  <r>
    <s v="TRIP01231"/>
    <x v="270"/>
    <x v="0"/>
    <s v="Chennai"/>
    <n v="15.94"/>
    <d v="1900-02-24T13:55:12"/>
    <n v="249.01"/>
    <n v="1"/>
    <n v="249.01"/>
    <n v="3.8"/>
    <x v="4"/>
    <x v="3"/>
  </r>
  <r>
    <s v="TRIP01232"/>
    <x v="176"/>
    <x v="3"/>
    <s v="Mumbai"/>
    <n v="4.66"/>
    <d v="1900-01-13T06:14:24"/>
    <n v="59.13"/>
    <n v="2"/>
    <n v="118.26"/>
    <n v="3.5"/>
    <x v="2"/>
    <x v="1"/>
  </r>
  <r>
    <s v="TRIP01233"/>
    <x v="319"/>
    <x v="4"/>
    <s v="Bangalore"/>
    <n v="1.94"/>
    <d v="1900-01-05T04:33:36"/>
    <n v="29.86"/>
    <n v="1.5"/>
    <n v="44.79"/>
    <n v="4.2"/>
    <x v="2"/>
    <x v="0"/>
  </r>
  <r>
    <s v="TRIP01234"/>
    <x v="3"/>
    <x v="2"/>
    <s v="Delhi"/>
    <n v="2.84"/>
    <d v="1900-01-07T19:26:24"/>
    <n v="52.29"/>
    <n v="1.5"/>
    <n v="78.44"/>
    <n v="3.2"/>
    <x v="1"/>
    <x v="0"/>
  </r>
  <r>
    <s v="TRIP01235"/>
    <x v="175"/>
    <x v="1"/>
    <s v="Delhi"/>
    <n v="15.48"/>
    <d v="1900-02-17T13:12:00"/>
    <n v="164.47"/>
    <n v="1"/>
    <n v="164.47"/>
    <n v="3.8"/>
    <x v="1"/>
    <x v="3"/>
  </r>
  <r>
    <s v="TRIP01236"/>
    <x v="81"/>
    <x v="4"/>
    <s v="Mumbai"/>
    <n v="11.07"/>
    <d v="1900-01-27T00:14:24"/>
    <n v="186.65"/>
    <n v="1"/>
    <n v="186.65"/>
    <n v="4.9000000000000004"/>
    <x v="4"/>
    <x v="2"/>
  </r>
  <r>
    <s v="TRIP01237"/>
    <x v="247"/>
    <x v="4"/>
    <s v="Chennai"/>
    <n v="24.53"/>
    <d v="1900-02-19T18:43:12"/>
    <n v="377.3"/>
    <n v="1.5"/>
    <n v="565.95000000000005"/>
    <n v="3.5"/>
    <x v="3"/>
    <x v="3"/>
  </r>
  <r>
    <s v="TRIP01238"/>
    <x v="64"/>
    <x v="4"/>
    <s v="Mumbai"/>
    <n v="23.22"/>
    <d v="1900-03-17T00:00:00"/>
    <n v="423.51"/>
    <n v="1.2"/>
    <n v="508.21"/>
    <n v="4.5999999999999996"/>
    <x v="0"/>
    <x v="2"/>
  </r>
  <r>
    <s v="TRIP01239"/>
    <x v="65"/>
    <x v="4"/>
    <s v="Kolkata"/>
    <n v="19.850000000000001"/>
    <d v="1900-03-09T14:52:48"/>
    <n v="321.97000000000003"/>
    <n v="2"/>
    <n v="643.94000000000005"/>
    <n v="4.0999999999999996"/>
    <x v="3"/>
    <x v="2"/>
  </r>
  <r>
    <s v="TRIP01240"/>
    <x v="239"/>
    <x v="0"/>
    <s v="Chennai"/>
    <n v="22.1"/>
    <d v="1900-03-12T00:57:36"/>
    <n v="300.51"/>
    <n v="2"/>
    <n v="601.02"/>
    <n v="3"/>
    <x v="3"/>
    <x v="2"/>
  </r>
  <r>
    <s v="TRIP01241"/>
    <x v="312"/>
    <x v="0"/>
    <s v="Mumbai"/>
    <n v="4.26"/>
    <d v="1900-01-09T19:26:24"/>
    <n v="63.58"/>
    <n v="1.5"/>
    <n v="95.37"/>
    <n v="3.8"/>
    <x v="4"/>
    <x v="0"/>
  </r>
  <r>
    <s v="TRIP01242"/>
    <x v="64"/>
    <x v="3"/>
    <s v="Mumbai"/>
    <n v="9.0299999999999994"/>
    <d v="1900-01-18T06:00:00"/>
    <n v="154.05000000000001"/>
    <n v="1.5"/>
    <n v="231.08"/>
    <n v="3.4"/>
    <x v="2"/>
    <x v="0"/>
  </r>
  <r>
    <s v="TRIP01243"/>
    <x v="148"/>
    <x v="1"/>
    <s v="Mumbai"/>
    <n v="13.87"/>
    <d v="1900-02-20T11:16:48"/>
    <n v="195.75"/>
    <n v="1.5"/>
    <n v="293.62"/>
    <n v="3.4"/>
    <x v="1"/>
    <x v="2"/>
  </r>
  <r>
    <s v="TRIP01244"/>
    <x v="226"/>
    <x v="0"/>
    <s v="Bangalore"/>
    <n v="28.93"/>
    <d v="1900-04-02T00:28:48"/>
    <n v="573.79"/>
    <n v="2"/>
    <n v="1147.58"/>
    <n v="3"/>
    <x v="1"/>
    <x v="2"/>
  </r>
  <r>
    <s v="TRIP01245"/>
    <x v="61"/>
    <x v="1"/>
    <s v="Bangalore"/>
    <n v="20.09"/>
    <d v="1900-02-19T16:48:00"/>
    <n v="313.33"/>
    <n v="1"/>
    <n v="313.33"/>
    <n v="4.7"/>
    <x v="1"/>
    <x v="0"/>
  </r>
  <r>
    <s v="TRIP01246"/>
    <x v="302"/>
    <x v="3"/>
    <s v="Chennai"/>
    <n v="2.52"/>
    <d v="1900-01-07T23:45:36"/>
    <n v="46.51"/>
    <n v="1.5"/>
    <n v="69.760000000000005"/>
    <n v="3.2"/>
    <x v="4"/>
    <x v="1"/>
  </r>
  <r>
    <s v="TRIP01247"/>
    <x v="39"/>
    <x v="4"/>
    <s v="Mumbai"/>
    <n v="19.29"/>
    <d v="1900-03-07T09:50:24"/>
    <n v="233.3"/>
    <n v="1"/>
    <n v="233.3"/>
    <n v="3.3"/>
    <x v="4"/>
    <x v="3"/>
  </r>
  <r>
    <s v="TRIP01248"/>
    <x v="137"/>
    <x v="4"/>
    <s v="Bangalore"/>
    <n v="19.190000000000001"/>
    <d v="1900-02-24T11:31:12"/>
    <n v="376.08"/>
    <n v="1.5"/>
    <n v="564.12"/>
    <n v="3.1"/>
    <x v="2"/>
    <x v="3"/>
  </r>
  <r>
    <s v="TRIP01249"/>
    <x v="329"/>
    <x v="1"/>
    <s v="Mumbai"/>
    <n v="22.16"/>
    <d v="1900-03-16T22:04:48"/>
    <n v="239.33"/>
    <n v="2"/>
    <n v="478.66"/>
    <n v="4.7"/>
    <x v="4"/>
    <x v="2"/>
  </r>
  <r>
    <s v="TRIP01250"/>
    <x v="241"/>
    <x v="0"/>
    <s v="Kolkata"/>
    <n v="27.15"/>
    <d v="1900-04-13T14:09:36"/>
    <n v="273.97000000000003"/>
    <n v="1.5"/>
    <n v="410.96"/>
    <n v="4.9000000000000004"/>
    <x v="3"/>
    <x v="1"/>
  </r>
  <r>
    <s v="TRIP01251"/>
    <x v="31"/>
    <x v="0"/>
    <s v="Chennai"/>
    <n v="15.49"/>
    <d v="1900-01-31T21:07:12"/>
    <n v="265.58999999999997"/>
    <n v="2"/>
    <n v="531.17999999999995"/>
    <n v="3.4"/>
    <x v="1"/>
    <x v="0"/>
  </r>
  <r>
    <s v="TRIP01252"/>
    <x v="268"/>
    <x v="0"/>
    <s v="Kolkata"/>
    <n v="17.21"/>
    <d v="1900-02-14T00:00:00"/>
    <n v="261.42"/>
    <n v="1"/>
    <n v="261.42"/>
    <n v="3.2"/>
    <x v="4"/>
    <x v="0"/>
  </r>
  <r>
    <s v="TRIP01253"/>
    <x v="127"/>
    <x v="3"/>
    <s v="Delhi"/>
    <n v="20.49"/>
    <d v="1900-02-18T20:09:36"/>
    <n v="357.26"/>
    <n v="1.5"/>
    <n v="535.89"/>
    <n v="3.7"/>
    <x v="0"/>
    <x v="0"/>
  </r>
  <r>
    <s v="TRIP01254"/>
    <x v="317"/>
    <x v="1"/>
    <s v="Mumbai"/>
    <n v="15.03"/>
    <d v="1900-02-06T22:04:48"/>
    <n v="189.18"/>
    <n v="1"/>
    <n v="189.18"/>
    <n v="4.4000000000000004"/>
    <x v="0"/>
    <x v="3"/>
  </r>
  <r>
    <s v="TRIP01255"/>
    <x v="254"/>
    <x v="2"/>
    <s v="Kolkata"/>
    <n v="9.2100000000000009"/>
    <d v="1900-02-02T15:50:24"/>
    <n v="146.78"/>
    <n v="1"/>
    <n v="146.78"/>
    <n v="3.4"/>
    <x v="2"/>
    <x v="3"/>
  </r>
  <r>
    <s v="TRIP01256"/>
    <x v="46"/>
    <x v="4"/>
    <s v="Delhi"/>
    <n v="5.49"/>
    <d v="1900-01-13T21:21:36"/>
    <n v="93.17"/>
    <n v="1"/>
    <n v="93.17"/>
    <n v="4.3"/>
    <x v="0"/>
    <x v="2"/>
  </r>
  <r>
    <s v="TRIP01257"/>
    <x v="54"/>
    <x v="1"/>
    <s v="Mumbai"/>
    <n v="22.68"/>
    <d v="1900-03-10T07:12:00"/>
    <n v="329.39"/>
    <n v="2"/>
    <n v="658.78"/>
    <n v="4.8"/>
    <x v="0"/>
    <x v="1"/>
  </r>
  <r>
    <s v="TRIP01258"/>
    <x v="129"/>
    <x v="3"/>
    <s v="Chennai"/>
    <n v="29.27"/>
    <d v="1900-04-15T20:52:48"/>
    <n v="310.26"/>
    <n v="1"/>
    <n v="310.26"/>
    <n v="3.7"/>
    <x v="0"/>
    <x v="0"/>
  </r>
  <r>
    <s v="TRIP01259"/>
    <x v="166"/>
    <x v="3"/>
    <s v="Kolkata"/>
    <n v="15.59"/>
    <d v="1900-02-19T19:40:48"/>
    <n v="298.17"/>
    <n v="1.2"/>
    <n v="357.8"/>
    <n v="3.2"/>
    <x v="0"/>
    <x v="3"/>
  </r>
  <r>
    <s v="TRIP01260"/>
    <x v="133"/>
    <x v="0"/>
    <s v="Mumbai"/>
    <n v="12.9"/>
    <d v="1900-02-05T22:33:36"/>
    <n v="135.34"/>
    <n v="1.2"/>
    <n v="162.41"/>
    <n v="3.5"/>
    <x v="3"/>
    <x v="3"/>
  </r>
  <r>
    <s v="TRIP01261"/>
    <x v="115"/>
    <x v="2"/>
    <s v="Mumbai"/>
    <n v="9.75"/>
    <d v="1900-01-25T23:45:36"/>
    <n v="180.8"/>
    <n v="1.2"/>
    <n v="216.96"/>
    <n v="3.8"/>
    <x v="1"/>
    <x v="1"/>
  </r>
  <r>
    <s v="TRIP01262"/>
    <x v="225"/>
    <x v="2"/>
    <s v="Bangalore"/>
    <n v="4.41"/>
    <d v="1900-01-10T00:57:36"/>
    <n v="84.71"/>
    <n v="1"/>
    <n v="84.71"/>
    <n v="3.9"/>
    <x v="0"/>
    <x v="0"/>
  </r>
  <r>
    <s v="TRIP01263"/>
    <x v="236"/>
    <x v="3"/>
    <s v="Kolkata"/>
    <n v="18.3"/>
    <d v="1900-02-18T00:00:00"/>
    <n v="330.7"/>
    <n v="1"/>
    <n v="330.7"/>
    <n v="3.9"/>
    <x v="4"/>
    <x v="0"/>
  </r>
  <r>
    <s v="TRIP01264"/>
    <x v="79"/>
    <x v="4"/>
    <s v="Kolkata"/>
    <n v="4.74"/>
    <d v="1900-01-13T13:40:48"/>
    <n v="91.79"/>
    <n v="1.5"/>
    <n v="137.68"/>
    <n v="3.4"/>
    <x v="2"/>
    <x v="3"/>
  </r>
  <r>
    <s v="TRIP01265"/>
    <x v="164"/>
    <x v="4"/>
    <s v="Kolkata"/>
    <n v="23.16"/>
    <d v="1900-02-25T19:12:00"/>
    <n v="240.02"/>
    <n v="1.2"/>
    <n v="288.02"/>
    <n v="4.0999999999999996"/>
    <x v="4"/>
    <x v="1"/>
  </r>
  <r>
    <s v="TRIP01266"/>
    <x v="66"/>
    <x v="4"/>
    <s v="Delhi"/>
    <n v="6.79"/>
    <d v="1900-01-17T14:52:48"/>
    <n v="101.97"/>
    <n v="1.5"/>
    <n v="152.94999999999999"/>
    <n v="3.6"/>
    <x v="0"/>
    <x v="1"/>
  </r>
  <r>
    <s v="TRIP01267"/>
    <x v="288"/>
    <x v="1"/>
    <s v="Kolkata"/>
    <n v="12.78"/>
    <d v="1900-02-05T23:02:24"/>
    <n v="196.92"/>
    <n v="2"/>
    <n v="393.84"/>
    <n v="4.9000000000000004"/>
    <x v="0"/>
    <x v="3"/>
  </r>
  <r>
    <s v="TRIP01268"/>
    <x v="57"/>
    <x v="0"/>
    <s v="Bangalore"/>
    <n v="3.06"/>
    <d v="1900-01-07T05:45:36"/>
    <n v="53.34"/>
    <n v="1.5"/>
    <n v="80.010000000000005"/>
    <n v="3.8"/>
    <x v="0"/>
    <x v="1"/>
  </r>
  <r>
    <s v="TRIP01269"/>
    <x v="274"/>
    <x v="3"/>
    <s v="Kolkata"/>
    <n v="16.93"/>
    <d v="1900-03-05T08:09:36"/>
    <n v="329.77"/>
    <n v="2"/>
    <n v="659.54"/>
    <n v="3.7"/>
    <x v="2"/>
    <x v="2"/>
  </r>
  <r>
    <s v="TRIP01270"/>
    <x v="39"/>
    <x v="2"/>
    <s v="Bangalore"/>
    <n v="18.68"/>
    <d v="1900-02-14T22:04:48"/>
    <n v="262.83999999999997"/>
    <n v="1.2"/>
    <n v="315.41000000000003"/>
    <n v="4.5"/>
    <x v="0"/>
    <x v="0"/>
  </r>
  <r>
    <s v="TRIP01271"/>
    <x v="89"/>
    <x v="0"/>
    <s v="Chennai"/>
    <n v="18.46"/>
    <d v="1900-03-02T16:04:48"/>
    <n v="201.31"/>
    <n v="1.5"/>
    <n v="301.97000000000003"/>
    <n v="3.8"/>
    <x v="2"/>
    <x v="3"/>
  </r>
  <r>
    <s v="TRIP01272"/>
    <x v="23"/>
    <x v="4"/>
    <s v="Mumbai"/>
    <n v="22.01"/>
    <d v="1900-02-20T08:38:24"/>
    <n v="416.48"/>
    <n v="1.2"/>
    <n v="499.78"/>
    <n v="3.2"/>
    <x v="1"/>
    <x v="3"/>
  </r>
  <r>
    <s v="TRIP01273"/>
    <x v="82"/>
    <x v="1"/>
    <s v="Delhi"/>
    <n v="10.3"/>
    <d v="1900-01-23T06:28:48"/>
    <n v="127.66"/>
    <n v="1.2"/>
    <n v="153.19"/>
    <n v="4"/>
    <x v="4"/>
    <x v="3"/>
  </r>
  <r>
    <s v="TRIP01274"/>
    <x v="325"/>
    <x v="1"/>
    <s v="Mumbai"/>
    <n v="10.3"/>
    <d v="1900-01-22T09:07:12"/>
    <n v="133.51"/>
    <n v="1.2"/>
    <n v="160.21"/>
    <n v="3.7"/>
    <x v="4"/>
    <x v="0"/>
  </r>
  <r>
    <s v="TRIP01275"/>
    <x v="239"/>
    <x v="1"/>
    <s v="Mumbai"/>
    <n v="22.65"/>
    <d v="1900-03-25T18:43:12"/>
    <n v="397.91"/>
    <n v="1.5"/>
    <n v="596.86"/>
    <n v="4.9000000000000004"/>
    <x v="0"/>
    <x v="0"/>
  </r>
  <r>
    <s v="TRIP01276"/>
    <x v="82"/>
    <x v="1"/>
    <s v="Kolkata"/>
    <n v="23.99"/>
    <d v="1900-03-01T08:52:48"/>
    <n v="394.96"/>
    <n v="2"/>
    <n v="789.92"/>
    <n v="3.5"/>
    <x v="0"/>
    <x v="1"/>
  </r>
  <r>
    <s v="TRIP01277"/>
    <x v="181"/>
    <x v="2"/>
    <s v="Bangalore"/>
    <n v="25.09"/>
    <d v="1900-03-18T20:24:00"/>
    <n v="403.31"/>
    <n v="1"/>
    <n v="403.31"/>
    <n v="3.5"/>
    <x v="2"/>
    <x v="3"/>
  </r>
  <r>
    <s v="TRIP01278"/>
    <x v="111"/>
    <x v="1"/>
    <s v="Delhi"/>
    <n v="2.2599999999999998"/>
    <d v="1900-01-04T16:48:00"/>
    <n v="42.39"/>
    <n v="1.5"/>
    <n v="63.58"/>
    <n v="4.7"/>
    <x v="2"/>
    <x v="2"/>
  </r>
  <r>
    <s v="TRIP01279"/>
    <x v="47"/>
    <x v="0"/>
    <s v="Delhi"/>
    <n v="15.99"/>
    <d v="1900-02-16T22:04:48"/>
    <n v="224"/>
    <n v="1.2"/>
    <n v="268.8"/>
    <n v="3.7"/>
    <x v="4"/>
    <x v="2"/>
  </r>
  <r>
    <s v="TRIP01280"/>
    <x v="238"/>
    <x v="2"/>
    <s v="Mumbai"/>
    <n v="23.91"/>
    <d v="1900-02-26T05:31:12"/>
    <n v="400.98"/>
    <n v="1.2"/>
    <n v="481.18"/>
    <n v="3.6"/>
    <x v="4"/>
    <x v="0"/>
  </r>
  <r>
    <s v="TRIP01281"/>
    <x v="111"/>
    <x v="2"/>
    <s v="Kolkata"/>
    <n v="20.190000000000001"/>
    <d v="1900-02-22T17:45:36"/>
    <n v="365.21"/>
    <n v="1.2"/>
    <n v="438.25"/>
    <n v="3.6"/>
    <x v="3"/>
    <x v="1"/>
  </r>
  <r>
    <s v="TRIP01282"/>
    <x v="15"/>
    <x v="2"/>
    <s v="Kolkata"/>
    <n v="1.1100000000000001"/>
    <d v="1900-01-01T17:16:48"/>
    <n v="15.61"/>
    <n v="1.2"/>
    <n v="18.73"/>
    <n v="4.5999999999999996"/>
    <x v="3"/>
    <x v="3"/>
  </r>
  <r>
    <s v="TRIP01283"/>
    <x v="287"/>
    <x v="3"/>
    <s v="Kolkata"/>
    <n v="8.75"/>
    <d v="1900-01-20T18:43:12"/>
    <n v="107.39"/>
    <n v="1"/>
    <n v="107.39"/>
    <n v="3.2"/>
    <x v="3"/>
    <x v="1"/>
  </r>
  <r>
    <s v="TRIP01284"/>
    <x v="277"/>
    <x v="4"/>
    <s v="Kolkata"/>
    <n v="13.72"/>
    <d v="1900-02-01T10:19:12"/>
    <n v="155.1"/>
    <n v="1.5"/>
    <n v="232.65"/>
    <n v="3.8"/>
    <x v="3"/>
    <x v="0"/>
  </r>
  <r>
    <s v="TRIP01285"/>
    <x v="243"/>
    <x v="0"/>
    <s v="Chennai"/>
    <n v="21.46"/>
    <d v="1900-02-21T09:07:12"/>
    <n v="315.16000000000003"/>
    <n v="2"/>
    <n v="630.32000000000005"/>
    <n v="4.5"/>
    <x v="0"/>
    <x v="0"/>
  </r>
  <r>
    <s v="TRIP01286"/>
    <x v="348"/>
    <x v="1"/>
    <s v="Kolkata"/>
    <n v="26.78"/>
    <d v="1900-04-02T12:00:00"/>
    <n v="277.22000000000003"/>
    <n v="2"/>
    <n v="554.44000000000005"/>
    <n v="3.2"/>
    <x v="1"/>
    <x v="2"/>
  </r>
  <r>
    <s v="TRIP01287"/>
    <x v="118"/>
    <x v="4"/>
    <s v="Mumbai"/>
    <n v="1.5"/>
    <d v="1900-01-03T15:36:00"/>
    <n v="27.87"/>
    <n v="1.5"/>
    <n v="41.8"/>
    <n v="3.9"/>
    <x v="1"/>
    <x v="0"/>
  </r>
  <r>
    <s v="TRIP01288"/>
    <x v="82"/>
    <x v="2"/>
    <s v="Delhi"/>
    <n v="1.32"/>
    <d v="1900-01-02T17:45:36"/>
    <n v="15.25"/>
    <n v="1"/>
    <n v="15.25"/>
    <n v="4.0999999999999996"/>
    <x v="1"/>
    <x v="1"/>
  </r>
  <r>
    <s v="TRIP01289"/>
    <x v="54"/>
    <x v="0"/>
    <s v="Delhi"/>
    <n v="6.16"/>
    <d v="1900-01-22T06:28:48"/>
    <n v="88.82"/>
    <n v="2"/>
    <n v="177.64"/>
    <n v="3.3"/>
    <x v="2"/>
    <x v="1"/>
  </r>
  <r>
    <s v="TRIP01290"/>
    <x v="245"/>
    <x v="3"/>
    <s v="Bangalore"/>
    <n v="17.54"/>
    <d v="1900-03-05T07:26:24"/>
    <n v="259.08999999999997"/>
    <n v="1"/>
    <n v="259.08999999999997"/>
    <n v="4.8"/>
    <x v="4"/>
    <x v="3"/>
  </r>
  <r>
    <s v="TRIP01291"/>
    <x v="141"/>
    <x v="0"/>
    <s v="Kolkata"/>
    <n v="22.68"/>
    <d v="1900-03-30T17:02:24"/>
    <n v="391.21"/>
    <n v="1.2"/>
    <n v="469.45"/>
    <n v="4.0999999999999996"/>
    <x v="3"/>
    <x v="2"/>
  </r>
  <r>
    <s v="TRIP01292"/>
    <x v="244"/>
    <x v="4"/>
    <s v="Chennai"/>
    <n v="18.03"/>
    <d v="1900-02-10T08:09:36"/>
    <n v="353.91"/>
    <n v="1.5"/>
    <n v="530.86"/>
    <n v="4.7"/>
    <x v="0"/>
    <x v="1"/>
  </r>
  <r>
    <s v="TRIP01293"/>
    <x v="291"/>
    <x v="1"/>
    <s v="Mumbai"/>
    <n v="29.98"/>
    <d v="1900-03-17T03:50:24"/>
    <n v="383.88"/>
    <n v="1.5"/>
    <n v="575.82000000000005"/>
    <n v="4.2"/>
    <x v="3"/>
    <x v="0"/>
  </r>
  <r>
    <s v="TRIP01294"/>
    <x v="299"/>
    <x v="2"/>
    <s v="Chennai"/>
    <n v="9.27"/>
    <d v="1900-02-01T05:45:36"/>
    <n v="176.66"/>
    <n v="1.2"/>
    <n v="211.99"/>
    <n v="4"/>
    <x v="1"/>
    <x v="2"/>
  </r>
  <r>
    <s v="TRIP01295"/>
    <x v="262"/>
    <x v="2"/>
    <s v="Mumbai"/>
    <n v="26.56"/>
    <d v="1900-03-10T13:26:24"/>
    <n v="295.57"/>
    <n v="2"/>
    <n v="591.14"/>
    <n v="4.5999999999999996"/>
    <x v="0"/>
    <x v="3"/>
  </r>
  <r>
    <s v="TRIP01296"/>
    <x v="266"/>
    <x v="2"/>
    <s v="Delhi"/>
    <n v="5.78"/>
    <d v="1900-01-15T12:43:12"/>
    <n v="74.400000000000006"/>
    <n v="1.2"/>
    <n v="89.28"/>
    <n v="3"/>
    <x v="3"/>
    <x v="1"/>
  </r>
  <r>
    <s v="TRIP01297"/>
    <x v="127"/>
    <x v="2"/>
    <s v="Delhi"/>
    <n v="29.69"/>
    <d v="1900-03-02T15:07:12"/>
    <n v="402.3"/>
    <n v="1.5"/>
    <n v="603.45000000000005"/>
    <n v="4.0999999999999996"/>
    <x v="2"/>
    <x v="2"/>
  </r>
  <r>
    <s v="TRIP01298"/>
    <x v="283"/>
    <x v="1"/>
    <s v="Mumbai"/>
    <n v="10.16"/>
    <d v="1900-02-03T03:21:36"/>
    <n v="190.47"/>
    <n v="1"/>
    <n v="190.47"/>
    <n v="4.9000000000000004"/>
    <x v="0"/>
    <x v="1"/>
  </r>
  <r>
    <s v="TRIP01299"/>
    <x v="128"/>
    <x v="0"/>
    <s v="Delhi"/>
    <n v="25.67"/>
    <d v="1900-03-19T14:24:00"/>
    <n v="468.71"/>
    <n v="1.2"/>
    <n v="562.45000000000005"/>
    <n v="3.2"/>
    <x v="0"/>
    <x v="0"/>
  </r>
  <r>
    <s v="TRIP01300"/>
    <x v="317"/>
    <x v="4"/>
    <s v="Bangalore"/>
    <n v="10.19"/>
    <d v="1900-01-28T21:50:24"/>
    <n v="131"/>
    <n v="1.5"/>
    <n v="196.5"/>
    <n v="5"/>
    <x v="1"/>
    <x v="0"/>
  </r>
  <r>
    <s v="TRIP01301"/>
    <x v="202"/>
    <x v="3"/>
    <s v="Kolkata"/>
    <n v="3.84"/>
    <d v="1900-01-10T17:31:12"/>
    <n v="40.590000000000003"/>
    <n v="1.5"/>
    <n v="60.89"/>
    <n v="4.3"/>
    <x v="0"/>
    <x v="1"/>
  </r>
  <r>
    <s v="TRIP01302"/>
    <x v="161"/>
    <x v="1"/>
    <s v="Chennai"/>
    <n v="16.53"/>
    <d v="1900-02-27T02:52:48"/>
    <n v="300.52999999999997"/>
    <n v="1"/>
    <n v="300.52999999999997"/>
    <n v="3.9"/>
    <x v="1"/>
    <x v="2"/>
  </r>
  <r>
    <s v="TRIP01303"/>
    <x v="345"/>
    <x v="2"/>
    <s v="Mumbai"/>
    <n v="10.18"/>
    <d v="1900-02-04T02:52:48"/>
    <n v="107.1"/>
    <n v="1"/>
    <n v="107.1"/>
    <n v="4.3"/>
    <x v="0"/>
    <x v="3"/>
  </r>
  <r>
    <s v="TRIP01304"/>
    <x v="16"/>
    <x v="0"/>
    <s v="Delhi"/>
    <n v="14.84"/>
    <d v="1900-02-01T13:26:24"/>
    <n v="183.36"/>
    <n v="1.2"/>
    <n v="220.03"/>
    <n v="4.9000000000000004"/>
    <x v="0"/>
    <x v="2"/>
  </r>
  <r>
    <s v="TRIP01305"/>
    <x v="7"/>
    <x v="1"/>
    <s v="Bangalore"/>
    <n v="24.47"/>
    <d v="1900-03-28T02:24:00"/>
    <n v="472.79"/>
    <n v="1.2"/>
    <n v="567.35"/>
    <n v="4.9000000000000004"/>
    <x v="0"/>
    <x v="2"/>
  </r>
  <r>
    <s v="TRIP01306"/>
    <x v="31"/>
    <x v="4"/>
    <s v="Mumbai"/>
    <n v="7.79"/>
    <d v="1900-01-15T12:14:24"/>
    <n v="118.22"/>
    <n v="2"/>
    <n v="236.44"/>
    <n v="4.4000000000000004"/>
    <x v="4"/>
    <x v="0"/>
  </r>
  <r>
    <s v="TRIP01307"/>
    <x v="262"/>
    <x v="3"/>
    <s v="Kolkata"/>
    <n v="9.41"/>
    <d v="1900-02-02T20:52:48"/>
    <n v="130.58000000000001"/>
    <n v="2"/>
    <n v="261.16000000000003"/>
    <n v="4.8"/>
    <x v="4"/>
    <x v="2"/>
  </r>
  <r>
    <s v="TRIP01308"/>
    <x v="289"/>
    <x v="2"/>
    <s v="Bangalore"/>
    <n v="11.54"/>
    <d v="1900-01-31T02:09:36"/>
    <n v="127.64"/>
    <n v="1.5"/>
    <n v="191.46"/>
    <n v="3.3"/>
    <x v="3"/>
    <x v="1"/>
  </r>
  <r>
    <s v="TRIP01309"/>
    <x v="319"/>
    <x v="3"/>
    <s v="Delhi"/>
    <n v="17.98"/>
    <d v="1900-02-25T05:31:12"/>
    <n v="309.11"/>
    <n v="1.2"/>
    <n v="370.93"/>
    <n v="3.2"/>
    <x v="0"/>
    <x v="1"/>
  </r>
  <r>
    <s v="TRIP01310"/>
    <x v="245"/>
    <x v="3"/>
    <s v="Bangalore"/>
    <n v="10.6"/>
    <d v="1900-02-06T22:48:00"/>
    <n v="138.85"/>
    <n v="1"/>
    <n v="138.85"/>
    <n v="4.2"/>
    <x v="2"/>
    <x v="3"/>
  </r>
  <r>
    <s v="TRIP01311"/>
    <x v="115"/>
    <x v="2"/>
    <s v="Kolkata"/>
    <n v="25.8"/>
    <d v="1900-03-13T21:21:36"/>
    <n v="357.61"/>
    <n v="1.5"/>
    <n v="536.41999999999996"/>
    <n v="4.5999999999999996"/>
    <x v="0"/>
    <x v="3"/>
  </r>
  <r>
    <s v="TRIP01312"/>
    <x v="255"/>
    <x v="1"/>
    <s v="Chennai"/>
    <n v="4.1100000000000003"/>
    <d v="1900-01-11T09:36:00"/>
    <n v="71.33"/>
    <n v="1"/>
    <n v="71.33"/>
    <n v="4.8"/>
    <x v="0"/>
    <x v="0"/>
  </r>
  <r>
    <s v="TRIP01313"/>
    <x v="39"/>
    <x v="2"/>
    <s v="Chennai"/>
    <n v="11.74"/>
    <d v="1900-01-27T18:57:36"/>
    <n v="219.87"/>
    <n v="1.5"/>
    <n v="329.8"/>
    <n v="3.2"/>
    <x v="2"/>
    <x v="0"/>
  </r>
  <r>
    <s v="TRIP01314"/>
    <x v="339"/>
    <x v="0"/>
    <s v="Mumbai"/>
    <n v="6.82"/>
    <d v="1900-01-22T09:21:36"/>
    <n v="89.68"/>
    <n v="1.2"/>
    <n v="107.62"/>
    <n v="4.2"/>
    <x v="0"/>
    <x v="2"/>
  </r>
  <r>
    <s v="TRIP01315"/>
    <x v="196"/>
    <x v="3"/>
    <s v="Mumbai"/>
    <n v="8.66"/>
    <d v="1900-01-23T17:16:48"/>
    <n v="150.06"/>
    <n v="2"/>
    <n v="300.12"/>
    <n v="3.7"/>
    <x v="1"/>
    <x v="0"/>
  </r>
  <r>
    <s v="TRIP01316"/>
    <x v="107"/>
    <x v="2"/>
    <s v="Mumbai"/>
    <n v="13.61"/>
    <d v="1900-01-31T11:16:48"/>
    <n v="162.11000000000001"/>
    <n v="2"/>
    <n v="324.22000000000003"/>
    <n v="4.4000000000000004"/>
    <x v="4"/>
    <x v="3"/>
  </r>
  <r>
    <s v="TRIP01317"/>
    <x v="277"/>
    <x v="3"/>
    <s v="Bangalore"/>
    <n v="1.28"/>
    <d v="1900-01-01T18:00:00"/>
    <n v="19.66"/>
    <n v="1.2"/>
    <n v="23.59"/>
    <n v="4.9000000000000004"/>
    <x v="2"/>
    <x v="1"/>
  </r>
  <r>
    <s v="TRIP01318"/>
    <x v="316"/>
    <x v="3"/>
    <s v="Kolkata"/>
    <n v="28.16"/>
    <d v="1900-03-02T07:26:24"/>
    <n v="518.70000000000005"/>
    <n v="1.5"/>
    <n v="778.05"/>
    <n v="4"/>
    <x v="1"/>
    <x v="1"/>
  </r>
  <r>
    <s v="TRIP01319"/>
    <x v="44"/>
    <x v="0"/>
    <s v="Chennai"/>
    <n v="15.81"/>
    <d v="1900-02-14T16:48:00"/>
    <n v="290.10000000000002"/>
    <n v="1.2"/>
    <n v="348.12"/>
    <n v="4"/>
    <x v="3"/>
    <x v="3"/>
  </r>
  <r>
    <s v="TRIP01320"/>
    <x v="228"/>
    <x v="0"/>
    <s v="Delhi"/>
    <n v="4.24"/>
    <d v="1900-01-08T11:02:24"/>
    <n v="76.39"/>
    <n v="1.2"/>
    <n v="91.67"/>
    <n v="3.8"/>
    <x v="0"/>
    <x v="3"/>
  </r>
  <r>
    <s v="TRIP01321"/>
    <x v="44"/>
    <x v="0"/>
    <s v="Delhi"/>
    <n v="6.79"/>
    <d v="1900-01-13T02:09:36"/>
    <n v="111.58"/>
    <n v="1.5"/>
    <n v="167.37"/>
    <n v="4.5"/>
    <x v="1"/>
    <x v="0"/>
  </r>
  <r>
    <s v="TRIP01322"/>
    <x v="46"/>
    <x v="1"/>
    <s v="Chennai"/>
    <n v="7.7"/>
    <d v="1900-01-26T18:00:00"/>
    <n v="142.56"/>
    <n v="1.2"/>
    <n v="171.07"/>
    <n v="4.8"/>
    <x v="2"/>
    <x v="1"/>
  </r>
  <r>
    <s v="TRIP01323"/>
    <x v="24"/>
    <x v="0"/>
    <s v="Kolkata"/>
    <n v="2.69"/>
    <d v="1900-01-09T08:52:48"/>
    <n v="44.34"/>
    <n v="1.2"/>
    <n v="53.21"/>
    <n v="3.3"/>
    <x v="1"/>
    <x v="2"/>
  </r>
  <r>
    <s v="TRIP01324"/>
    <x v="324"/>
    <x v="4"/>
    <s v="Mumbai"/>
    <n v="20.5"/>
    <d v="1900-03-02T18:43:12"/>
    <n v="225.27"/>
    <n v="1.2"/>
    <n v="270.32"/>
    <n v="4.9000000000000004"/>
    <x v="1"/>
    <x v="1"/>
  </r>
  <r>
    <s v="TRIP01325"/>
    <x v="321"/>
    <x v="3"/>
    <s v="Delhi"/>
    <n v="5.99"/>
    <d v="1900-01-21T04:04:48"/>
    <n v="112.48"/>
    <n v="1.5"/>
    <n v="168.72"/>
    <n v="3.1"/>
    <x v="4"/>
    <x v="1"/>
  </r>
  <r>
    <s v="TRIP01326"/>
    <x v="287"/>
    <x v="4"/>
    <s v="Delhi"/>
    <n v="12.08"/>
    <d v="1900-01-29T23:16:48"/>
    <n v="208.02"/>
    <n v="1.2"/>
    <n v="249.62"/>
    <n v="3.6"/>
    <x v="2"/>
    <x v="0"/>
  </r>
  <r>
    <s v="TRIP01327"/>
    <x v="317"/>
    <x v="1"/>
    <s v="Mumbai"/>
    <n v="15.84"/>
    <d v="1900-02-04T17:02:24"/>
    <n v="166.87"/>
    <n v="1"/>
    <n v="166.87"/>
    <n v="4"/>
    <x v="1"/>
    <x v="3"/>
  </r>
  <r>
    <s v="TRIP01328"/>
    <x v="349"/>
    <x v="1"/>
    <s v="Chennai"/>
    <n v="23.22"/>
    <d v="1900-03-09T13:26:24"/>
    <n v="304.19"/>
    <n v="1.2"/>
    <n v="365.03"/>
    <n v="4.2"/>
    <x v="2"/>
    <x v="3"/>
  </r>
  <r>
    <s v="TRIP01329"/>
    <x v="49"/>
    <x v="2"/>
    <s v="Chennai"/>
    <n v="20.52"/>
    <d v="1900-02-10T23:16:48"/>
    <n v="321.41000000000003"/>
    <n v="1"/>
    <n v="321.41000000000003"/>
    <n v="4.8"/>
    <x v="3"/>
    <x v="3"/>
  </r>
  <r>
    <s v="TRIP01330"/>
    <x v="74"/>
    <x v="4"/>
    <s v="Mumbai"/>
    <n v="21.62"/>
    <d v="1900-03-25T07:55:12"/>
    <n v="387.12"/>
    <n v="1"/>
    <n v="387.12"/>
    <n v="3.9"/>
    <x v="3"/>
    <x v="0"/>
  </r>
  <r>
    <s v="TRIP01331"/>
    <x v="8"/>
    <x v="1"/>
    <s v="Bangalore"/>
    <n v="3.7"/>
    <d v="1900-01-09T20:38:24"/>
    <n v="69.84"/>
    <n v="1.2"/>
    <n v="83.81"/>
    <n v="4.0999999999999996"/>
    <x v="1"/>
    <x v="0"/>
  </r>
  <r>
    <s v="TRIP01332"/>
    <x v="64"/>
    <x v="4"/>
    <s v="Kolkata"/>
    <n v="21.38"/>
    <d v="1900-03-23T15:21:36"/>
    <n v="327.39999999999998"/>
    <n v="1"/>
    <n v="327.39999999999998"/>
    <n v="4.9000000000000004"/>
    <x v="0"/>
    <x v="0"/>
  </r>
  <r>
    <s v="TRIP01333"/>
    <x v="253"/>
    <x v="1"/>
    <s v="Kolkata"/>
    <n v="19.62"/>
    <d v="1900-02-18T22:33:36"/>
    <n v="221.01"/>
    <n v="1.2"/>
    <n v="265.20999999999998"/>
    <n v="4.8"/>
    <x v="1"/>
    <x v="0"/>
  </r>
  <r>
    <s v="TRIP01334"/>
    <x v="13"/>
    <x v="4"/>
    <s v="Mumbai"/>
    <n v="20.149999999999999"/>
    <d v="1900-02-27T06:28:48"/>
    <n v="241.58"/>
    <n v="1.2"/>
    <n v="289.89999999999998"/>
    <n v="4.2"/>
    <x v="2"/>
    <x v="0"/>
  </r>
  <r>
    <s v="TRIP01335"/>
    <x v="206"/>
    <x v="4"/>
    <s v="Bangalore"/>
    <n v="16.850000000000001"/>
    <d v="1900-02-16T09:21:36"/>
    <n v="294.64999999999998"/>
    <n v="1"/>
    <n v="294.64999999999998"/>
    <n v="3.7"/>
    <x v="1"/>
    <x v="1"/>
  </r>
  <r>
    <s v="TRIP01336"/>
    <x v="224"/>
    <x v="1"/>
    <s v="Delhi"/>
    <n v="2.13"/>
    <d v="1900-01-04T02:09:36"/>
    <n v="32.729999999999997"/>
    <n v="2"/>
    <n v="65.459999999999994"/>
    <n v="3.7"/>
    <x v="4"/>
    <x v="0"/>
  </r>
  <r>
    <s v="TRIP01337"/>
    <x v="287"/>
    <x v="0"/>
    <s v="Mumbai"/>
    <n v="25.43"/>
    <d v="1900-03-06T06:43:12"/>
    <n v="363.51"/>
    <n v="1"/>
    <n v="363.51"/>
    <n v="4.5999999999999996"/>
    <x v="4"/>
    <x v="3"/>
  </r>
  <r>
    <s v="TRIP01338"/>
    <x v="145"/>
    <x v="2"/>
    <s v="Chennai"/>
    <n v="1.9"/>
    <d v="1900-01-06T09:36:00"/>
    <n v="23.57"/>
    <n v="1.2"/>
    <n v="28.28"/>
    <n v="4.4000000000000004"/>
    <x v="4"/>
    <x v="1"/>
  </r>
  <r>
    <s v="TRIP01339"/>
    <x v="228"/>
    <x v="1"/>
    <s v="Delhi"/>
    <n v="27.93"/>
    <d v="1900-03-28T05:45:36"/>
    <n v="465.6"/>
    <n v="1.5"/>
    <n v="698.4"/>
    <n v="4.4000000000000004"/>
    <x v="0"/>
    <x v="0"/>
  </r>
  <r>
    <s v="TRIP01340"/>
    <x v="95"/>
    <x v="0"/>
    <s v="Mumbai"/>
    <n v="7.85"/>
    <d v="1900-01-25T01:55:12"/>
    <n v="109.27"/>
    <n v="1"/>
    <n v="109.27"/>
    <n v="4.5"/>
    <x v="2"/>
    <x v="1"/>
  </r>
  <r>
    <s v="TRIP01341"/>
    <x v="234"/>
    <x v="2"/>
    <s v="Kolkata"/>
    <n v="12.23"/>
    <d v="1900-01-31T22:19:12"/>
    <n v="224.53"/>
    <n v="1.5"/>
    <n v="336.8"/>
    <n v="3.5"/>
    <x v="3"/>
    <x v="2"/>
  </r>
  <r>
    <s v="TRIP01342"/>
    <x v="229"/>
    <x v="1"/>
    <s v="Chennai"/>
    <n v="8.2100000000000009"/>
    <d v="1900-01-15T16:04:48"/>
    <n v="95.79"/>
    <n v="1.2"/>
    <n v="114.95"/>
    <n v="3.4"/>
    <x v="1"/>
    <x v="0"/>
  </r>
  <r>
    <s v="TRIP01343"/>
    <x v="323"/>
    <x v="3"/>
    <s v="Mumbai"/>
    <n v="1.61"/>
    <d v="1900-01-02T08:09:36"/>
    <n v="30.63"/>
    <n v="1.5"/>
    <n v="45.94"/>
    <n v="3.7"/>
    <x v="4"/>
    <x v="0"/>
  </r>
  <r>
    <s v="TRIP01344"/>
    <x v="274"/>
    <x v="3"/>
    <s v="Chennai"/>
    <n v="7.62"/>
    <d v="1900-01-25T12:28:48"/>
    <n v="99.8"/>
    <n v="1.5"/>
    <n v="149.69999999999999"/>
    <n v="4.5999999999999996"/>
    <x v="2"/>
    <x v="2"/>
  </r>
  <r>
    <s v="TRIP01345"/>
    <x v="70"/>
    <x v="1"/>
    <s v="Chennai"/>
    <n v="12.65"/>
    <d v="1900-01-26T05:31:12"/>
    <n v="219.19"/>
    <n v="2"/>
    <n v="438.38"/>
    <n v="3.8"/>
    <x v="1"/>
    <x v="3"/>
  </r>
  <r>
    <s v="TRIP01346"/>
    <x v="20"/>
    <x v="2"/>
    <s v="Kolkata"/>
    <n v="20.329999999999998"/>
    <d v="1900-02-20T05:16:48"/>
    <n v="322.39"/>
    <n v="1"/>
    <n v="322.39"/>
    <n v="3.9"/>
    <x v="4"/>
    <x v="3"/>
  </r>
  <r>
    <s v="TRIP01347"/>
    <x v="264"/>
    <x v="4"/>
    <s v="Delhi"/>
    <n v="27.59"/>
    <d v="1900-04-19T04:19:12"/>
    <n v="318.3"/>
    <n v="1.5"/>
    <n v="477.45"/>
    <n v="4.3"/>
    <x v="0"/>
    <x v="3"/>
  </r>
  <r>
    <s v="TRIP01348"/>
    <x v="251"/>
    <x v="3"/>
    <s v="Bangalore"/>
    <n v="18.13"/>
    <d v="1900-02-22T14:24:00"/>
    <n v="184.56"/>
    <n v="1.2"/>
    <n v="221.47"/>
    <n v="4.9000000000000004"/>
    <x v="3"/>
    <x v="3"/>
  </r>
  <r>
    <s v="TRIP01349"/>
    <x v="54"/>
    <x v="4"/>
    <s v="Kolkata"/>
    <n v="20.96"/>
    <d v="1900-03-14T19:55:12"/>
    <n v="376.29"/>
    <n v="1"/>
    <n v="376.29"/>
    <n v="4"/>
    <x v="3"/>
    <x v="3"/>
  </r>
  <r>
    <s v="TRIP01350"/>
    <x v="153"/>
    <x v="0"/>
    <s v="Delhi"/>
    <n v="25.05"/>
    <d v="1900-03-05T06:14:24"/>
    <n v="367.67"/>
    <n v="1"/>
    <n v="367.67"/>
    <n v="4"/>
    <x v="0"/>
    <x v="1"/>
  </r>
  <r>
    <s v="TRIP01351"/>
    <x v="68"/>
    <x v="4"/>
    <s v="Delhi"/>
    <n v="24.28"/>
    <d v="1900-02-28T13:12:00"/>
    <n v="461.23"/>
    <n v="1.2"/>
    <n v="553.48"/>
    <n v="3.9"/>
    <x v="3"/>
    <x v="1"/>
  </r>
  <r>
    <s v="TRIP01352"/>
    <x v="180"/>
    <x v="2"/>
    <s v="Bangalore"/>
    <n v="16.09"/>
    <d v="1900-02-21T23:16:48"/>
    <n v="286.16000000000003"/>
    <n v="2"/>
    <n v="572.32000000000005"/>
    <n v="3.9"/>
    <x v="2"/>
    <x v="1"/>
  </r>
  <r>
    <s v="TRIP01353"/>
    <x v="71"/>
    <x v="0"/>
    <s v="Delhi"/>
    <n v="12.25"/>
    <d v="1900-01-29T10:33:36"/>
    <n v="235.75"/>
    <n v="1.5"/>
    <n v="353.62"/>
    <n v="3.7"/>
    <x v="2"/>
    <x v="2"/>
  </r>
  <r>
    <s v="TRIP01354"/>
    <x v="87"/>
    <x v="1"/>
    <s v="Delhi"/>
    <n v="19.07"/>
    <d v="1900-02-08T23:31:12"/>
    <n v="286.75"/>
    <n v="1"/>
    <n v="286.75"/>
    <n v="3.1"/>
    <x v="3"/>
    <x v="2"/>
  </r>
  <r>
    <s v="TRIP01355"/>
    <x v="14"/>
    <x v="0"/>
    <s v="Bangalore"/>
    <n v="19.48"/>
    <d v="1900-02-28T15:36:00"/>
    <n v="338.62"/>
    <n v="1.5"/>
    <n v="507.93"/>
    <n v="3.5"/>
    <x v="3"/>
    <x v="1"/>
  </r>
  <r>
    <s v="TRIP01356"/>
    <x v="180"/>
    <x v="1"/>
    <s v="Bangalore"/>
    <n v="14.34"/>
    <d v="1900-02-05T05:16:48"/>
    <n v="148.12"/>
    <n v="1"/>
    <n v="148.12"/>
    <n v="4.3"/>
    <x v="4"/>
    <x v="2"/>
  </r>
  <r>
    <s v="TRIP01357"/>
    <x v="67"/>
    <x v="1"/>
    <s v="Delhi"/>
    <n v="9.2100000000000009"/>
    <d v="1900-01-18T02:52:48"/>
    <n v="183.7"/>
    <n v="1"/>
    <n v="183.7"/>
    <n v="4.8"/>
    <x v="3"/>
    <x v="1"/>
  </r>
  <r>
    <s v="TRIP01358"/>
    <x v="349"/>
    <x v="0"/>
    <s v="Mumbai"/>
    <n v="14.12"/>
    <d v="1900-01-28T11:02:24"/>
    <n v="184.92"/>
    <n v="1"/>
    <n v="184.92"/>
    <n v="4.7"/>
    <x v="3"/>
    <x v="2"/>
  </r>
  <r>
    <s v="TRIP01359"/>
    <x v="344"/>
    <x v="1"/>
    <s v="Mumbai"/>
    <n v="19.97"/>
    <d v="1900-02-18T22:33:36"/>
    <n v="392.96"/>
    <n v="2"/>
    <n v="785.92"/>
    <n v="3.4"/>
    <x v="0"/>
    <x v="2"/>
  </r>
  <r>
    <s v="TRIP01360"/>
    <x v="79"/>
    <x v="1"/>
    <s v="Bangalore"/>
    <n v="6.55"/>
    <d v="1900-01-16T04:48:00"/>
    <n v="97.34"/>
    <n v="1"/>
    <n v="97.34"/>
    <n v="3.5"/>
    <x v="1"/>
    <x v="1"/>
  </r>
  <r>
    <s v="TRIP01361"/>
    <x v="44"/>
    <x v="1"/>
    <s v="Delhi"/>
    <n v="13.06"/>
    <d v="1900-02-12T22:33:36"/>
    <n v="250.53"/>
    <n v="1.2"/>
    <n v="300.64"/>
    <n v="4.4000000000000004"/>
    <x v="3"/>
    <x v="1"/>
  </r>
  <r>
    <s v="TRIP01362"/>
    <x v="239"/>
    <x v="1"/>
    <s v="Chennai"/>
    <n v="16"/>
    <d v="1900-03-01T01:26:24"/>
    <n v="288.7"/>
    <n v="1"/>
    <n v="288.7"/>
    <n v="3"/>
    <x v="2"/>
    <x v="3"/>
  </r>
  <r>
    <s v="TRIP01363"/>
    <x v="213"/>
    <x v="0"/>
    <s v="Chennai"/>
    <n v="4.28"/>
    <d v="1900-01-14T04:19:12"/>
    <n v="63.85"/>
    <n v="1.2"/>
    <n v="76.62"/>
    <n v="4.8"/>
    <x v="2"/>
    <x v="0"/>
  </r>
  <r>
    <s v="TRIP01364"/>
    <x v="125"/>
    <x v="3"/>
    <s v="Bangalore"/>
    <n v="14.98"/>
    <d v="1900-01-31T01:40:48"/>
    <n v="191.47"/>
    <n v="1.2"/>
    <n v="229.76"/>
    <n v="3.3"/>
    <x v="3"/>
    <x v="1"/>
  </r>
  <r>
    <s v="TRIP01365"/>
    <x v="325"/>
    <x v="3"/>
    <s v="Delhi"/>
    <n v="27.44"/>
    <d v="1900-03-25T06:57:36"/>
    <n v="419.05"/>
    <n v="1.5"/>
    <n v="628.58000000000004"/>
    <n v="4"/>
    <x v="0"/>
    <x v="2"/>
  </r>
  <r>
    <s v="TRIP01366"/>
    <x v="340"/>
    <x v="3"/>
    <s v="Bangalore"/>
    <n v="27.62"/>
    <d v="1900-03-06T03:36:00"/>
    <n v="548.01"/>
    <n v="1"/>
    <n v="548.01"/>
    <n v="3.3"/>
    <x v="1"/>
    <x v="0"/>
  </r>
  <r>
    <s v="TRIP01367"/>
    <x v="154"/>
    <x v="4"/>
    <s v="Bangalore"/>
    <n v="20.03"/>
    <d v="1900-02-26T22:48:00"/>
    <n v="314.8"/>
    <n v="1.2"/>
    <n v="377.76"/>
    <n v="4.9000000000000004"/>
    <x v="4"/>
    <x v="3"/>
  </r>
  <r>
    <s v="TRIP01368"/>
    <x v="207"/>
    <x v="3"/>
    <s v="Bangalore"/>
    <n v="19.16"/>
    <d v="1900-03-12T11:16:48"/>
    <n v="288.48"/>
    <n v="1"/>
    <n v="288.48"/>
    <n v="4.2"/>
    <x v="1"/>
    <x v="0"/>
  </r>
  <r>
    <s v="TRIP01369"/>
    <x v="212"/>
    <x v="0"/>
    <s v="Kolkata"/>
    <n v="4.01"/>
    <d v="1900-01-14T17:45:36"/>
    <n v="75.8"/>
    <n v="2"/>
    <n v="151.6"/>
    <n v="4.2"/>
    <x v="1"/>
    <x v="1"/>
  </r>
  <r>
    <s v="TRIP01370"/>
    <x v="32"/>
    <x v="4"/>
    <s v="Chennai"/>
    <n v="16.03"/>
    <d v="1900-02-14T20:52:48"/>
    <n v="210.7"/>
    <n v="1"/>
    <n v="210.7"/>
    <n v="4.5"/>
    <x v="0"/>
    <x v="1"/>
  </r>
  <r>
    <s v="TRIP01371"/>
    <x v="111"/>
    <x v="4"/>
    <s v="Kolkata"/>
    <n v="26.07"/>
    <d v="1900-03-18T04:33:36"/>
    <n v="375.02"/>
    <n v="2"/>
    <n v="750.04"/>
    <n v="3.1"/>
    <x v="4"/>
    <x v="2"/>
  </r>
  <r>
    <s v="TRIP01372"/>
    <x v="267"/>
    <x v="1"/>
    <s v="Mumbai"/>
    <n v="4.83"/>
    <d v="1900-01-15T23:16:48"/>
    <n v="61.63"/>
    <n v="1"/>
    <n v="61.63"/>
    <n v="4"/>
    <x v="3"/>
    <x v="2"/>
  </r>
  <r>
    <s v="TRIP01373"/>
    <x v="174"/>
    <x v="0"/>
    <s v="Mumbai"/>
    <n v="11.04"/>
    <d v="1900-02-07T21:50:24"/>
    <n v="149.75"/>
    <n v="2"/>
    <n v="299.5"/>
    <n v="4"/>
    <x v="4"/>
    <x v="1"/>
  </r>
  <r>
    <s v="TRIP01374"/>
    <x v="196"/>
    <x v="0"/>
    <s v="Chennai"/>
    <n v="19.93"/>
    <d v="1900-02-26T00:57:36"/>
    <n v="278.58"/>
    <n v="1"/>
    <n v="278.58"/>
    <n v="3.5"/>
    <x v="2"/>
    <x v="1"/>
  </r>
  <r>
    <s v="TRIP01375"/>
    <x v="240"/>
    <x v="0"/>
    <s v="Mumbai"/>
    <n v="4.91"/>
    <d v="1900-01-11T21:50:24"/>
    <n v="72.94"/>
    <n v="1"/>
    <n v="72.94"/>
    <n v="4.8"/>
    <x v="3"/>
    <x v="0"/>
  </r>
  <r>
    <s v="TRIP01376"/>
    <x v="95"/>
    <x v="2"/>
    <s v="Kolkata"/>
    <n v="6.1"/>
    <d v="1900-01-12T23:16:48"/>
    <n v="76.540000000000006"/>
    <n v="2"/>
    <n v="153.08000000000001"/>
    <n v="4.0999999999999996"/>
    <x v="2"/>
    <x v="0"/>
  </r>
  <r>
    <s v="TRIP01377"/>
    <x v="54"/>
    <x v="3"/>
    <s v="Chennai"/>
    <n v="22.97"/>
    <d v="1900-03-20T17:45:36"/>
    <n v="415.7"/>
    <n v="1.5"/>
    <n v="623.54999999999995"/>
    <n v="4.0999999999999996"/>
    <x v="4"/>
    <x v="0"/>
  </r>
  <r>
    <s v="TRIP01378"/>
    <x v="241"/>
    <x v="2"/>
    <s v="Delhi"/>
    <n v="7.51"/>
    <d v="1900-01-21T00:14:24"/>
    <n v="95.01"/>
    <n v="1.5"/>
    <n v="142.52000000000001"/>
    <n v="3.7"/>
    <x v="1"/>
    <x v="2"/>
  </r>
  <r>
    <s v="TRIP01379"/>
    <x v="137"/>
    <x v="0"/>
    <s v="Chennai"/>
    <n v="16.03"/>
    <d v="1900-02-03T16:04:48"/>
    <n v="310.02"/>
    <n v="1.2"/>
    <n v="372.02"/>
    <n v="4"/>
    <x v="4"/>
    <x v="0"/>
  </r>
  <r>
    <s v="TRIP01380"/>
    <x v="45"/>
    <x v="1"/>
    <s v="Delhi"/>
    <n v="12.79"/>
    <d v="1900-02-03T09:07:12"/>
    <n v="229.54"/>
    <n v="2"/>
    <n v="459.08"/>
    <n v="4.8"/>
    <x v="3"/>
    <x v="3"/>
  </r>
  <r>
    <s v="TRIP01381"/>
    <x v="87"/>
    <x v="0"/>
    <s v="Delhi"/>
    <n v="8.75"/>
    <d v="1900-01-25T09:50:24"/>
    <n v="100.4"/>
    <n v="2"/>
    <n v="200.8"/>
    <n v="3.2"/>
    <x v="4"/>
    <x v="1"/>
  </r>
  <r>
    <s v="TRIP01382"/>
    <x v="338"/>
    <x v="3"/>
    <s v="Mumbai"/>
    <n v="21.73"/>
    <d v="1900-03-24T05:02:24"/>
    <n v="415.53"/>
    <n v="1"/>
    <n v="415.53"/>
    <n v="4.9000000000000004"/>
    <x v="2"/>
    <x v="2"/>
  </r>
  <r>
    <s v="TRIP01383"/>
    <x v="48"/>
    <x v="3"/>
    <s v="Mumbai"/>
    <n v="4.82"/>
    <d v="1900-01-11T13:12:00"/>
    <n v="91.34"/>
    <n v="2"/>
    <n v="182.68"/>
    <n v="4.7"/>
    <x v="1"/>
    <x v="0"/>
  </r>
  <r>
    <s v="TRIP01384"/>
    <x v="340"/>
    <x v="3"/>
    <s v="Mumbai"/>
    <n v="4.1900000000000004"/>
    <d v="1900-01-15T07:40:48"/>
    <n v="59.64"/>
    <n v="2"/>
    <n v="119.28"/>
    <n v="3.1"/>
    <x v="1"/>
    <x v="3"/>
  </r>
  <r>
    <s v="TRIP01385"/>
    <x v="0"/>
    <x v="0"/>
    <s v="Kolkata"/>
    <n v="2.34"/>
    <d v="1900-01-06T05:31:12"/>
    <n v="31.32"/>
    <n v="2"/>
    <n v="62.64"/>
    <n v="3.3"/>
    <x v="3"/>
    <x v="1"/>
  </r>
  <r>
    <s v="TRIP01386"/>
    <x v="117"/>
    <x v="4"/>
    <s v="Delhi"/>
    <n v="20.2"/>
    <d v="1900-02-25T22:33:36"/>
    <n v="367.52"/>
    <n v="2"/>
    <n v="735.04"/>
    <n v="3"/>
    <x v="4"/>
    <x v="3"/>
  </r>
  <r>
    <s v="TRIP01387"/>
    <x v="233"/>
    <x v="0"/>
    <s v="Delhi"/>
    <n v="16.43"/>
    <d v="1900-02-10T05:02:24"/>
    <n v="172.03"/>
    <n v="1.5"/>
    <n v="258.04000000000002"/>
    <n v="4"/>
    <x v="3"/>
    <x v="2"/>
  </r>
  <r>
    <s v="TRIP01388"/>
    <x v="180"/>
    <x v="2"/>
    <s v="Chennai"/>
    <n v="5.72"/>
    <d v="1900-01-19T17:31:12"/>
    <n v="106.01"/>
    <n v="1"/>
    <n v="106.01"/>
    <n v="4.7"/>
    <x v="1"/>
    <x v="1"/>
  </r>
  <r>
    <s v="TRIP01389"/>
    <x v="350"/>
    <x v="3"/>
    <s v="Mumbai"/>
    <n v="12.45"/>
    <d v="1900-01-30T05:31:12"/>
    <n v="246.78"/>
    <n v="1.2"/>
    <n v="296.14"/>
    <n v="4.4000000000000004"/>
    <x v="1"/>
    <x v="3"/>
  </r>
  <r>
    <s v="TRIP01390"/>
    <x v="74"/>
    <x v="2"/>
    <s v="Mumbai"/>
    <n v="23.78"/>
    <d v="1900-03-03T01:12:00"/>
    <n v="432.08"/>
    <n v="1.2"/>
    <n v="518.5"/>
    <n v="3"/>
    <x v="2"/>
    <x v="1"/>
  </r>
  <r>
    <s v="TRIP01391"/>
    <x v="327"/>
    <x v="0"/>
    <s v="Delhi"/>
    <n v="22.6"/>
    <d v="1900-02-16T19:12:00"/>
    <n v="236.98"/>
    <n v="2"/>
    <n v="473.96"/>
    <n v="4"/>
    <x v="1"/>
    <x v="3"/>
  </r>
  <r>
    <s v="TRIP01392"/>
    <x v="338"/>
    <x v="0"/>
    <s v="Bangalore"/>
    <n v="4.66"/>
    <d v="1900-01-09T11:16:48"/>
    <n v="53.47"/>
    <n v="1.2"/>
    <n v="64.16"/>
    <n v="3.9"/>
    <x v="1"/>
    <x v="0"/>
  </r>
  <r>
    <s v="TRIP01393"/>
    <x v="313"/>
    <x v="2"/>
    <s v="Bangalore"/>
    <n v="9.74"/>
    <d v="1900-01-20T07:40:48"/>
    <n v="171.27"/>
    <n v="1.5"/>
    <n v="256.91000000000003"/>
    <n v="4.3"/>
    <x v="1"/>
    <x v="0"/>
  </r>
  <r>
    <s v="TRIP01394"/>
    <x v="132"/>
    <x v="2"/>
    <s v="Kolkata"/>
    <n v="2.5499999999999998"/>
    <d v="1900-01-04T19:40:48"/>
    <n v="41.38"/>
    <n v="1.5"/>
    <n v="62.07"/>
    <n v="4.5999999999999996"/>
    <x v="0"/>
    <x v="3"/>
  </r>
  <r>
    <s v="TRIP01395"/>
    <x v="234"/>
    <x v="2"/>
    <s v="Delhi"/>
    <n v="16.8"/>
    <d v="1900-02-11T03:07:12"/>
    <n v="327.33999999999997"/>
    <n v="1"/>
    <n v="327.33999999999997"/>
    <n v="3.7"/>
    <x v="3"/>
    <x v="2"/>
  </r>
  <r>
    <s v="TRIP01396"/>
    <x v="300"/>
    <x v="1"/>
    <s v="Kolkata"/>
    <n v="3.26"/>
    <d v="1900-01-06T05:02:24"/>
    <n v="48.66"/>
    <n v="2"/>
    <n v="97.32"/>
    <n v="4.2"/>
    <x v="1"/>
    <x v="1"/>
  </r>
  <r>
    <s v="TRIP01397"/>
    <x v="154"/>
    <x v="3"/>
    <s v="Bangalore"/>
    <n v="5.6"/>
    <d v="1900-01-15T15:50:24"/>
    <n v="76.39"/>
    <n v="1.2"/>
    <n v="91.67"/>
    <n v="4.5999999999999996"/>
    <x v="1"/>
    <x v="2"/>
  </r>
  <r>
    <s v="TRIP01398"/>
    <x v="172"/>
    <x v="1"/>
    <s v="Bangalore"/>
    <n v="13.48"/>
    <d v="1900-02-02T08:52:48"/>
    <n v="254.47"/>
    <n v="2"/>
    <n v="508.94"/>
    <n v="3.1"/>
    <x v="3"/>
    <x v="3"/>
  </r>
  <r>
    <s v="TRIP01399"/>
    <x v="154"/>
    <x v="2"/>
    <s v="Mumbai"/>
    <n v="21.7"/>
    <d v="1900-03-04T05:31:12"/>
    <n v="304.32"/>
    <n v="1"/>
    <n v="304.32"/>
    <n v="4.9000000000000004"/>
    <x v="2"/>
    <x v="3"/>
  </r>
  <r>
    <s v="TRIP01400"/>
    <x v="283"/>
    <x v="4"/>
    <s v="Chennai"/>
    <n v="23.35"/>
    <d v="1900-02-27T00:43:12"/>
    <n v="234.76"/>
    <n v="2"/>
    <n v="469.52"/>
    <n v="5"/>
    <x v="2"/>
    <x v="3"/>
  </r>
  <r>
    <s v="TRIP01401"/>
    <x v="187"/>
    <x v="0"/>
    <s v="Mumbai"/>
    <n v="19.989999999999998"/>
    <d v="1900-02-25T16:19:12"/>
    <n v="389.59"/>
    <n v="1.2"/>
    <n v="467.51"/>
    <n v="3.5"/>
    <x v="0"/>
    <x v="2"/>
  </r>
  <r>
    <s v="TRIP01402"/>
    <x v="54"/>
    <x v="4"/>
    <s v="Chennai"/>
    <n v="12.68"/>
    <d v="1900-01-29T15:07:12"/>
    <n v="229.94"/>
    <n v="1.2"/>
    <n v="275.93"/>
    <n v="3.4"/>
    <x v="3"/>
    <x v="1"/>
  </r>
  <r>
    <s v="TRIP01403"/>
    <x v="184"/>
    <x v="0"/>
    <s v="Delhi"/>
    <n v="7.85"/>
    <d v="1900-01-16T05:45:36"/>
    <n v="123.73"/>
    <n v="2"/>
    <n v="247.46"/>
    <n v="4.7"/>
    <x v="3"/>
    <x v="1"/>
  </r>
  <r>
    <s v="TRIP01404"/>
    <x v="146"/>
    <x v="1"/>
    <s v="Bangalore"/>
    <n v="2.63"/>
    <d v="1900-01-04T16:19:12"/>
    <n v="52.41"/>
    <n v="2"/>
    <n v="104.82"/>
    <n v="3.1"/>
    <x v="1"/>
    <x v="0"/>
  </r>
  <r>
    <s v="TRIP01405"/>
    <x v="215"/>
    <x v="4"/>
    <s v="Mumbai"/>
    <n v="19.97"/>
    <d v="1900-03-01T06:00:00"/>
    <n v="388.23"/>
    <n v="2"/>
    <n v="776.46"/>
    <n v="4.7"/>
    <x v="2"/>
    <x v="1"/>
  </r>
  <r>
    <s v="TRIP01406"/>
    <x v="104"/>
    <x v="4"/>
    <s v="Kolkata"/>
    <n v="15.19"/>
    <d v="1900-02-13T22:48:00"/>
    <n v="192.57"/>
    <n v="1"/>
    <n v="192.57"/>
    <n v="4.2"/>
    <x v="0"/>
    <x v="0"/>
  </r>
  <r>
    <s v="TRIP01407"/>
    <x v="246"/>
    <x v="1"/>
    <s v="Kolkata"/>
    <n v="21.49"/>
    <d v="1900-03-23T09:50:24"/>
    <n v="285.67"/>
    <n v="1"/>
    <n v="285.67"/>
    <n v="3"/>
    <x v="3"/>
    <x v="0"/>
  </r>
  <r>
    <s v="TRIP01408"/>
    <x v="230"/>
    <x v="4"/>
    <s v="Delhi"/>
    <n v="16.79"/>
    <d v="1900-02-07T05:45:36"/>
    <n v="295.58"/>
    <n v="1.2"/>
    <n v="354.7"/>
    <n v="3.4"/>
    <x v="3"/>
    <x v="2"/>
  </r>
  <r>
    <s v="TRIP01409"/>
    <x v="149"/>
    <x v="0"/>
    <s v="Bangalore"/>
    <n v="6.72"/>
    <d v="1900-01-24T04:48:00"/>
    <n v="114.54"/>
    <n v="1"/>
    <n v="114.54"/>
    <n v="4.3"/>
    <x v="4"/>
    <x v="1"/>
  </r>
  <r>
    <s v="TRIP01410"/>
    <x v="351"/>
    <x v="0"/>
    <s v="Mumbai"/>
    <n v="14.92"/>
    <d v="1900-02-08T23:31:12"/>
    <n v="222.79"/>
    <n v="1"/>
    <n v="222.79"/>
    <n v="4"/>
    <x v="3"/>
    <x v="2"/>
  </r>
  <r>
    <s v="TRIP01411"/>
    <x v="27"/>
    <x v="0"/>
    <s v="Bangalore"/>
    <n v="16.059999999999999"/>
    <d v="1900-02-09T16:33:36"/>
    <n v="228.46"/>
    <n v="1"/>
    <n v="228.46"/>
    <n v="3.2"/>
    <x v="4"/>
    <x v="1"/>
  </r>
  <r>
    <s v="TRIP01412"/>
    <x v="142"/>
    <x v="4"/>
    <s v="Bangalore"/>
    <n v="11.52"/>
    <d v="1900-01-27T19:40:48"/>
    <n v="193.93"/>
    <n v="1.5"/>
    <n v="290.89999999999998"/>
    <n v="3.9"/>
    <x v="1"/>
    <x v="2"/>
  </r>
  <r>
    <s v="TRIP01413"/>
    <x v="119"/>
    <x v="1"/>
    <s v="Mumbai"/>
    <n v="23.56"/>
    <d v="1900-03-26T18:14:24"/>
    <n v="372.19"/>
    <n v="1.2"/>
    <n v="446.63"/>
    <n v="3.7"/>
    <x v="1"/>
    <x v="1"/>
  </r>
  <r>
    <s v="TRIP01414"/>
    <x v="38"/>
    <x v="3"/>
    <s v="Kolkata"/>
    <n v="26.95"/>
    <d v="1900-02-23T04:48:00"/>
    <n v="363.45"/>
    <n v="1.5"/>
    <n v="545.16999999999996"/>
    <n v="4.3"/>
    <x v="0"/>
    <x v="1"/>
  </r>
  <r>
    <s v="TRIP01415"/>
    <x v="310"/>
    <x v="4"/>
    <s v="Mumbai"/>
    <n v="24.5"/>
    <d v="1900-03-15T06:57:36"/>
    <n v="313.16000000000003"/>
    <n v="1.5"/>
    <n v="469.74"/>
    <n v="4.5999999999999996"/>
    <x v="2"/>
    <x v="1"/>
  </r>
  <r>
    <s v="TRIP01416"/>
    <x v="313"/>
    <x v="2"/>
    <s v="Bangalore"/>
    <n v="26.96"/>
    <d v="1900-03-30T21:50:24"/>
    <n v="336.97"/>
    <n v="1.2"/>
    <n v="404.36"/>
    <n v="4.3"/>
    <x v="4"/>
    <x v="2"/>
  </r>
  <r>
    <s v="TRIP01417"/>
    <x v="251"/>
    <x v="2"/>
    <s v="Bangalore"/>
    <n v="17.600000000000001"/>
    <d v="1900-02-17T10:33:36"/>
    <n v="240"/>
    <n v="2"/>
    <n v="480"/>
    <n v="4"/>
    <x v="2"/>
    <x v="2"/>
  </r>
  <r>
    <s v="TRIP01418"/>
    <x v="89"/>
    <x v="0"/>
    <s v="Bangalore"/>
    <n v="29.15"/>
    <d v="1900-03-08T12:57:36"/>
    <n v="465.56"/>
    <n v="1.2"/>
    <n v="558.66999999999996"/>
    <n v="3.9"/>
    <x v="0"/>
    <x v="1"/>
  </r>
  <r>
    <s v="TRIP01419"/>
    <x v="272"/>
    <x v="2"/>
    <s v="Chennai"/>
    <n v="8.3699999999999992"/>
    <d v="1900-01-29T13:12:00"/>
    <n v="124.32"/>
    <n v="1.2"/>
    <n v="149.18"/>
    <n v="4.7"/>
    <x v="0"/>
    <x v="3"/>
  </r>
  <r>
    <s v="TRIP01420"/>
    <x v="352"/>
    <x v="3"/>
    <s v="Chennai"/>
    <n v="6.27"/>
    <d v="1900-01-12T14:52:48"/>
    <n v="107.48"/>
    <n v="2"/>
    <n v="214.96"/>
    <n v="3.9"/>
    <x v="4"/>
    <x v="3"/>
  </r>
  <r>
    <s v="TRIP01421"/>
    <x v="210"/>
    <x v="0"/>
    <s v="Mumbai"/>
    <n v="12.32"/>
    <d v="1900-02-02T21:07:12"/>
    <n v="181"/>
    <n v="2"/>
    <n v="362"/>
    <n v="4.0999999999999996"/>
    <x v="2"/>
    <x v="1"/>
  </r>
  <r>
    <s v="TRIP01422"/>
    <x v="155"/>
    <x v="3"/>
    <s v="Mumbai"/>
    <n v="9.98"/>
    <d v="1900-02-01T05:02:24"/>
    <n v="166.25"/>
    <n v="1.2"/>
    <n v="199.5"/>
    <n v="3.4"/>
    <x v="3"/>
    <x v="2"/>
  </r>
  <r>
    <s v="TRIP01423"/>
    <x v="173"/>
    <x v="3"/>
    <s v="Kolkata"/>
    <n v="6.61"/>
    <d v="1900-01-15T00:00:00"/>
    <n v="67.62"/>
    <n v="1.5"/>
    <n v="101.43"/>
    <n v="4"/>
    <x v="2"/>
    <x v="1"/>
  </r>
  <r>
    <s v="TRIP01424"/>
    <x v="168"/>
    <x v="0"/>
    <s v="Bangalore"/>
    <n v="1.1599999999999999"/>
    <d v="1900-01-01T09:36:00"/>
    <n v="22.18"/>
    <n v="1.2"/>
    <n v="26.62"/>
    <n v="3.2"/>
    <x v="2"/>
    <x v="2"/>
  </r>
  <r>
    <s v="TRIP01425"/>
    <x v="117"/>
    <x v="2"/>
    <s v="Bangalore"/>
    <n v="22.85"/>
    <d v="1900-03-29T08:52:48"/>
    <n v="404.92"/>
    <n v="1.5"/>
    <n v="607.38"/>
    <n v="4.0999999999999996"/>
    <x v="3"/>
    <x v="0"/>
  </r>
  <r>
    <s v="TRIP01426"/>
    <x v="284"/>
    <x v="4"/>
    <s v="Delhi"/>
    <n v="5.88"/>
    <d v="1900-01-20T13:26:24"/>
    <n v="70.27"/>
    <n v="1.2"/>
    <n v="84.32"/>
    <n v="3.9"/>
    <x v="1"/>
    <x v="1"/>
  </r>
  <r>
    <s v="TRIP01427"/>
    <x v="77"/>
    <x v="1"/>
    <s v="Bangalore"/>
    <n v="20.63"/>
    <d v="1900-03-01T18:43:12"/>
    <n v="225.69"/>
    <n v="1.5"/>
    <n v="338.54"/>
    <n v="4.2"/>
    <x v="1"/>
    <x v="3"/>
  </r>
  <r>
    <s v="TRIP01428"/>
    <x v="309"/>
    <x v="1"/>
    <s v="Delhi"/>
    <n v="7.53"/>
    <d v="1900-01-17T22:19:12"/>
    <n v="111.4"/>
    <n v="1.2"/>
    <n v="133.68"/>
    <n v="4.2"/>
    <x v="2"/>
    <x v="3"/>
  </r>
  <r>
    <s v="TRIP01429"/>
    <x v="49"/>
    <x v="0"/>
    <s v="Kolkata"/>
    <n v="27.14"/>
    <d v="1900-03-24T12:57:36"/>
    <n v="507.1"/>
    <n v="2"/>
    <n v="1014.2"/>
    <n v="4.3"/>
    <x v="3"/>
    <x v="3"/>
  </r>
  <r>
    <s v="TRIP01430"/>
    <x v="288"/>
    <x v="0"/>
    <s v="Bangalore"/>
    <n v="21.25"/>
    <d v="1900-02-22T21:21:36"/>
    <n v="283.93"/>
    <n v="1.5"/>
    <n v="425.9"/>
    <n v="4.7"/>
    <x v="0"/>
    <x v="2"/>
  </r>
  <r>
    <s v="TRIP01431"/>
    <x v="298"/>
    <x v="0"/>
    <s v="Kolkata"/>
    <n v="12.55"/>
    <d v="1900-02-05T13:55:12"/>
    <n v="209.26"/>
    <n v="1.2"/>
    <n v="251.11"/>
    <n v="4.0999999999999996"/>
    <x v="3"/>
    <x v="0"/>
  </r>
  <r>
    <s v="TRIP01432"/>
    <x v="197"/>
    <x v="2"/>
    <s v="Chennai"/>
    <n v="13.96"/>
    <d v="1900-02-05T12:00:00"/>
    <n v="158.9"/>
    <n v="2"/>
    <n v="317.8"/>
    <n v="3.2"/>
    <x v="1"/>
    <x v="1"/>
  </r>
  <r>
    <s v="TRIP01433"/>
    <x v="202"/>
    <x v="0"/>
    <s v="Chennai"/>
    <n v="12.71"/>
    <d v="1900-02-10T16:04:48"/>
    <n v="180.6"/>
    <n v="1"/>
    <n v="180.6"/>
    <n v="4.9000000000000004"/>
    <x v="4"/>
    <x v="1"/>
  </r>
  <r>
    <s v="TRIP01434"/>
    <x v="97"/>
    <x v="0"/>
    <s v="Bangalore"/>
    <n v="24.42"/>
    <d v="1900-02-22T04:19:12"/>
    <n v="341.22"/>
    <n v="1"/>
    <n v="341.22"/>
    <n v="3.3"/>
    <x v="3"/>
    <x v="1"/>
  </r>
  <r>
    <s v="TRIP01435"/>
    <x v="25"/>
    <x v="3"/>
    <s v="Bangalore"/>
    <n v="3.27"/>
    <d v="1900-01-06T00:14:24"/>
    <n v="60.51"/>
    <n v="2"/>
    <n v="121.02"/>
    <n v="4.9000000000000004"/>
    <x v="2"/>
    <x v="3"/>
  </r>
  <r>
    <s v="TRIP01436"/>
    <x v="227"/>
    <x v="3"/>
    <s v="Delhi"/>
    <n v="25.15"/>
    <d v="1900-02-24T14:09:36"/>
    <n v="284.14"/>
    <n v="1.2"/>
    <n v="340.97"/>
    <n v="3.5"/>
    <x v="0"/>
    <x v="2"/>
  </r>
  <r>
    <s v="TRIP01437"/>
    <x v="269"/>
    <x v="1"/>
    <s v="Delhi"/>
    <n v="8.35"/>
    <d v="1900-01-30T11:02:24"/>
    <n v="130.38"/>
    <n v="2"/>
    <n v="260.76"/>
    <n v="4.7"/>
    <x v="0"/>
    <x v="2"/>
  </r>
  <r>
    <s v="TRIP01438"/>
    <x v="214"/>
    <x v="0"/>
    <s v="Delhi"/>
    <n v="1.65"/>
    <d v="1900-01-02T16:04:48"/>
    <n v="26.56"/>
    <n v="1.2"/>
    <n v="31.87"/>
    <n v="3.7"/>
    <x v="4"/>
    <x v="1"/>
  </r>
  <r>
    <s v="TRIP01439"/>
    <x v="322"/>
    <x v="0"/>
    <s v="Mumbai"/>
    <n v="7.94"/>
    <d v="1900-01-27T09:07:12"/>
    <n v="83.88"/>
    <n v="1.5"/>
    <n v="125.82"/>
    <n v="4.4000000000000004"/>
    <x v="1"/>
    <x v="0"/>
  </r>
  <r>
    <s v="TRIP01440"/>
    <x v="51"/>
    <x v="3"/>
    <s v="Kolkata"/>
    <n v="17.25"/>
    <d v="1900-02-27T15:21:36"/>
    <n v="233.71"/>
    <n v="1.5"/>
    <n v="350.56"/>
    <n v="4.4000000000000004"/>
    <x v="0"/>
    <x v="0"/>
  </r>
  <r>
    <s v="TRIP01441"/>
    <x v="83"/>
    <x v="3"/>
    <s v="Mumbai"/>
    <n v="16.88"/>
    <d v="1900-02-23T09:07:12"/>
    <n v="212.6"/>
    <n v="1.5"/>
    <n v="318.89999999999998"/>
    <n v="3.8"/>
    <x v="3"/>
    <x v="0"/>
  </r>
  <r>
    <s v="TRIP01442"/>
    <x v="54"/>
    <x v="1"/>
    <s v="Mumbai"/>
    <n v="7.51"/>
    <d v="1900-01-21T12:43:12"/>
    <n v="138.22"/>
    <n v="2"/>
    <n v="276.44"/>
    <n v="3.1"/>
    <x v="1"/>
    <x v="1"/>
  </r>
  <r>
    <s v="TRIP01443"/>
    <x v="307"/>
    <x v="3"/>
    <s v="Delhi"/>
    <n v="12.73"/>
    <d v="1900-02-03T11:31:12"/>
    <n v="151.72999999999999"/>
    <n v="1.2"/>
    <n v="182.08"/>
    <n v="4.5"/>
    <x v="1"/>
    <x v="1"/>
  </r>
  <r>
    <s v="TRIP01444"/>
    <x v="229"/>
    <x v="3"/>
    <s v="Bangalore"/>
    <n v="29.69"/>
    <d v="1900-03-09T06:57:36"/>
    <n v="310.76"/>
    <n v="2"/>
    <n v="621.52"/>
    <n v="3.5"/>
    <x v="2"/>
    <x v="1"/>
  </r>
  <r>
    <s v="TRIP01445"/>
    <x v="63"/>
    <x v="2"/>
    <s v="Kolkata"/>
    <n v="25.06"/>
    <d v="1900-03-25T09:36:00"/>
    <n v="487.59"/>
    <n v="1.2"/>
    <n v="585.11"/>
    <n v="4"/>
    <x v="1"/>
    <x v="2"/>
  </r>
  <r>
    <s v="TRIP01446"/>
    <x v="8"/>
    <x v="2"/>
    <s v="Kolkata"/>
    <n v="16.39"/>
    <d v="1900-02-09T03:36:00"/>
    <n v="274.64"/>
    <n v="1.5"/>
    <n v="411.96"/>
    <n v="4"/>
    <x v="0"/>
    <x v="0"/>
  </r>
  <r>
    <s v="TRIP01447"/>
    <x v="46"/>
    <x v="4"/>
    <s v="Bangalore"/>
    <n v="17.64"/>
    <d v="1900-03-04T06:14:24"/>
    <n v="181.44"/>
    <n v="1"/>
    <n v="181.44"/>
    <n v="3.2"/>
    <x v="1"/>
    <x v="1"/>
  </r>
  <r>
    <s v="TRIP01448"/>
    <x v="38"/>
    <x v="0"/>
    <s v="Kolkata"/>
    <n v="9.49"/>
    <d v="1900-01-25T10:19:12"/>
    <n v="127.36"/>
    <n v="2"/>
    <n v="254.72"/>
    <n v="3.1"/>
    <x v="1"/>
    <x v="1"/>
  </r>
  <r>
    <s v="TRIP01449"/>
    <x v="93"/>
    <x v="1"/>
    <s v="Delhi"/>
    <n v="22.26"/>
    <d v="1900-02-16T17:02:24"/>
    <n v="434.38"/>
    <n v="2"/>
    <n v="868.76"/>
    <n v="3.3"/>
    <x v="3"/>
    <x v="3"/>
  </r>
  <r>
    <s v="TRIP01450"/>
    <x v="221"/>
    <x v="2"/>
    <s v="Delhi"/>
    <n v="9.64"/>
    <d v="1900-01-26T05:31:12"/>
    <n v="117.97"/>
    <n v="2"/>
    <n v="235.94"/>
    <n v="4.4000000000000004"/>
    <x v="2"/>
    <x v="0"/>
  </r>
  <r>
    <s v="TRIP01451"/>
    <x v="230"/>
    <x v="4"/>
    <s v="Mumbai"/>
    <n v="19.28"/>
    <d v="1900-03-06T20:52:48"/>
    <n v="264.35000000000002"/>
    <n v="1.2"/>
    <n v="317.22000000000003"/>
    <n v="3"/>
    <x v="4"/>
    <x v="0"/>
  </r>
  <r>
    <s v="TRIP01452"/>
    <x v="85"/>
    <x v="2"/>
    <s v="Chennai"/>
    <n v="16.5"/>
    <d v="1900-02-23T06:43:12"/>
    <n v="233.88"/>
    <n v="1.2"/>
    <n v="280.66000000000003"/>
    <n v="4.5999999999999996"/>
    <x v="1"/>
    <x v="3"/>
  </r>
  <r>
    <s v="TRIP01453"/>
    <x v="169"/>
    <x v="4"/>
    <s v="Kolkata"/>
    <n v="3.15"/>
    <d v="1900-01-06T12:14:24"/>
    <n v="57.96"/>
    <n v="1.5"/>
    <n v="86.94"/>
    <n v="4.7"/>
    <x v="2"/>
    <x v="2"/>
  </r>
  <r>
    <s v="TRIP01454"/>
    <x v="64"/>
    <x v="0"/>
    <s v="Bangalore"/>
    <n v="4.41"/>
    <d v="1900-01-16T13:12:00"/>
    <n v="53.33"/>
    <n v="1.5"/>
    <n v="80"/>
    <n v="3.5"/>
    <x v="4"/>
    <x v="3"/>
  </r>
  <r>
    <s v="TRIP01455"/>
    <x v="338"/>
    <x v="0"/>
    <s v="Kolkata"/>
    <n v="9.83"/>
    <d v="1900-01-22T02:52:48"/>
    <n v="175.62"/>
    <n v="1.5"/>
    <n v="263.43"/>
    <n v="4.8"/>
    <x v="0"/>
    <x v="3"/>
  </r>
  <r>
    <s v="TRIP01456"/>
    <x v="159"/>
    <x v="4"/>
    <s v="Delhi"/>
    <n v="25.38"/>
    <d v="1900-04-02T18:57:36"/>
    <n v="449.62"/>
    <n v="1.5"/>
    <n v="674.43"/>
    <n v="3.7"/>
    <x v="0"/>
    <x v="3"/>
  </r>
  <r>
    <s v="TRIP01457"/>
    <x v="353"/>
    <x v="0"/>
    <s v="Chennai"/>
    <n v="18.47"/>
    <d v="1900-02-15T20:52:48"/>
    <n v="348.75"/>
    <n v="2"/>
    <n v="697.5"/>
    <n v="3.8"/>
    <x v="0"/>
    <x v="1"/>
  </r>
  <r>
    <s v="TRIP01458"/>
    <x v="215"/>
    <x v="3"/>
    <s v="Bangalore"/>
    <n v="19.52"/>
    <d v="1900-02-09T00:28:48"/>
    <n v="376.01"/>
    <n v="1.5"/>
    <n v="564.02"/>
    <n v="3.9"/>
    <x v="2"/>
    <x v="3"/>
  </r>
  <r>
    <s v="TRIP01459"/>
    <x v="153"/>
    <x v="0"/>
    <s v="Delhi"/>
    <n v="20.62"/>
    <d v="1900-02-13T01:12:00"/>
    <n v="356.63"/>
    <n v="1"/>
    <n v="356.63"/>
    <n v="4"/>
    <x v="1"/>
    <x v="0"/>
  </r>
  <r>
    <s v="TRIP01460"/>
    <x v="182"/>
    <x v="4"/>
    <s v="Bangalore"/>
    <n v="11.81"/>
    <d v="1900-01-26T01:26:24"/>
    <n v="166.06"/>
    <n v="1"/>
    <n v="166.06"/>
    <n v="4.5"/>
    <x v="1"/>
    <x v="0"/>
  </r>
  <r>
    <s v="TRIP01461"/>
    <x v="200"/>
    <x v="0"/>
    <s v="Delhi"/>
    <n v="2.19"/>
    <d v="1900-01-05T16:33:36"/>
    <n v="41.31"/>
    <n v="1"/>
    <n v="41.31"/>
    <n v="4.3"/>
    <x v="1"/>
    <x v="2"/>
  </r>
  <r>
    <s v="TRIP01462"/>
    <x v="87"/>
    <x v="3"/>
    <s v="Delhi"/>
    <n v="27.74"/>
    <d v="1900-03-01T06:43:12"/>
    <n v="313.11"/>
    <n v="1.5"/>
    <n v="469.66"/>
    <n v="3"/>
    <x v="2"/>
    <x v="1"/>
  </r>
  <r>
    <s v="TRIP01463"/>
    <x v="317"/>
    <x v="2"/>
    <s v="Chennai"/>
    <n v="10.65"/>
    <d v="1900-01-29T15:21:36"/>
    <n v="134.47999999999999"/>
    <n v="1"/>
    <n v="134.47999999999999"/>
    <n v="4.5"/>
    <x v="1"/>
    <x v="1"/>
  </r>
  <r>
    <s v="TRIP01464"/>
    <x v="226"/>
    <x v="1"/>
    <s v="Chennai"/>
    <n v="15.92"/>
    <d v="1900-02-06T05:02:24"/>
    <n v="210.08"/>
    <n v="1.2"/>
    <n v="252.1"/>
    <n v="4.5999999999999996"/>
    <x v="0"/>
    <x v="0"/>
  </r>
  <r>
    <s v="TRIP01465"/>
    <x v="113"/>
    <x v="0"/>
    <s v="Delhi"/>
    <n v="5.28"/>
    <d v="1900-01-10T07:55:12"/>
    <n v="95.69"/>
    <n v="1.5"/>
    <n v="143.54"/>
    <n v="4.5999999999999996"/>
    <x v="4"/>
    <x v="1"/>
  </r>
  <r>
    <s v="TRIP01466"/>
    <x v="251"/>
    <x v="4"/>
    <s v="Delhi"/>
    <n v="21.77"/>
    <d v="1900-03-12T16:33:36"/>
    <n v="321.54000000000002"/>
    <n v="1.5"/>
    <n v="482.31"/>
    <n v="4.7"/>
    <x v="2"/>
    <x v="3"/>
  </r>
  <r>
    <s v="TRIP01467"/>
    <x v="300"/>
    <x v="3"/>
    <s v="Bangalore"/>
    <n v="25.41"/>
    <d v="1900-03-06T00:28:48"/>
    <n v="334.55"/>
    <n v="1.2"/>
    <n v="401.46"/>
    <n v="3.6"/>
    <x v="3"/>
    <x v="1"/>
  </r>
  <r>
    <s v="TRIP01468"/>
    <x v="266"/>
    <x v="1"/>
    <s v="Kolkata"/>
    <n v="22.07"/>
    <d v="1900-03-21T00:43:12"/>
    <n v="312.33"/>
    <n v="1"/>
    <n v="312.33"/>
    <n v="4.5"/>
    <x v="2"/>
    <x v="0"/>
  </r>
  <r>
    <s v="TRIP01469"/>
    <x v="281"/>
    <x v="1"/>
    <s v="Mumbai"/>
    <n v="26.6"/>
    <d v="1900-03-21T06:43:12"/>
    <n v="403.69"/>
    <n v="1.2"/>
    <n v="484.43"/>
    <n v="4.9000000000000004"/>
    <x v="2"/>
    <x v="2"/>
  </r>
  <r>
    <s v="TRIP01470"/>
    <x v="203"/>
    <x v="3"/>
    <s v="Bangalore"/>
    <n v="28.98"/>
    <d v="1900-03-02T05:16:48"/>
    <n v="305.29000000000002"/>
    <n v="1.5"/>
    <n v="457.94"/>
    <n v="3.3"/>
    <x v="2"/>
    <x v="0"/>
  </r>
  <r>
    <s v="TRIP01471"/>
    <x v="183"/>
    <x v="4"/>
    <s v="Kolkata"/>
    <n v="18.829999999999998"/>
    <d v="1900-02-23T19:55:12"/>
    <n v="205.94"/>
    <n v="1.5"/>
    <n v="308.91000000000003"/>
    <n v="3.5"/>
    <x v="1"/>
    <x v="2"/>
  </r>
  <r>
    <s v="TRIP01472"/>
    <x v="186"/>
    <x v="2"/>
    <s v="Delhi"/>
    <n v="9.8800000000000008"/>
    <d v="1900-02-04T07:40:48"/>
    <n v="105.95"/>
    <n v="1"/>
    <n v="105.95"/>
    <n v="3.3"/>
    <x v="1"/>
    <x v="3"/>
  </r>
  <r>
    <s v="TRIP01473"/>
    <x v="89"/>
    <x v="0"/>
    <s v="Chennai"/>
    <n v="18.2"/>
    <d v="1900-03-10T11:16:48"/>
    <n v="305.42"/>
    <n v="1.5"/>
    <n v="458.13"/>
    <n v="4.7"/>
    <x v="3"/>
    <x v="2"/>
  </r>
  <r>
    <s v="TRIP01474"/>
    <x v="266"/>
    <x v="3"/>
    <s v="Chennai"/>
    <n v="10.98"/>
    <d v="1900-01-27T01:12:00"/>
    <n v="219.24"/>
    <n v="1"/>
    <n v="219.24"/>
    <n v="3.1"/>
    <x v="1"/>
    <x v="3"/>
  </r>
  <r>
    <s v="TRIP01475"/>
    <x v="138"/>
    <x v="4"/>
    <s v="Chennai"/>
    <n v="11.3"/>
    <d v="1900-01-22T17:02:24"/>
    <n v="116.51"/>
    <n v="1.5"/>
    <n v="174.76"/>
    <n v="3"/>
    <x v="4"/>
    <x v="3"/>
  </r>
  <r>
    <s v="TRIP01476"/>
    <x v="243"/>
    <x v="2"/>
    <s v="Kolkata"/>
    <n v="1.46"/>
    <d v="1900-01-02T04:33:36"/>
    <n v="19.37"/>
    <n v="1.5"/>
    <n v="29.06"/>
    <n v="3.5"/>
    <x v="2"/>
    <x v="1"/>
  </r>
  <r>
    <s v="TRIP01477"/>
    <x v="228"/>
    <x v="1"/>
    <s v="Kolkata"/>
    <n v="17.87"/>
    <d v="1900-02-05T17:16:48"/>
    <n v="204.54"/>
    <n v="1.2"/>
    <n v="245.45"/>
    <n v="4.8"/>
    <x v="2"/>
    <x v="3"/>
  </r>
  <r>
    <s v="TRIP01478"/>
    <x v="320"/>
    <x v="0"/>
    <s v="Bangalore"/>
    <n v="19.55"/>
    <d v="1900-02-09T05:45:36"/>
    <n v="275.14"/>
    <n v="1"/>
    <n v="275.14"/>
    <n v="3"/>
    <x v="3"/>
    <x v="3"/>
  </r>
  <r>
    <s v="TRIP01479"/>
    <x v="98"/>
    <x v="2"/>
    <s v="Kolkata"/>
    <n v="17.440000000000001"/>
    <d v="1900-03-07T06:14:24"/>
    <n v="183.95"/>
    <n v="1.5"/>
    <n v="275.92"/>
    <n v="3.8"/>
    <x v="2"/>
    <x v="0"/>
  </r>
  <r>
    <s v="TRIP01480"/>
    <x v="354"/>
    <x v="1"/>
    <s v="Bangalore"/>
    <n v="14.42"/>
    <d v="1900-02-20T02:24:00"/>
    <n v="170.1"/>
    <n v="1.5"/>
    <n v="255.15"/>
    <n v="3"/>
    <x v="4"/>
    <x v="1"/>
  </r>
  <r>
    <s v="TRIP01481"/>
    <x v="52"/>
    <x v="2"/>
    <s v="Chennai"/>
    <n v="10.91"/>
    <d v="1900-02-08T21:36:00"/>
    <n v="170.62"/>
    <n v="1.2"/>
    <n v="204.74"/>
    <n v="3.4"/>
    <x v="4"/>
    <x v="0"/>
  </r>
  <r>
    <s v="TRIP01482"/>
    <x v="349"/>
    <x v="2"/>
    <s v="Mumbai"/>
    <n v="17.82"/>
    <d v="1900-02-09T10:19:12"/>
    <n v="298.33999999999997"/>
    <n v="2"/>
    <n v="596.67999999999995"/>
    <n v="4.5"/>
    <x v="0"/>
    <x v="3"/>
  </r>
  <r>
    <s v="TRIP01483"/>
    <x v="36"/>
    <x v="4"/>
    <s v="Delhi"/>
    <n v="29.7"/>
    <d v="1900-03-21T19:40:48"/>
    <n v="429.09"/>
    <n v="2"/>
    <n v="858.18"/>
    <n v="4.5"/>
    <x v="3"/>
    <x v="1"/>
  </r>
  <r>
    <s v="TRIP01484"/>
    <x v="91"/>
    <x v="1"/>
    <s v="Delhi"/>
    <n v="27.72"/>
    <d v="1900-03-02T13:40:48"/>
    <n v="400.77"/>
    <n v="2"/>
    <n v="801.54"/>
    <n v="3.3"/>
    <x v="3"/>
    <x v="2"/>
  </r>
  <r>
    <s v="TRIP01485"/>
    <x v="189"/>
    <x v="3"/>
    <s v="Kolkata"/>
    <n v="8.17"/>
    <d v="1900-01-27T13:40:48"/>
    <n v="103.11"/>
    <n v="1"/>
    <n v="103.11"/>
    <n v="4.2"/>
    <x v="2"/>
    <x v="2"/>
  </r>
  <r>
    <s v="TRIP01486"/>
    <x v="33"/>
    <x v="1"/>
    <s v="Chennai"/>
    <n v="6.7"/>
    <d v="1900-01-20T15:07:12"/>
    <n v="72.88"/>
    <n v="1.5"/>
    <n v="109.32"/>
    <n v="4.9000000000000004"/>
    <x v="0"/>
    <x v="3"/>
  </r>
  <r>
    <s v="TRIP01487"/>
    <x v="234"/>
    <x v="2"/>
    <s v="Bangalore"/>
    <n v="29.49"/>
    <d v="1900-03-30T02:38:24"/>
    <n v="527.26"/>
    <n v="1.5"/>
    <n v="790.89"/>
    <n v="3.2"/>
    <x v="2"/>
    <x v="2"/>
  </r>
  <r>
    <s v="TRIP01488"/>
    <x v="311"/>
    <x v="3"/>
    <s v="Mumbai"/>
    <n v="10.82"/>
    <d v="1900-01-30T19:26:24"/>
    <n v="201.03"/>
    <n v="1"/>
    <n v="201.03"/>
    <n v="3.6"/>
    <x v="3"/>
    <x v="3"/>
  </r>
  <r>
    <s v="TRIP01489"/>
    <x v="330"/>
    <x v="0"/>
    <s v="Chennai"/>
    <n v="7.66"/>
    <d v="1900-01-25T19:12:00"/>
    <n v="124.9"/>
    <n v="1.2"/>
    <n v="149.88"/>
    <n v="4.8"/>
    <x v="1"/>
    <x v="2"/>
  </r>
  <r>
    <s v="TRIP01490"/>
    <x v="74"/>
    <x v="3"/>
    <s v="Kolkata"/>
    <n v="28.05"/>
    <d v="1900-03-31T13:55:12"/>
    <n v="361.37"/>
    <n v="2"/>
    <n v="722.74"/>
    <n v="3"/>
    <x v="1"/>
    <x v="3"/>
  </r>
  <r>
    <s v="TRIP01491"/>
    <x v="163"/>
    <x v="4"/>
    <s v="Delhi"/>
    <n v="9.52"/>
    <d v="1900-01-25T15:36:00"/>
    <n v="176.35"/>
    <n v="1"/>
    <n v="176.35"/>
    <n v="3"/>
    <x v="4"/>
    <x v="3"/>
  </r>
  <r>
    <s v="TRIP01492"/>
    <x v="101"/>
    <x v="0"/>
    <s v="Chennai"/>
    <n v="12.37"/>
    <d v="1900-01-30T06:14:24"/>
    <n v="241.79"/>
    <n v="1.2"/>
    <n v="290.14999999999998"/>
    <n v="4.3"/>
    <x v="2"/>
    <x v="0"/>
  </r>
  <r>
    <s v="TRIP01493"/>
    <x v="215"/>
    <x v="4"/>
    <s v="Delhi"/>
    <n v="6.9"/>
    <d v="1900-01-14T19:55:12"/>
    <n v="128.05000000000001"/>
    <n v="1"/>
    <n v="128.05000000000001"/>
    <n v="3.5"/>
    <x v="0"/>
    <x v="2"/>
  </r>
  <r>
    <s v="TRIP01494"/>
    <x v="211"/>
    <x v="3"/>
    <s v="Bangalore"/>
    <n v="8.81"/>
    <d v="1900-01-30T17:31:12"/>
    <n v="128.09"/>
    <n v="1.2"/>
    <n v="153.71"/>
    <n v="3.6"/>
    <x v="4"/>
    <x v="1"/>
  </r>
  <r>
    <s v="TRIP01495"/>
    <x v="253"/>
    <x v="4"/>
    <s v="Chennai"/>
    <n v="12.06"/>
    <d v="1900-02-16T00:28:48"/>
    <n v="150.46"/>
    <n v="1.2"/>
    <n v="180.55"/>
    <n v="3.5"/>
    <x v="3"/>
    <x v="3"/>
  </r>
  <r>
    <s v="TRIP01496"/>
    <x v="247"/>
    <x v="0"/>
    <s v="Delhi"/>
    <n v="7.94"/>
    <d v="1900-01-21T11:16:48"/>
    <n v="128.24"/>
    <n v="1.2"/>
    <n v="153.88999999999999"/>
    <n v="3.9"/>
    <x v="4"/>
    <x v="1"/>
  </r>
  <r>
    <s v="TRIP01497"/>
    <x v="327"/>
    <x v="4"/>
    <s v="Delhi"/>
    <n v="11.51"/>
    <d v="1900-02-04T12:28:48"/>
    <n v="186.97"/>
    <n v="1.5"/>
    <n v="280.45999999999998"/>
    <n v="4.8"/>
    <x v="0"/>
    <x v="2"/>
  </r>
  <r>
    <s v="TRIP01498"/>
    <x v="188"/>
    <x v="2"/>
    <s v="Mumbai"/>
    <n v="19.3"/>
    <d v="1900-03-15T09:21:36"/>
    <n v="297.41000000000003"/>
    <n v="1.5"/>
    <n v="446.12"/>
    <n v="4.5"/>
    <x v="3"/>
    <x v="2"/>
  </r>
  <r>
    <s v="TRIP01499"/>
    <x v="262"/>
    <x v="2"/>
    <s v="Kolkata"/>
    <n v="25.79"/>
    <d v="1900-04-08T12:43:12"/>
    <n v="305.41000000000003"/>
    <n v="2"/>
    <n v="610.82000000000005"/>
    <n v="4.0999999999999996"/>
    <x v="3"/>
    <x v="0"/>
  </r>
  <r>
    <s v="TRIP01500"/>
    <x v="132"/>
    <x v="0"/>
    <s v="Bangalore"/>
    <n v="12.75"/>
    <d v="1900-01-27T16:48:00"/>
    <n v="231.24"/>
    <n v="1.2"/>
    <n v="277.49"/>
    <n v="4.8"/>
    <x v="1"/>
    <x v="3"/>
  </r>
  <r>
    <s v="TRIP01501"/>
    <x v="225"/>
    <x v="0"/>
    <s v="Delhi"/>
    <n v="20.190000000000001"/>
    <d v="1900-02-16T18:14:24"/>
    <n v="384.79"/>
    <n v="2"/>
    <n v="769.58"/>
    <n v="3.8"/>
    <x v="3"/>
    <x v="1"/>
  </r>
  <r>
    <s v="TRIP01502"/>
    <x v="336"/>
    <x v="2"/>
    <s v="Chennai"/>
    <n v="12.92"/>
    <d v="1900-01-30T22:48:00"/>
    <n v="223.52"/>
    <n v="1.5"/>
    <n v="335.28"/>
    <n v="3.9"/>
    <x v="4"/>
    <x v="0"/>
  </r>
  <r>
    <s v="TRIP01503"/>
    <x v="95"/>
    <x v="0"/>
    <s v="Bangalore"/>
    <n v="25.43"/>
    <d v="1900-03-02T11:31:12"/>
    <n v="474.63"/>
    <n v="1.2"/>
    <n v="569.55999999999995"/>
    <n v="3.2"/>
    <x v="0"/>
    <x v="3"/>
  </r>
  <r>
    <s v="TRIP01504"/>
    <x v="148"/>
    <x v="4"/>
    <s v="Bangalore"/>
    <n v="4.43"/>
    <d v="1900-01-13T13:55:12"/>
    <n v="55.38"/>
    <n v="2"/>
    <n v="110.76"/>
    <n v="3.6"/>
    <x v="0"/>
    <x v="3"/>
  </r>
  <r>
    <s v="TRIP01505"/>
    <x v="275"/>
    <x v="4"/>
    <s v="Chennai"/>
    <n v="4.92"/>
    <d v="1900-01-14T11:02:24"/>
    <n v="69.27"/>
    <n v="2"/>
    <n v="138.54"/>
    <n v="3.3"/>
    <x v="0"/>
    <x v="1"/>
  </r>
  <r>
    <s v="TRIP01506"/>
    <x v="188"/>
    <x v="3"/>
    <s v="Delhi"/>
    <n v="12.87"/>
    <d v="1900-02-01T04:48:00"/>
    <n v="130.57"/>
    <n v="2"/>
    <n v="261.14"/>
    <n v="4.3"/>
    <x v="0"/>
    <x v="1"/>
  </r>
  <r>
    <s v="TRIP01507"/>
    <x v="290"/>
    <x v="0"/>
    <s v="Mumbai"/>
    <n v="11.86"/>
    <d v="1900-01-27T01:26:24"/>
    <n v="169.6"/>
    <n v="2"/>
    <n v="339.2"/>
    <n v="3.7"/>
    <x v="0"/>
    <x v="0"/>
  </r>
  <r>
    <s v="TRIP01508"/>
    <x v="353"/>
    <x v="3"/>
    <s v="Bangalore"/>
    <n v="18.39"/>
    <d v="1900-03-05T08:09:36"/>
    <n v="321.67"/>
    <n v="2"/>
    <n v="643.34"/>
    <n v="4.8"/>
    <x v="3"/>
    <x v="2"/>
  </r>
  <r>
    <s v="TRIP01509"/>
    <x v="355"/>
    <x v="0"/>
    <s v="Delhi"/>
    <n v="26.27"/>
    <d v="1900-02-21T08:24:00"/>
    <n v="377.17"/>
    <n v="1.2"/>
    <n v="452.6"/>
    <n v="4.3"/>
    <x v="4"/>
    <x v="3"/>
  </r>
  <r>
    <s v="TRIP01510"/>
    <x v="309"/>
    <x v="0"/>
    <s v="Bangalore"/>
    <n v="13.06"/>
    <d v="1900-02-13T14:52:48"/>
    <n v="142.85"/>
    <n v="2"/>
    <n v="285.7"/>
    <n v="4.8"/>
    <x v="0"/>
    <x v="0"/>
  </r>
  <r>
    <s v="TRIP01511"/>
    <x v="165"/>
    <x v="1"/>
    <s v="Chennai"/>
    <n v="15.33"/>
    <d v="1900-02-21T02:24:00"/>
    <n v="212.14"/>
    <n v="1.2"/>
    <n v="254.57"/>
    <n v="3.6"/>
    <x v="3"/>
    <x v="1"/>
  </r>
  <r>
    <s v="TRIP01512"/>
    <x v="175"/>
    <x v="0"/>
    <s v="Chennai"/>
    <n v="5.36"/>
    <d v="1900-01-15T02:52:48"/>
    <n v="96.57"/>
    <n v="2"/>
    <n v="193.14"/>
    <n v="4.4000000000000004"/>
    <x v="0"/>
    <x v="2"/>
  </r>
  <r>
    <s v="TRIP01513"/>
    <x v="17"/>
    <x v="0"/>
    <s v="Kolkata"/>
    <n v="25.61"/>
    <d v="1900-03-27T09:07:12"/>
    <n v="381.71"/>
    <n v="1.5"/>
    <n v="572.55999999999995"/>
    <n v="3.8"/>
    <x v="2"/>
    <x v="2"/>
  </r>
  <r>
    <s v="TRIP01514"/>
    <x v="207"/>
    <x v="2"/>
    <s v="Bangalore"/>
    <n v="17.73"/>
    <d v="1900-02-11T07:12:00"/>
    <n v="225.01"/>
    <n v="1"/>
    <n v="225.01"/>
    <n v="4"/>
    <x v="3"/>
    <x v="2"/>
  </r>
  <r>
    <s v="TRIP01515"/>
    <x v="167"/>
    <x v="1"/>
    <s v="Kolkata"/>
    <n v="29.77"/>
    <d v="1900-03-07T07:12:00"/>
    <n v="534.69000000000005"/>
    <n v="1.5"/>
    <n v="802.04"/>
    <n v="3.2"/>
    <x v="1"/>
    <x v="3"/>
  </r>
  <r>
    <s v="TRIP01516"/>
    <x v="275"/>
    <x v="4"/>
    <s v="Delhi"/>
    <n v="20.41"/>
    <d v="1900-03-10T17:16:48"/>
    <n v="292.31"/>
    <n v="1.5"/>
    <n v="438.46"/>
    <n v="3"/>
    <x v="3"/>
    <x v="0"/>
  </r>
  <r>
    <s v="TRIP01517"/>
    <x v="25"/>
    <x v="3"/>
    <s v="Mumbai"/>
    <n v="23.3"/>
    <d v="1900-03-07T10:04:48"/>
    <n v="343.17"/>
    <n v="1"/>
    <n v="343.17"/>
    <n v="3.8"/>
    <x v="3"/>
    <x v="2"/>
  </r>
  <r>
    <s v="TRIP01518"/>
    <x v="325"/>
    <x v="0"/>
    <s v="Chennai"/>
    <n v="21.65"/>
    <d v="1900-02-19T00:43:12"/>
    <n v="233.73"/>
    <n v="1.5"/>
    <n v="350.6"/>
    <n v="3.6"/>
    <x v="1"/>
    <x v="1"/>
  </r>
  <r>
    <s v="TRIP01519"/>
    <x v="352"/>
    <x v="2"/>
    <s v="Kolkata"/>
    <n v="25.75"/>
    <d v="1900-04-04T23:16:48"/>
    <n v="456.42"/>
    <n v="1"/>
    <n v="456.42"/>
    <n v="3.2"/>
    <x v="0"/>
    <x v="2"/>
  </r>
  <r>
    <s v="TRIP01520"/>
    <x v="233"/>
    <x v="3"/>
    <s v="Kolkata"/>
    <n v="23.31"/>
    <d v="1900-03-14T10:33:36"/>
    <n v="311.7"/>
    <n v="1.2"/>
    <n v="374.04"/>
    <n v="3.9"/>
    <x v="3"/>
    <x v="0"/>
  </r>
  <r>
    <s v="TRIP01521"/>
    <x v="192"/>
    <x v="1"/>
    <s v="Delhi"/>
    <n v="15.78"/>
    <d v="1900-02-18T00:43:12"/>
    <n v="214.5"/>
    <n v="2"/>
    <n v="429"/>
    <n v="3.1"/>
    <x v="3"/>
    <x v="1"/>
  </r>
  <r>
    <s v="TRIP01522"/>
    <x v="321"/>
    <x v="1"/>
    <s v="Kolkata"/>
    <n v="19.59"/>
    <d v="1900-03-14T11:45:36"/>
    <n v="228.01"/>
    <n v="1"/>
    <n v="228.01"/>
    <n v="4.8"/>
    <x v="0"/>
    <x v="2"/>
  </r>
  <r>
    <s v="TRIP01523"/>
    <x v="214"/>
    <x v="4"/>
    <s v="Delhi"/>
    <n v="19.12"/>
    <d v="1900-03-06T02:38:24"/>
    <n v="369.38"/>
    <n v="1"/>
    <n v="369.38"/>
    <n v="3.7"/>
    <x v="4"/>
    <x v="3"/>
  </r>
  <r>
    <s v="TRIP01524"/>
    <x v="32"/>
    <x v="1"/>
    <s v="Delhi"/>
    <n v="2.83"/>
    <d v="1900-01-08T01:40:48"/>
    <n v="29.92"/>
    <n v="1.5"/>
    <n v="44.88"/>
    <n v="4.7"/>
    <x v="0"/>
    <x v="2"/>
  </r>
  <r>
    <s v="TRIP01525"/>
    <x v="266"/>
    <x v="0"/>
    <s v="Delhi"/>
    <n v="20.41"/>
    <d v="1900-03-14T18:14:24"/>
    <n v="234.78"/>
    <n v="1.2"/>
    <n v="281.74"/>
    <n v="4.5"/>
    <x v="0"/>
    <x v="0"/>
  </r>
  <r>
    <s v="TRIP01526"/>
    <x v="194"/>
    <x v="3"/>
    <s v="Bangalore"/>
    <n v="8.58"/>
    <d v="1900-02-02T00:14:24"/>
    <n v="162.84"/>
    <n v="2"/>
    <n v="325.68"/>
    <n v="3.1"/>
    <x v="4"/>
    <x v="1"/>
  </r>
  <r>
    <s v="TRIP01527"/>
    <x v="40"/>
    <x v="4"/>
    <s v="Mumbai"/>
    <n v="18.52"/>
    <d v="1900-03-11T16:48:00"/>
    <n v="228.54"/>
    <n v="1.2"/>
    <n v="274.25"/>
    <n v="4.3"/>
    <x v="0"/>
    <x v="3"/>
  </r>
  <r>
    <s v="TRIP01528"/>
    <x v="40"/>
    <x v="0"/>
    <s v="Bangalore"/>
    <n v="1.55"/>
    <d v="1900-01-02T05:02:24"/>
    <n v="29.68"/>
    <n v="1"/>
    <n v="29.68"/>
    <n v="4.8"/>
    <x v="3"/>
    <x v="0"/>
  </r>
  <r>
    <s v="TRIP01529"/>
    <x v="241"/>
    <x v="0"/>
    <s v="Bangalore"/>
    <n v="22.22"/>
    <d v="1900-03-15T23:02:24"/>
    <n v="266.72000000000003"/>
    <n v="1"/>
    <n v="266.72000000000003"/>
    <n v="4.5"/>
    <x v="3"/>
    <x v="2"/>
  </r>
  <r>
    <s v="TRIP01530"/>
    <x v="190"/>
    <x v="3"/>
    <s v="Bangalore"/>
    <n v="9.98"/>
    <d v="1900-01-28T14:24:00"/>
    <n v="132.04"/>
    <n v="1"/>
    <n v="132.04"/>
    <n v="3.9"/>
    <x v="1"/>
    <x v="2"/>
  </r>
  <r>
    <s v="TRIP01531"/>
    <x v="8"/>
    <x v="3"/>
    <s v="Mumbai"/>
    <n v="25.32"/>
    <d v="1900-03-23T19:12:00"/>
    <n v="311.04000000000002"/>
    <n v="2"/>
    <n v="622.08000000000004"/>
    <n v="4.2"/>
    <x v="3"/>
    <x v="1"/>
  </r>
  <r>
    <s v="TRIP01532"/>
    <x v="113"/>
    <x v="1"/>
    <s v="Kolkata"/>
    <n v="4.3899999999999997"/>
    <d v="1900-01-10T04:19:12"/>
    <n v="53.1"/>
    <n v="2"/>
    <n v="106.2"/>
    <n v="3.6"/>
    <x v="1"/>
    <x v="0"/>
  </r>
  <r>
    <s v="TRIP01533"/>
    <x v="81"/>
    <x v="0"/>
    <s v="Chennai"/>
    <n v="22.33"/>
    <d v="1900-02-26T05:02:24"/>
    <n v="300.42"/>
    <n v="1"/>
    <n v="300.42"/>
    <n v="4.8"/>
    <x v="4"/>
    <x v="3"/>
  </r>
  <r>
    <s v="TRIP01534"/>
    <x v="206"/>
    <x v="3"/>
    <s v="Mumbai"/>
    <n v="12.73"/>
    <d v="1900-01-26T01:12:00"/>
    <n v="231.82"/>
    <n v="1.2"/>
    <n v="278.18"/>
    <n v="4.4000000000000004"/>
    <x v="1"/>
    <x v="1"/>
  </r>
  <r>
    <s v="TRIP01535"/>
    <x v="114"/>
    <x v="3"/>
    <s v="Chennai"/>
    <n v="25.34"/>
    <d v="1900-03-13T09:21:36"/>
    <n v="414.74"/>
    <n v="1.5"/>
    <n v="622.11"/>
    <n v="4"/>
    <x v="4"/>
    <x v="0"/>
  </r>
  <r>
    <s v="TRIP01536"/>
    <x v="39"/>
    <x v="4"/>
    <s v="Bangalore"/>
    <n v="23.39"/>
    <d v="1900-03-08T22:04:48"/>
    <n v="378.39"/>
    <n v="1.2"/>
    <n v="454.07"/>
    <n v="4.4000000000000004"/>
    <x v="0"/>
    <x v="1"/>
  </r>
  <r>
    <s v="TRIP01537"/>
    <x v="340"/>
    <x v="0"/>
    <s v="Bangalore"/>
    <n v="15.44"/>
    <d v="1900-02-24T21:07:12"/>
    <n v="278.13"/>
    <n v="1"/>
    <n v="278.13"/>
    <n v="3.9"/>
    <x v="0"/>
    <x v="0"/>
  </r>
  <r>
    <s v="TRIP01538"/>
    <x v="291"/>
    <x v="3"/>
    <s v="Bangalore"/>
    <n v="24.96"/>
    <d v="1900-03-01T06:43:12"/>
    <n v="380.5"/>
    <n v="1.2"/>
    <n v="456.6"/>
    <n v="3.1"/>
    <x v="1"/>
    <x v="2"/>
  </r>
  <r>
    <s v="TRIP01539"/>
    <x v="294"/>
    <x v="3"/>
    <s v="Mumbai"/>
    <n v="19.62"/>
    <d v="1900-02-16T21:07:12"/>
    <n v="217.64"/>
    <n v="1.5"/>
    <n v="326.45999999999998"/>
    <n v="4.7"/>
    <x v="4"/>
    <x v="1"/>
  </r>
  <r>
    <s v="TRIP01540"/>
    <x v="82"/>
    <x v="2"/>
    <s v="Chennai"/>
    <n v="8.8000000000000007"/>
    <d v="1900-01-30T21:21:36"/>
    <n v="134.94999999999999"/>
    <n v="1.5"/>
    <n v="202.42"/>
    <n v="5"/>
    <x v="4"/>
    <x v="0"/>
  </r>
  <r>
    <s v="TRIP01541"/>
    <x v="308"/>
    <x v="1"/>
    <s v="Delhi"/>
    <n v="28.32"/>
    <d v="1900-04-15T22:19:12"/>
    <n v="312.16000000000003"/>
    <n v="1"/>
    <n v="312.16000000000003"/>
    <n v="3.2"/>
    <x v="3"/>
    <x v="3"/>
  </r>
  <r>
    <s v="TRIP01542"/>
    <x v="311"/>
    <x v="4"/>
    <s v="Mumbai"/>
    <n v="8.8699999999999992"/>
    <d v="1900-01-25T02:38:24"/>
    <n v="151.76"/>
    <n v="1.2"/>
    <n v="182.11"/>
    <n v="3.3"/>
    <x v="4"/>
    <x v="1"/>
  </r>
  <r>
    <s v="TRIP01543"/>
    <x v="132"/>
    <x v="4"/>
    <s v="Delhi"/>
    <n v="21.47"/>
    <d v="1900-03-22T02:09:36"/>
    <n v="354.79"/>
    <n v="2"/>
    <n v="709.58"/>
    <n v="3.8"/>
    <x v="3"/>
    <x v="1"/>
  </r>
  <r>
    <s v="TRIP01544"/>
    <x v="31"/>
    <x v="3"/>
    <s v="Mumbai"/>
    <n v="6.31"/>
    <d v="1900-01-19T17:31:12"/>
    <n v="83.78"/>
    <n v="1.5"/>
    <n v="125.67"/>
    <n v="4.3"/>
    <x v="0"/>
    <x v="3"/>
  </r>
  <r>
    <s v="TRIP01545"/>
    <x v="306"/>
    <x v="4"/>
    <s v="Bangalore"/>
    <n v="13.57"/>
    <d v="1900-02-05T21:50:24"/>
    <n v="262.99"/>
    <n v="2"/>
    <n v="525.98"/>
    <n v="3"/>
    <x v="0"/>
    <x v="2"/>
  </r>
  <r>
    <s v="TRIP01546"/>
    <x v="140"/>
    <x v="2"/>
    <s v="Mumbai"/>
    <n v="10.67"/>
    <d v="1900-01-29T22:04:48"/>
    <n v="167.59"/>
    <n v="1.2"/>
    <n v="201.11"/>
    <n v="3.3"/>
    <x v="2"/>
    <x v="1"/>
  </r>
  <r>
    <s v="TRIP01547"/>
    <x v="278"/>
    <x v="1"/>
    <s v="Chennai"/>
    <n v="3.01"/>
    <d v="1900-01-07T00:14:24"/>
    <n v="38.6"/>
    <n v="1.2"/>
    <n v="46.32"/>
    <n v="4.2"/>
    <x v="0"/>
    <x v="0"/>
  </r>
  <r>
    <s v="TRIP01548"/>
    <x v="258"/>
    <x v="1"/>
    <s v="Mumbai"/>
    <n v="16.45"/>
    <d v="1900-03-03T12:43:12"/>
    <n v="321.01"/>
    <n v="1.5"/>
    <n v="481.52"/>
    <n v="3.3"/>
    <x v="4"/>
    <x v="2"/>
  </r>
  <r>
    <s v="TRIP01549"/>
    <x v="7"/>
    <x v="1"/>
    <s v="Chennai"/>
    <n v="22.43"/>
    <d v="1900-03-24T22:04:48"/>
    <n v="324.77"/>
    <n v="1.5"/>
    <n v="487.16"/>
    <n v="4.9000000000000004"/>
    <x v="1"/>
    <x v="0"/>
  </r>
  <r>
    <s v="TRIP01550"/>
    <x v="318"/>
    <x v="2"/>
    <s v="Chennai"/>
    <n v="25.66"/>
    <d v="1900-03-03T02:38:24"/>
    <n v="318.11"/>
    <n v="1"/>
    <n v="318.11"/>
    <n v="3.9"/>
    <x v="2"/>
    <x v="3"/>
  </r>
  <r>
    <s v="TRIP01551"/>
    <x v="211"/>
    <x v="3"/>
    <s v="Chennai"/>
    <n v="17.27"/>
    <d v="1900-02-07T04:33:36"/>
    <n v="228"/>
    <n v="1.5"/>
    <n v="342"/>
    <n v="3.2"/>
    <x v="3"/>
    <x v="0"/>
  </r>
  <r>
    <s v="TRIP01552"/>
    <x v="237"/>
    <x v="4"/>
    <s v="Bangalore"/>
    <n v="22.7"/>
    <d v="1900-02-18T13:12:00"/>
    <n v="283.2"/>
    <n v="1.2"/>
    <n v="339.84"/>
    <n v="5"/>
    <x v="2"/>
    <x v="0"/>
  </r>
  <r>
    <s v="TRIP01553"/>
    <x v="347"/>
    <x v="4"/>
    <s v="Chennai"/>
    <n v="2.38"/>
    <d v="1900-01-07T13:40:48"/>
    <n v="38.18"/>
    <n v="1.5"/>
    <n v="57.27"/>
    <n v="3.9"/>
    <x v="3"/>
    <x v="3"/>
  </r>
  <r>
    <s v="TRIP01554"/>
    <x v="183"/>
    <x v="1"/>
    <s v="Delhi"/>
    <n v="22.53"/>
    <d v="1900-03-19T18:28:48"/>
    <n v="337.86"/>
    <n v="2"/>
    <n v="675.72"/>
    <n v="4.5999999999999996"/>
    <x v="4"/>
    <x v="1"/>
  </r>
  <r>
    <s v="TRIP01555"/>
    <x v="322"/>
    <x v="3"/>
    <s v="Kolkata"/>
    <n v="20.239999999999998"/>
    <d v="1900-02-25T00:14:24"/>
    <n v="259.17"/>
    <n v="1.5"/>
    <n v="388.76"/>
    <n v="3.6"/>
    <x v="2"/>
    <x v="2"/>
  </r>
  <r>
    <s v="TRIP01556"/>
    <x v="228"/>
    <x v="3"/>
    <s v="Mumbai"/>
    <n v="16.37"/>
    <d v="1900-02-10T05:31:12"/>
    <n v="266.64999999999998"/>
    <n v="1.5"/>
    <n v="399.98"/>
    <n v="5"/>
    <x v="1"/>
    <x v="1"/>
  </r>
  <r>
    <s v="TRIP01557"/>
    <x v="252"/>
    <x v="1"/>
    <s v="Bangalore"/>
    <n v="9.2200000000000006"/>
    <d v="1900-01-17T10:33:36"/>
    <n v="103.9"/>
    <n v="1.2"/>
    <n v="124.68"/>
    <n v="4.7"/>
    <x v="3"/>
    <x v="3"/>
  </r>
  <r>
    <s v="TRIP01558"/>
    <x v="200"/>
    <x v="2"/>
    <s v="Chennai"/>
    <n v="7.77"/>
    <d v="1900-01-26T15:21:36"/>
    <n v="124.99"/>
    <n v="1"/>
    <n v="124.99"/>
    <n v="4"/>
    <x v="0"/>
    <x v="3"/>
  </r>
  <r>
    <s v="TRIP01559"/>
    <x v="306"/>
    <x v="1"/>
    <s v="Mumbai"/>
    <n v="20.76"/>
    <d v="1900-02-12T03:50:24"/>
    <n v="289.86"/>
    <n v="1"/>
    <n v="289.86"/>
    <n v="4.4000000000000004"/>
    <x v="3"/>
    <x v="2"/>
  </r>
  <r>
    <s v="TRIP01560"/>
    <x v="238"/>
    <x v="0"/>
    <s v="Kolkata"/>
    <n v="26.39"/>
    <d v="1900-03-14T17:02:24"/>
    <n v="370.19"/>
    <n v="1.2"/>
    <n v="444.23"/>
    <n v="3.7"/>
    <x v="0"/>
    <x v="1"/>
  </r>
  <r>
    <s v="TRIP01561"/>
    <x v="268"/>
    <x v="1"/>
    <s v="Delhi"/>
    <n v="21.55"/>
    <d v="1900-02-16T00:43:12"/>
    <n v="281.32"/>
    <n v="1.5"/>
    <n v="421.98"/>
    <n v="3.6"/>
    <x v="0"/>
    <x v="0"/>
  </r>
  <r>
    <s v="TRIP01562"/>
    <x v="54"/>
    <x v="0"/>
    <s v="Chennai"/>
    <n v="8.01"/>
    <d v="1900-01-25T18:57:36"/>
    <n v="95.86"/>
    <n v="1.5"/>
    <n v="143.79"/>
    <n v="4.9000000000000004"/>
    <x v="3"/>
    <x v="3"/>
  </r>
  <r>
    <s v="TRIP01563"/>
    <x v="19"/>
    <x v="0"/>
    <s v="Mumbai"/>
    <n v="6.26"/>
    <d v="1900-01-20T10:19:12"/>
    <n v="86.7"/>
    <n v="1.5"/>
    <n v="130.05000000000001"/>
    <n v="4.4000000000000004"/>
    <x v="0"/>
    <x v="3"/>
  </r>
  <r>
    <s v="TRIP01564"/>
    <x v="179"/>
    <x v="0"/>
    <s v="Chennai"/>
    <n v="28.92"/>
    <d v="1900-03-05T04:04:48"/>
    <n v="410.85"/>
    <n v="1"/>
    <n v="410.85"/>
    <n v="4.9000000000000004"/>
    <x v="3"/>
    <x v="2"/>
  </r>
  <r>
    <s v="TRIP01565"/>
    <x v="58"/>
    <x v="0"/>
    <s v="Chennai"/>
    <n v="11.53"/>
    <d v="1900-01-23T06:28:48"/>
    <n v="194.34"/>
    <n v="1.5"/>
    <n v="291.51"/>
    <n v="5"/>
    <x v="0"/>
    <x v="3"/>
  </r>
  <r>
    <s v="TRIP01566"/>
    <x v="209"/>
    <x v="1"/>
    <s v="Kolkata"/>
    <n v="24.66"/>
    <d v="1900-03-28T21:36:00"/>
    <n v="366.54"/>
    <n v="1.5"/>
    <n v="549.80999999999995"/>
    <n v="4.3"/>
    <x v="3"/>
    <x v="2"/>
  </r>
  <r>
    <s v="TRIP01567"/>
    <x v="290"/>
    <x v="0"/>
    <s v="Mumbai"/>
    <n v="29.49"/>
    <d v="1900-03-10T15:50:24"/>
    <n v="334.45"/>
    <n v="2"/>
    <n v="668.9"/>
    <n v="3.2"/>
    <x v="0"/>
    <x v="0"/>
  </r>
  <r>
    <s v="TRIP01568"/>
    <x v="354"/>
    <x v="4"/>
    <s v="Mumbai"/>
    <n v="9.5500000000000007"/>
    <d v="1900-01-18T03:07:12"/>
    <n v="116.87"/>
    <n v="1.2"/>
    <n v="140.24"/>
    <n v="3.6"/>
    <x v="4"/>
    <x v="0"/>
  </r>
  <r>
    <s v="TRIP01569"/>
    <x v="36"/>
    <x v="2"/>
    <s v="Mumbai"/>
    <n v="7.99"/>
    <d v="1900-01-29T22:33:36"/>
    <n v="121.46"/>
    <n v="1.2"/>
    <n v="145.75"/>
    <n v="3"/>
    <x v="0"/>
    <x v="3"/>
  </r>
  <r>
    <s v="TRIP01570"/>
    <x v="31"/>
    <x v="0"/>
    <s v="Mumbai"/>
    <n v="12.45"/>
    <d v="1900-02-01T05:45:36"/>
    <n v="150.31"/>
    <n v="1"/>
    <n v="150.31"/>
    <n v="3.7"/>
    <x v="3"/>
    <x v="1"/>
  </r>
  <r>
    <s v="TRIP01571"/>
    <x v="152"/>
    <x v="2"/>
    <s v="Mumbai"/>
    <n v="20.64"/>
    <d v="1900-02-21T05:31:12"/>
    <n v="325.52999999999997"/>
    <n v="1.5"/>
    <n v="488.29"/>
    <n v="4.4000000000000004"/>
    <x v="0"/>
    <x v="2"/>
  </r>
  <r>
    <s v="TRIP01572"/>
    <x v="17"/>
    <x v="1"/>
    <s v="Mumbai"/>
    <n v="28"/>
    <d v="1900-03-02T05:02:24"/>
    <n v="393.75"/>
    <n v="1.2"/>
    <n v="472.5"/>
    <n v="3.5"/>
    <x v="3"/>
    <x v="2"/>
  </r>
  <r>
    <s v="TRIP01573"/>
    <x v="78"/>
    <x v="2"/>
    <s v="Chennai"/>
    <n v="2.7"/>
    <d v="1900-01-06T01:12:00"/>
    <n v="31.26"/>
    <n v="2"/>
    <n v="62.52"/>
    <n v="5"/>
    <x v="2"/>
    <x v="0"/>
  </r>
  <r>
    <s v="TRIP01574"/>
    <x v="187"/>
    <x v="2"/>
    <s v="Kolkata"/>
    <n v="1.46"/>
    <d v="1900-01-03T13:12:00"/>
    <n v="20.14"/>
    <n v="2"/>
    <n v="40.28"/>
    <n v="3.2"/>
    <x v="1"/>
    <x v="1"/>
  </r>
  <r>
    <s v="TRIP01575"/>
    <x v="243"/>
    <x v="1"/>
    <s v="Chennai"/>
    <n v="10.09"/>
    <d v="1900-01-25T03:21:36"/>
    <n v="174.9"/>
    <n v="1.2"/>
    <n v="209.88"/>
    <n v="4.5999999999999996"/>
    <x v="0"/>
    <x v="1"/>
  </r>
  <r>
    <s v="TRIP01576"/>
    <x v="88"/>
    <x v="0"/>
    <s v="Mumbai"/>
    <n v="3.83"/>
    <d v="1900-01-13T12:57:36"/>
    <n v="51.7"/>
    <n v="1.5"/>
    <n v="77.55"/>
    <n v="4.2"/>
    <x v="0"/>
    <x v="2"/>
  </r>
  <r>
    <s v="TRIP01577"/>
    <x v="179"/>
    <x v="0"/>
    <s v="Bangalore"/>
    <n v="4.6500000000000004"/>
    <d v="1900-01-13T18:43:12"/>
    <n v="70.92"/>
    <n v="1.5"/>
    <n v="106.38"/>
    <n v="3.6"/>
    <x v="1"/>
    <x v="1"/>
  </r>
  <r>
    <s v="TRIP01578"/>
    <x v="334"/>
    <x v="0"/>
    <s v="Kolkata"/>
    <n v="24.11"/>
    <d v="1900-03-16T16:33:36"/>
    <n v="264.47000000000003"/>
    <n v="2"/>
    <n v="528.94000000000005"/>
    <n v="3.5"/>
    <x v="2"/>
    <x v="3"/>
  </r>
  <r>
    <s v="TRIP01579"/>
    <x v="55"/>
    <x v="2"/>
    <s v="Bangalore"/>
    <n v="3.95"/>
    <d v="1900-01-07T06:57:36"/>
    <n v="39.71"/>
    <n v="1.2"/>
    <n v="47.65"/>
    <n v="4.4000000000000004"/>
    <x v="4"/>
    <x v="0"/>
  </r>
  <r>
    <s v="TRIP01580"/>
    <x v="12"/>
    <x v="2"/>
    <s v="Chennai"/>
    <n v="22.18"/>
    <d v="1900-03-04T11:16:48"/>
    <n v="373.58"/>
    <n v="1.5"/>
    <n v="560.37"/>
    <n v="3.4"/>
    <x v="3"/>
    <x v="3"/>
  </r>
  <r>
    <s v="TRIP01581"/>
    <x v="130"/>
    <x v="3"/>
    <s v="Mumbai"/>
    <n v="24.14"/>
    <d v="1900-04-01T18:28:48"/>
    <n v="477.61"/>
    <n v="1.2"/>
    <n v="573.13"/>
    <n v="3.4"/>
    <x v="1"/>
    <x v="2"/>
  </r>
  <r>
    <s v="TRIP01582"/>
    <x v="149"/>
    <x v="1"/>
    <s v="Kolkata"/>
    <n v="4"/>
    <d v="1900-01-08T10:48:00"/>
    <n v="45.2"/>
    <n v="2"/>
    <n v="90.4"/>
    <n v="4.5999999999999996"/>
    <x v="2"/>
    <x v="1"/>
  </r>
  <r>
    <s v="TRIP01583"/>
    <x v="327"/>
    <x v="0"/>
    <s v="Kolkata"/>
    <n v="15.43"/>
    <d v="1900-02-13T13:12:00"/>
    <n v="293.39999999999998"/>
    <n v="1.5"/>
    <n v="440.1"/>
    <n v="4.5999999999999996"/>
    <x v="3"/>
    <x v="1"/>
  </r>
  <r>
    <s v="TRIP01584"/>
    <x v="350"/>
    <x v="3"/>
    <s v="Kolkata"/>
    <n v="20.059999999999999"/>
    <d v="1900-02-22T18:28:48"/>
    <n v="323.27"/>
    <n v="1.5"/>
    <n v="484.9"/>
    <n v="3.1"/>
    <x v="2"/>
    <x v="2"/>
  </r>
  <r>
    <s v="TRIP01585"/>
    <x v="69"/>
    <x v="4"/>
    <s v="Kolkata"/>
    <n v="4.13"/>
    <d v="1900-01-07T20:09:36"/>
    <n v="65.62"/>
    <n v="1"/>
    <n v="65.62"/>
    <n v="4.3"/>
    <x v="4"/>
    <x v="1"/>
  </r>
  <r>
    <s v="TRIP01586"/>
    <x v="79"/>
    <x v="4"/>
    <s v="Delhi"/>
    <n v="15.78"/>
    <d v="1900-02-12T21:21:36"/>
    <n v="220.62"/>
    <n v="1"/>
    <n v="220.62"/>
    <n v="3.4"/>
    <x v="2"/>
    <x v="0"/>
  </r>
  <r>
    <s v="TRIP01587"/>
    <x v="7"/>
    <x v="3"/>
    <s v="Chennai"/>
    <n v="1.73"/>
    <d v="1900-01-04T23:02:24"/>
    <n v="31.32"/>
    <n v="1.5"/>
    <n v="46.98"/>
    <n v="4.7"/>
    <x v="0"/>
    <x v="0"/>
  </r>
  <r>
    <s v="TRIP01588"/>
    <x v="57"/>
    <x v="4"/>
    <s v="Kolkata"/>
    <n v="27.2"/>
    <d v="1900-03-30T23:16:48"/>
    <n v="516.13"/>
    <n v="1"/>
    <n v="516.13"/>
    <n v="4.9000000000000004"/>
    <x v="4"/>
    <x v="0"/>
  </r>
  <r>
    <s v="TRIP01589"/>
    <x v="182"/>
    <x v="1"/>
    <s v="Bangalore"/>
    <n v="23.75"/>
    <d v="1900-02-19T22:19:12"/>
    <n v="361.21"/>
    <n v="2"/>
    <n v="722.42"/>
    <n v="4.7"/>
    <x v="0"/>
    <x v="1"/>
  </r>
  <r>
    <s v="TRIP01590"/>
    <x v="247"/>
    <x v="1"/>
    <s v="Bangalore"/>
    <n v="28.73"/>
    <d v="1900-04-06T13:55:12"/>
    <n v="346.99"/>
    <n v="1"/>
    <n v="346.99"/>
    <n v="4.5999999999999996"/>
    <x v="4"/>
    <x v="1"/>
  </r>
  <r>
    <s v="TRIP01591"/>
    <x v="292"/>
    <x v="4"/>
    <s v="Mumbai"/>
    <n v="15.9"/>
    <d v="1900-02-07T10:33:36"/>
    <n v="178.83"/>
    <n v="1"/>
    <n v="178.83"/>
    <n v="3.4"/>
    <x v="3"/>
    <x v="1"/>
  </r>
  <r>
    <s v="TRIP01592"/>
    <x v="189"/>
    <x v="3"/>
    <s v="Kolkata"/>
    <n v="29.8"/>
    <d v="1900-04-13T18:57:36"/>
    <n v="534.5"/>
    <n v="1.5"/>
    <n v="801.75"/>
    <n v="4"/>
    <x v="4"/>
    <x v="3"/>
  </r>
  <r>
    <s v="TRIP01593"/>
    <x v="82"/>
    <x v="4"/>
    <s v="Kolkata"/>
    <n v="19.559999999999999"/>
    <d v="1900-03-12T18:28:48"/>
    <n v="380.6"/>
    <n v="2"/>
    <n v="761.2"/>
    <n v="3.6"/>
    <x v="4"/>
    <x v="0"/>
  </r>
  <r>
    <s v="TRIP01594"/>
    <x v="86"/>
    <x v="1"/>
    <s v="Bangalore"/>
    <n v="3.28"/>
    <d v="1900-01-06T16:33:36"/>
    <n v="34.74"/>
    <n v="2"/>
    <n v="69.48"/>
    <n v="3.3"/>
    <x v="3"/>
    <x v="1"/>
  </r>
  <r>
    <s v="TRIP01595"/>
    <x v="12"/>
    <x v="3"/>
    <s v="Delhi"/>
    <n v="6.98"/>
    <d v="1900-01-19T02:52:48"/>
    <n v="74.34"/>
    <n v="1.5"/>
    <n v="111.51"/>
    <n v="4.3"/>
    <x v="2"/>
    <x v="3"/>
  </r>
  <r>
    <s v="TRIP01596"/>
    <x v="109"/>
    <x v="1"/>
    <s v="Mumbai"/>
    <n v="27.19"/>
    <d v="1900-04-10T09:07:12"/>
    <n v="398.22"/>
    <n v="1.2"/>
    <n v="477.86"/>
    <n v="3.4"/>
    <x v="2"/>
    <x v="1"/>
  </r>
  <r>
    <s v="TRIP01597"/>
    <x v="55"/>
    <x v="4"/>
    <s v="Delhi"/>
    <n v="24.29"/>
    <d v="1900-03-09T13:26:24"/>
    <n v="433.77"/>
    <n v="1.5"/>
    <n v="650.66"/>
    <n v="3.6"/>
    <x v="4"/>
    <x v="3"/>
  </r>
  <r>
    <s v="TRIP01598"/>
    <x v="151"/>
    <x v="3"/>
    <s v="Bangalore"/>
    <n v="14.42"/>
    <d v="1900-02-19T11:31:12"/>
    <n v="262.67"/>
    <n v="2"/>
    <n v="525.34"/>
    <n v="3.2"/>
    <x v="2"/>
    <x v="0"/>
  </r>
  <r>
    <s v="TRIP01599"/>
    <x v="139"/>
    <x v="0"/>
    <s v="Bangalore"/>
    <n v="1.36"/>
    <d v="1900-01-04T02:38:24"/>
    <n v="14.21"/>
    <n v="1.2"/>
    <n v="17.05"/>
    <n v="3.1"/>
    <x v="0"/>
    <x v="3"/>
  </r>
  <r>
    <s v="TRIP01600"/>
    <x v="325"/>
    <x v="4"/>
    <s v="Delhi"/>
    <n v="3.84"/>
    <d v="1900-01-10T00:43:12"/>
    <n v="75.349999999999994"/>
    <n v="2"/>
    <n v="150.69999999999999"/>
    <n v="4.7"/>
    <x v="1"/>
    <x v="0"/>
  </r>
  <r>
    <s v="TRIP01601"/>
    <x v="343"/>
    <x v="2"/>
    <s v="Kolkata"/>
    <n v="23.11"/>
    <d v="1900-03-24T17:45:36"/>
    <n v="311.52999999999997"/>
    <n v="1"/>
    <n v="311.52999999999997"/>
    <n v="4.0999999999999996"/>
    <x v="0"/>
    <x v="2"/>
  </r>
  <r>
    <s v="TRIP01602"/>
    <x v="179"/>
    <x v="4"/>
    <s v="Bangalore"/>
    <n v="5.6"/>
    <d v="1900-01-19T07:12:00"/>
    <n v="63.43"/>
    <n v="2"/>
    <n v="126.86"/>
    <n v="3"/>
    <x v="1"/>
    <x v="3"/>
  </r>
  <r>
    <s v="TRIP01603"/>
    <x v="239"/>
    <x v="3"/>
    <s v="Bangalore"/>
    <n v="21.41"/>
    <d v="1900-03-10T16:33:36"/>
    <n v="421.32"/>
    <n v="1"/>
    <n v="421.32"/>
    <n v="4.2"/>
    <x v="0"/>
    <x v="3"/>
  </r>
  <r>
    <s v="TRIP01604"/>
    <x v="102"/>
    <x v="3"/>
    <s v="Delhi"/>
    <n v="2.82"/>
    <d v="1900-01-07T07:40:48"/>
    <n v="47.64"/>
    <n v="1"/>
    <n v="47.64"/>
    <n v="4.5"/>
    <x v="1"/>
    <x v="2"/>
  </r>
  <r>
    <s v="TRIP01605"/>
    <x v="161"/>
    <x v="2"/>
    <s v="Bangalore"/>
    <n v="14.6"/>
    <d v="1900-02-05T18:43:12"/>
    <n v="186.49"/>
    <n v="2"/>
    <n v="372.98"/>
    <n v="4.2"/>
    <x v="2"/>
    <x v="2"/>
  </r>
  <r>
    <s v="TRIP01606"/>
    <x v="307"/>
    <x v="0"/>
    <s v="Delhi"/>
    <n v="10.88"/>
    <d v="1900-01-27T19:26:24"/>
    <n v="172.68"/>
    <n v="1.5"/>
    <n v="259.02"/>
    <n v="4.7"/>
    <x v="1"/>
    <x v="0"/>
  </r>
  <r>
    <s v="TRIP01607"/>
    <x v="58"/>
    <x v="0"/>
    <s v="Mumbai"/>
    <n v="17.309999999999999"/>
    <d v="1900-02-25T20:09:36"/>
    <n v="294.81"/>
    <n v="1"/>
    <n v="294.81"/>
    <n v="4.2"/>
    <x v="4"/>
    <x v="1"/>
  </r>
  <r>
    <s v="TRIP01608"/>
    <x v="19"/>
    <x v="3"/>
    <s v="Bangalore"/>
    <n v="28.73"/>
    <d v="1900-04-10T12:14:24"/>
    <n v="565.85"/>
    <n v="1.5"/>
    <n v="848.78"/>
    <n v="4.4000000000000004"/>
    <x v="3"/>
    <x v="1"/>
  </r>
  <r>
    <s v="TRIP01609"/>
    <x v="7"/>
    <x v="2"/>
    <s v="Chennai"/>
    <n v="2.87"/>
    <d v="1900-01-08T01:26:24"/>
    <n v="38.97"/>
    <n v="1"/>
    <n v="38.97"/>
    <n v="4.7"/>
    <x v="1"/>
    <x v="2"/>
  </r>
  <r>
    <s v="TRIP01610"/>
    <x v="225"/>
    <x v="3"/>
    <s v="Chennai"/>
    <n v="11.64"/>
    <d v="1900-01-29T15:50:24"/>
    <n v="215.34"/>
    <n v="1"/>
    <n v="215.34"/>
    <n v="4.0999999999999996"/>
    <x v="4"/>
    <x v="3"/>
  </r>
  <r>
    <s v="TRIP01611"/>
    <x v="15"/>
    <x v="2"/>
    <s v="Mumbai"/>
    <n v="25.14"/>
    <d v="1900-04-02T01:26:24"/>
    <n v="357.98"/>
    <n v="1.2"/>
    <n v="429.58"/>
    <n v="4"/>
    <x v="3"/>
    <x v="1"/>
  </r>
  <r>
    <s v="TRIP01612"/>
    <x v="112"/>
    <x v="1"/>
    <s v="Bangalore"/>
    <n v="16.18"/>
    <d v="1900-02-11T11:45:36"/>
    <n v="323.14"/>
    <n v="1.5"/>
    <n v="484.71"/>
    <n v="3.9"/>
    <x v="4"/>
    <x v="3"/>
  </r>
  <r>
    <s v="TRIP01613"/>
    <x v="186"/>
    <x v="1"/>
    <s v="Chennai"/>
    <n v="28.7"/>
    <d v="1900-04-17T08:38:24"/>
    <n v="378.32"/>
    <n v="1.5"/>
    <n v="567.48"/>
    <n v="4.5"/>
    <x v="1"/>
    <x v="2"/>
  </r>
  <r>
    <s v="TRIP01614"/>
    <x v="154"/>
    <x v="3"/>
    <s v="Delhi"/>
    <n v="11.97"/>
    <d v="1900-02-03T06:28:48"/>
    <n v="195.16"/>
    <n v="1.2"/>
    <n v="234.19"/>
    <n v="3"/>
    <x v="1"/>
    <x v="3"/>
  </r>
  <r>
    <s v="TRIP01615"/>
    <x v="162"/>
    <x v="3"/>
    <s v="Chennai"/>
    <n v="23.72"/>
    <d v="1900-02-28T04:04:48"/>
    <n v="402.76"/>
    <n v="1"/>
    <n v="402.76"/>
    <n v="3.6"/>
    <x v="2"/>
    <x v="3"/>
  </r>
  <r>
    <s v="TRIP01616"/>
    <x v="101"/>
    <x v="4"/>
    <s v="Chennai"/>
    <n v="1.88"/>
    <d v="1900-01-05T10:33:36"/>
    <n v="19.670000000000002"/>
    <n v="1"/>
    <n v="19.670000000000002"/>
    <n v="4.7"/>
    <x v="0"/>
    <x v="1"/>
  </r>
  <r>
    <s v="TRIP01617"/>
    <x v="349"/>
    <x v="4"/>
    <s v="Mumbai"/>
    <n v="8.16"/>
    <d v="1900-01-22T16:04:48"/>
    <n v="83.41"/>
    <n v="1.5"/>
    <n v="125.12"/>
    <n v="4.3"/>
    <x v="1"/>
    <x v="2"/>
  </r>
  <r>
    <s v="TRIP01618"/>
    <x v="180"/>
    <x v="4"/>
    <s v="Chennai"/>
    <n v="8.83"/>
    <d v="1900-01-20T07:26:24"/>
    <n v="146.05000000000001"/>
    <n v="1"/>
    <n v="146.05000000000001"/>
    <n v="3.5"/>
    <x v="1"/>
    <x v="2"/>
  </r>
  <r>
    <s v="TRIP01619"/>
    <x v="240"/>
    <x v="2"/>
    <s v="Chennai"/>
    <n v="20.98"/>
    <d v="1900-03-05T16:04:48"/>
    <n v="389.95"/>
    <n v="1.2"/>
    <n v="467.94"/>
    <n v="3.5"/>
    <x v="0"/>
    <x v="3"/>
  </r>
  <r>
    <s v="TRIP01620"/>
    <x v="82"/>
    <x v="2"/>
    <s v="Bangalore"/>
    <n v="20.53"/>
    <d v="1900-02-13T18:43:12"/>
    <n v="347.95"/>
    <n v="1.5"/>
    <n v="521.91999999999996"/>
    <n v="4.8"/>
    <x v="3"/>
    <x v="2"/>
  </r>
  <r>
    <s v="TRIP01621"/>
    <x v="327"/>
    <x v="1"/>
    <s v="Delhi"/>
    <n v="22.43"/>
    <d v="1900-02-21T17:31:12"/>
    <n v="413.47"/>
    <n v="2"/>
    <n v="826.94"/>
    <n v="3.7"/>
    <x v="2"/>
    <x v="3"/>
  </r>
  <r>
    <s v="TRIP01622"/>
    <x v="1"/>
    <x v="2"/>
    <s v="Bangalore"/>
    <n v="20.88"/>
    <d v="1900-03-13T10:48:00"/>
    <n v="320.02"/>
    <n v="1.2"/>
    <n v="384.02"/>
    <n v="5"/>
    <x v="0"/>
    <x v="3"/>
  </r>
  <r>
    <s v="TRIP01623"/>
    <x v="2"/>
    <x v="2"/>
    <s v="Chennai"/>
    <n v="13.67"/>
    <d v="1900-02-09T13:26:24"/>
    <n v="177.02"/>
    <n v="1.2"/>
    <n v="212.42"/>
    <n v="3.2"/>
    <x v="1"/>
    <x v="1"/>
  </r>
  <r>
    <s v="TRIP01624"/>
    <x v="178"/>
    <x v="0"/>
    <s v="Mumbai"/>
    <n v="9.18"/>
    <d v="1900-01-25T12:00:00"/>
    <n v="107.51"/>
    <n v="2"/>
    <n v="215.02"/>
    <n v="4.4000000000000004"/>
    <x v="2"/>
    <x v="0"/>
  </r>
  <r>
    <s v="TRIP01625"/>
    <x v="125"/>
    <x v="3"/>
    <s v="Mumbai"/>
    <n v="16.149999999999999"/>
    <d v="1900-02-25T13:26:24"/>
    <n v="186.64"/>
    <n v="1"/>
    <n v="186.64"/>
    <n v="3"/>
    <x v="0"/>
    <x v="3"/>
  </r>
  <r>
    <s v="TRIP01626"/>
    <x v="197"/>
    <x v="2"/>
    <s v="Mumbai"/>
    <n v="4.2"/>
    <d v="1900-01-10T22:04:48"/>
    <n v="55.29"/>
    <n v="1.5"/>
    <n v="82.94"/>
    <n v="4.5"/>
    <x v="4"/>
    <x v="2"/>
  </r>
  <r>
    <s v="TRIP01627"/>
    <x v="325"/>
    <x v="2"/>
    <s v="Mumbai"/>
    <n v="23.16"/>
    <d v="1900-02-15T03:50:24"/>
    <n v="447.97"/>
    <n v="2"/>
    <n v="895.94"/>
    <n v="4.5999999999999996"/>
    <x v="3"/>
    <x v="0"/>
  </r>
  <r>
    <s v="TRIP01628"/>
    <x v="262"/>
    <x v="3"/>
    <s v="Chennai"/>
    <n v="28.22"/>
    <d v="1900-03-06T22:19:12"/>
    <n v="558.19000000000005"/>
    <n v="2"/>
    <n v="1116.3800000000001"/>
    <n v="3.9"/>
    <x v="4"/>
    <x v="2"/>
  </r>
  <r>
    <s v="TRIP01629"/>
    <x v="3"/>
    <x v="0"/>
    <s v="Delhi"/>
    <n v="5.93"/>
    <d v="1900-01-14T14:38:24"/>
    <n v="84.47"/>
    <n v="1.5"/>
    <n v="126.7"/>
    <n v="4.2"/>
    <x v="3"/>
    <x v="2"/>
  </r>
  <r>
    <s v="TRIP01630"/>
    <x v="145"/>
    <x v="1"/>
    <s v="Delhi"/>
    <n v="5.45"/>
    <d v="1900-01-17T21:21:36"/>
    <n v="54.52"/>
    <n v="1"/>
    <n v="54.52"/>
    <n v="3.7"/>
    <x v="2"/>
    <x v="1"/>
  </r>
  <r>
    <s v="TRIP01631"/>
    <x v="237"/>
    <x v="0"/>
    <s v="Delhi"/>
    <n v="27.76"/>
    <d v="1900-04-13T14:24:00"/>
    <n v="403.1"/>
    <n v="1.5"/>
    <n v="604.65"/>
    <n v="4.4000000000000004"/>
    <x v="1"/>
    <x v="3"/>
  </r>
  <r>
    <s v="TRIP01632"/>
    <x v="55"/>
    <x v="4"/>
    <s v="Chennai"/>
    <n v="5.31"/>
    <d v="1900-01-14T00:28:48"/>
    <n v="78.77"/>
    <n v="1.5"/>
    <n v="118.16"/>
    <n v="3.9"/>
    <x v="4"/>
    <x v="1"/>
  </r>
  <r>
    <s v="TRIP01633"/>
    <x v="338"/>
    <x v="2"/>
    <s v="Chennai"/>
    <n v="5.72"/>
    <d v="1900-01-16T00:57:36"/>
    <n v="102.61"/>
    <n v="1"/>
    <n v="102.61"/>
    <n v="3.9"/>
    <x v="4"/>
    <x v="3"/>
  </r>
  <r>
    <s v="TRIP01634"/>
    <x v="111"/>
    <x v="4"/>
    <s v="Bangalore"/>
    <n v="15.14"/>
    <d v="1900-02-19T09:36:00"/>
    <n v="231.63"/>
    <n v="1"/>
    <n v="231.63"/>
    <n v="4.4000000000000004"/>
    <x v="0"/>
    <x v="2"/>
  </r>
  <r>
    <s v="TRIP01635"/>
    <x v="132"/>
    <x v="0"/>
    <s v="Bangalore"/>
    <n v="27.38"/>
    <d v="1900-02-23T18:00:00"/>
    <n v="426.32"/>
    <n v="1"/>
    <n v="426.32"/>
    <n v="4.2"/>
    <x v="1"/>
    <x v="2"/>
  </r>
  <r>
    <s v="TRIP01636"/>
    <x v="322"/>
    <x v="3"/>
    <s v="Mumbai"/>
    <n v="10.39"/>
    <d v="1900-01-22T14:38:24"/>
    <n v="196.12"/>
    <n v="2"/>
    <n v="392.24"/>
    <n v="4.5"/>
    <x v="0"/>
    <x v="2"/>
  </r>
  <r>
    <s v="TRIP01637"/>
    <x v="203"/>
    <x v="1"/>
    <s v="Kolkata"/>
    <n v="17.989999999999998"/>
    <d v="1900-02-28T05:45:36"/>
    <n v="324.58999999999997"/>
    <n v="1.5"/>
    <n v="486.88"/>
    <n v="4.2"/>
    <x v="4"/>
    <x v="3"/>
  </r>
  <r>
    <s v="TRIP01638"/>
    <x v="195"/>
    <x v="4"/>
    <s v="Delhi"/>
    <n v="15.9"/>
    <d v="1900-02-25T08:09:36"/>
    <n v="218.41"/>
    <n v="2"/>
    <n v="436.82"/>
    <n v="3.2"/>
    <x v="1"/>
    <x v="2"/>
  </r>
  <r>
    <s v="TRIP01639"/>
    <x v="321"/>
    <x v="4"/>
    <s v="Kolkata"/>
    <n v="27.52"/>
    <d v="1900-02-28T01:12:00"/>
    <n v="453.59"/>
    <n v="1"/>
    <n v="453.59"/>
    <n v="3.3"/>
    <x v="0"/>
    <x v="0"/>
  </r>
  <r>
    <s v="TRIP01640"/>
    <x v="34"/>
    <x v="0"/>
    <s v="Mumbai"/>
    <n v="20.71"/>
    <d v="1900-02-12T04:48:00"/>
    <n v="330.06"/>
    <n v="1.5"/>
    <n v="495.09"/>
    <n v="3.5"/>
    <x v="4"/>
    <x v="3"/>
  </r>
  <r>
    <s v="TRIP01641"/>
    <x v="277"/>
    <x v="4"/>
    <s v="Chennai"/>
    <n v="5.95"/>
    <d v="1900-01-21T13:55:12"/>
    <n v="98.54"/>
    <n v="2"/>
    <n v="197.08"/>
    <n v="4.5999999999999996"/>
    <x v="0"/>
    <x v="2"/>
  </r>
  <r>
    <s v="TRIP01642"/>
    <x v="326"/>
    <x v="2"/>
    <s v="Bangalore"/>
    <n v="16.72"/>
    <d v="1900-03-04T04:04:48"/>
    <n v="317.66000000000003"/>
    <n v="1.5"/>
    <n v="476.49"/>
    <n v="3.4"/>
    <x v="4"/>
    <x v="1"/>
  </r>
  <r>
    <s v="TRIP01643"/>
    <x v="219"/>
    <x v="2"/>
    <s v="Bangalore"/>
    <n v="12.4"/>
    <d v="1900-02-02T10:04:48"/>
    <n v="159.57"/>
    <n v="1.2"/>
    <n v="191.48"/>
    <n v="3.6"/>
    <x v="0"/>
    <x v="0"/>
  </r>
  <r>
    <s v="TRIP01644"/>
    <x v="83"/>
    <x v="1"/>
    <s v="Kolkata"/>
    <n v="3.03"/>
    <d v="1900-01-09T04:04:48"/>
    <n v="35.54"/>
    <n v="1"/>
    <n v="35.54"/>
    <n v="3.6"/>
    <x v="2"/>
    <x v="0"/>
  </r>
  <r>
    <s v="TRIP01645"/>
    <x v="196"/>
    <x v="2"/>
    <s v="Chennai"/>
    <n v="8.83"/>
    <d v="1900-01-30T05:31:12"/>
    <n v="166.45"/>
    <n v="2"/>
    <n v="332.9"/>
    <n v="3"/>
    <x v="4"/>
    <x v="0"/>
  </r>
  <r>
    <s v="TRIP01646"/>
    <x v="14"/>
    <x v="0"/>
    <s v="Kolkata"/>
    <n v="5"/>
    <d v="1900-01-16T18:14:24"/>
    <n v="89.88"/>
    <n v="1.5"/>
    <n v="134.82"/>
    <n v="4.3"/>
    <x v="1"/>
    <x v="2"/>
  </r>
  <r>
    <s v="TRIP01647"/>
    <x v="243"/>
    <x v="2"/>
    <s v="Chennai"/>
    <n v="5.21"/>
    <d v="1900-01-17T02:24:00"/>
    <n v="83.43"/>
    <n v="1"/>
    <n v="83.43"/>
    <n v="4.5"/>
    <x v="0"/>
    <x v="2"/>
  </r>
  <r>
    <s v="TRIP01648"/>
    <x v="90"/>
    <x v="2"/>
    <s v="Chennai"/>
    <n v="27.9"/>
    <d v="1900-02-27T12:00:00"/>
    <n v="381.34"/>
    <n v="1"/>
    <n v="381.34"/>
    <n v="4.3"/>
    <x v="4"/>
    <x v="3"/>
  </r>
  <r>
    <s v="TRIP01649"/>
    <x v="278"/>
    <x v="0"/>
    <s v="Mumbai"/>
    <n v="15.42"/>
    <d v="1900-02-22T01:26:24"/>
    <n v="281.14999999999998"/>
    <n v="2"/>
    <n v="562.29999999999995"/>
    <n v="3.9"/>
    <x v="0"/>
    <x v="3"/>
  </r>
  <r>
    <s v="TRIP01650"/>
    <x v="173"/>
    <x v="4"/>
    <s v="Bangalore"/>
    <n v="19.29"/>
    <d v="1900-02-09T15:36:00"/>
    <n v="287.04000000000002"/>
    <n v="1.2"/>
    <n v="344.45"/>
    <n v="4.8"/>
    <x v="1"/>
    <x v="1"/>
  </r>
  <r>
    <s v="TRIP01651"/>
    <x v="281"/>
    <x v="1"/>
    <s v="Mumbai"/>
    <n v="10.55"/>
    <d v="1900-01-29T00:57:36"/>
    <n v="165.81"/>
    <n v="1.5"/>
    <n v="248.72"/>
    <n v="3.5"/>
    <x v="3"/>
    <x v="1"/>
  </r>
  <r>
    <s v="TRIP01652"/>
    <x v="307"/>
    <x v="1"/>
    <s v="Delhi"/>
    <n v="29.45"/>
    <d v="1900-04-12T14:38:24"/>
    <n v="445.13"/>
    <n v="1.2"/>
    <n v="534.16"/>
    <n v="3.3"/>
    <x v="2"/>
    <x v="2"/>
  </r>
  <r>
    <s v="TRIP01653"/>
    <x v="295"/>
    <x v="0"/>
    <s v="Kolkata"/>
    <n v="6.22"/>
    <d v="1900-01-17T16:33:36"/>
    <n v="114.97"/>
    <n v="2"/>
    <n v="229.94"/>
    <n v="4.7"/>
    <x v="4"/>
    <x v="3"/>
  </r>
  <r>
    <s v="TRIP01654"/>
    <x v="25"/>
    <x v="2"/>
    <s v="Bangalore"/>
    <n v="9.0299999999999994"/>
    <d v="1900-02-01T15:07:12"/>
    <n v="115.9"/>
    <n v="1.5"/>
    <n v="173.85"/>
    <n v="3.9"/>
    <x v="4"/>
    <x v="0"/>
  </r>
  <r>
    <s v="TRIP01655"/>
    <x v="340"/>
    <x v="2"/>
    <s v="Mumbai"/>
    <n v="7.42"/>
    <d v="1900-01-14T08:38:24"/>
    <n v="104.57"/>
    <n v="1.2"/>
    <n v="125.48"/>
    <n v="4.5999999999999996"/>
    <x v="2"/>
    <x v="2"/>
  </r>
  <r>
    <s v="TRIP01656"/>
    <x v="39"/>
    <x v="2"/>
    <s v="Delhi"/>
    <n v="24.21"/>
    <d v="1900-03-10T13:12:00"/>
    <n v="388.94"/>
    <n v="1.5"/>
    <n v="583.41"/>
    <n v="3.7"/>
    <x v="2"/>
    <x v="1"/>
  </r>
  <r>
    <s v="TRIP01657"/>
    <x v="12"/>
    <x v="0"/>
    <s v="Mumbai"/>
    <n v="13.33"/>
    <d v="1900-02-02T00:00:00"/>
    <n v="168.63"/>
    <n v="1"/>
    <n v="168.63"/>
    <n v="4"/>
    <x v="1"/>
    <x v="2"/>
  </r>
  <r>
    <s v="TRIP01658"/>
    <x v="36"/>
    <x v="0"/>
    <s v="Chennai"/>
    <n v="13.76"/>
    <d v="1900-01-29T00:43:12"/>
    <n v="236.48"/>
    <n v="2"/>
    <n v="472.96"/>
    <n v="4.3"/>
    <x v="3"/>
    <x v="2"/>
  </r>
  <r>
    <s v="TRIP01659"/>
    <x v="240"/>
    <x v="4"/>
    <s v="Chennai"/>
    <n v="12.97"/>
    <d v="1900-01-30T20:24:00"/>
    <n v="205.43"/>
    <n v="1.2"/>
    <n v="246.52"/>
    <n v="3.9"/>
    <x v="4"/>
    <x v="1"/>
  </r>
  <r>
    <s v="TRIP01660"/>
    <x v="227"/>
    <x v="2"/>
    <s v="Bangalore"/>
    <n v="16.579999999999998"/>
    <d v="1900-02-07T21:50:24"/>
    <n v="191.62"/>
    <n v="1"/>
    <n v="191.62"/>
    <n v="4"/>
    <x v="1"/>
    <x v="1"/>
  </r>
  <r>
    <s v="TRIP01661"/>
    <x v="249"/>
    <x v="4"/>
    <s v="Chennai"/>
    <n v="2.0299999999999998"/>
    <d v="1900-01-05T01:55:12"/>
    <n v="31.55"/>
    <n v="1.2"/>
    <n v="37.86"/>
    <n v="3"/>
    <x v="1"/>
    <x v="2"/>
  </r>
  <r>
    <s v="TRIP01662"/>
    <x v="157"/>
    <x v="1"/>
    <s v="Delhi"/>
    <n v="6.15"/>
    <d v="1900-01-14T09:36:00"/>
    <n v="111.36"/>
    <n v="2"/>
    <n v="222.72"/>
    <n v="3.4"/>
    <x v="1"/>
    <x v="1"/>
  </r>
  <r>
    <s v="TRIP01663"/>
    <x v="265"/>
    <x v="0"/>
    <s v="Mumbai"/>
    <n v="15.43"/>
    <d v="1900-02-05T11:16:48"/>
    <n v="163.57"/>
    <n v="2"/>
    <n v="327.14"/>
    <n v="4"/>
    <x v="0"/>
    <x v="2"/>
  </r>
  <r>
    <s v="TRIP01664"/>
    <x v="192"/>
    <x v="3"/>
    <s v="Chennai"/>
    <n v="21.59"/>
    <d v="1900-03-06T05:31:12"/>
    <n v="246.95"/>
    <n v="2"/>
    <n v="493.9"/>
    <n v="5"/>
    <x v="4"/>
    <x v="2"/>
  </r>
  <r>
    <s v="TRIP01665"/>
    <x v="326"/>
    <x v="3"/>
    <s v="Mumbai"/>
    <n v="6.11"/>
    <d v="1900-01-18T15:07:12"/>
    <n v="81.69"/>
    <n v="2"/>
    <n v="163.38"/>
    <n v="3.8"/>
    <x v="3"/>
    <x v="1"/>
  </r>
  <r>
    <s v="TRIP01666"/>
    <x v="98"/>
    <x v="4"/>
    <s v="Mumbai"/>
    <n v="3.52"/>
    <d v="1900-01-07T14:38:24"/>
    <n v="41.82"/>
    <n v="2"/>
    <n v="83.64"/>
    <n v="3"/>
    <x v="3"/>
    <x v="3"/>
  </r>
  <r>
    <s v="TRIP01667"/>
    <x v="203"/>
    <x v="3"/>
    <s v="Kolkata"/>
    <n v="8.65"/>
    <d v="1900-01-16T12:14:24"/>
    <n v="131.38999999999999"/>
    <n v="1"/>
    <n v="131.38999999999999"/>
    <n v="3.8"/>
    <x v="4"/>
    <x v="1"/>
  </r>
  <r>
    <s v="TRIP01668"/>
    <x v="106"/>
    <x v="2"/>
    <s v="Mumbai"/>
    <n v="27.49"/>
    <d v="1900-03-17T19:55:12"/>
    <n v="401.22"/>
    <n v="1"/>
    <n v="401.22"/>
    <n v="4.7"/>
    <x v="4"/>
    <x v="1"/>
  </r>
  <r>
    <s v="TRIP01669"/>
    <x v="150"/>
    <x v="0"/>
    <s v="Kolkata"/>
    <n v="7.88"/>
    <d v="1900-01-18T21:36:00"/>
    <n v="118.55"/>
    <n v="1.5"/>
    <n v="177.82"/>
    <n v="4.7"/>
    <x v="0"/>
    <x v="1"/>
  </r>
  <r>
    <s v="TRIP01670"/>
    <x v="56"/>
    <x v="3"/>
    <s v="Chennai"/>
    <n v="2.97"/>
    <d v="1900-01-09T05:45:36"/>
    <n v="53.64"/>
    <n v="2"/>
    <n v="107.28"/>
    <n v="4.4000000000000004"/>
    <x v="1"/>
    <x v="3"/>
  </r>
  <r>
    <s v="TRIP01671"/>
    <x v="16"/>
    <x v="1"/>
    <s v="Delhi"/>
    <n v="13.37"/>
    <d v="1900-02-18T12:28:48"/>
    <n v="246.71"/>
    <n v="1"/>
    <n v="246.71"/>
    <n v="3.1"/>
    <x v="0"/>
    <x v="0"/>
  </r>
  <r>
    <s v="TRIP01672"/>
    <x v="24"/>
    <x v="4"/>
    <s v="Kolkata"/>
    <n v="27.12"/>
    <d v="1900-04-07T22:04:48"/>
    <n v="456.36"/>
    <n v="1.2"/>
    <n v="547.63"/>
    <n v="3.4"/>
    <x v="3"/>
    <x v="2"/>
  </r>
  <r>
    <s v="TRIP01673"/>
    <x v="185"/>
    <x v="1"/>
    <s v="Mumbai"/>
    <n v="28.34"/>
    <d v="1900-04-12T20:24:00"/>
    <n v="460.07"/>
    <n v="1"/>
    <n v="460.07"/>
    <n v="3.4"/>
    <x v="1"/>
    <x v="1"/>
  </r>
  <r>
    <s v="TRIP01674"/>
    <x v="109"/>
    <x v="0"/>
    <s v="Mumbai"/>
    <n v="20.059999999999999"/>
    <d v="1900-02-25T03:50:24"/>
    <n v="231.28"/>
    <n v="1.2"/>
    <n v="277.54000000000002"/>
    <n v="3.5"/>
    <x v="1"/>
    <x v="3"/>
  </r>
  <r>
    <s v="TRIP01675"/>
    <x v="319"/>
    <x v="0"/>
    <s v="Delhi"/>
    <n v="12.19"/>
    <d v="1900-02-16T07:40:48"/>
    <n v="169.57"/>
    <n v="1"/>
    <n v="169.57"/>
    <n v="3.2"/>
    <x v="2"/>
    <x v="3"/>
  </r>
  <r>
    <s v="TRIP01676"/>
    <x v="48"/>
    <x v="0"/>
    <s v="Mumbai"/>
    <n v="18.13"/>
    <d v="1900-02-25T23:45:36"/>
    <n v="257.22000000000003"/>
    <n v="1.2"/>
    <n v="308.66000000000003"/>
    <n v="3.5"/>
    <x v="1"/>
    <x v="2"/>
  </r>
  <r>
    <s v="TRIP01677"/>
    <x v="97"/>
    <x v="4"/>
    <s v="Kolkata"/>
    <n v="15.98"/>
    <d v="1900-02-16T02:09:36"/>
    <n v="183.7"/>
    <n v="1.5"/>
    <n v="275.55"/>
    <n v="4"/>
    <x v="4"/>
    <x v="2"/>
  </r>
  <r>
    <s v="TRIP01678"/>
    <x v="206"/>
    <x v="1"/>
    <s v="Mumbai"/>
    <n v="3.93"/>
    <d v="1900-01-11T15:36:00"/>
    <n v="47.02"/>
    <n v="1.2"/>
    <n v="56.42"/>
    <n v="4.5999999999999996"/>
    <x v="2"/>
    <x v="1"/>
  </r>
  <r>
    <s v="TRIP01679"/>
    <x v="21"/>
    <x v="2"/>
    <s v="Kolkata"/>
    <n v="28.78"/>
    <d v="1900-04-15T18:00:00"/>
    <n v="354.14"/>
    <n v="2"/>
    <n v="708.28"/>
    <n v="4.5"/>
    <x v="0"/>
    <x v="3"/>
  </r>
  <r>
    <s v="TRIP01680"/>
    <x v="42"/>
    <x v="1"/>
    <s v="Kolkata"/>
    <n v="22.36"/>
    <d v="1900-02-17T19:12:00"/>
    <n v="403.82"/>
    <n v="1.5"/>
    <n v="605.73"/>
    <n v="4.8"/>
    <x v="3"/>
    <x v="0"/>
  </r>
  <r>
    <s v="TRIP01681"/>
    <x v="275"/>
    <x v="4"/>
    <s v="Chennai"/>
    <n v="24.32"/>
    <d v="1900-03-27T03:50:24"/>
    <n v="274.13"/>
    <n v="1.2"/>
    <n v="328.96"/>
    <n v="4.0999999999999996"/>
    <x v="1"/>
    <x v="1"/>
  </r>
  <r>
    <s v="TRIP01682"/>
    <x v="281"/>
    <x v="2"/>
    <s v="Kolkata"/>
    <n v="8.39"/>
    <d v="1900-01-20T04:48:00"/>
    <n v="130.57"/>
    <n v="2"/>
    <n v="261.14"/>
    <n v="4.0999999999999996"/>
    <x v="3"/>
    <x v="0"/>
  </r>
  <r>
    <s v="TRIP01683"/>
    <x v="303"/>
    <x v="1"/>
    <s v="Mumbai"/>
    <n v="4.66"/>
    <d v="1900-01-17T09:21:36"/>
    <n v="57.35"/>
    <n v="2"/>
    <n v="114.7"/>
    <n v="4.5"/>
    <x v="3"/>
    <x v="1"/>
  </r>
  <r>
    <s v="TRIP01684"/>
    <x v="199"/>
    <x v="4"/>
    <s v="Delhi"/>
    <n v="24.55"/>
    <d v="1900-03-04T18:57:36"/>
    <n v="285.64999999999998"/>
    <n v="1"/>
    <n v="285.64999999999998"/>
    <n v="4.0999999999999996"/>
    <x v="4"/>
    <x v="3"/>
  </r>
  <r>
    <s v="TRIP01685"/>
    <x v="323"/>
    <x v="4"/>
    <s v="Delhi"/>
    <n v="15.38"/>
    <d v="1900-02-21T06:43:12"/>
    <n v="167.3"/>
    <n v="2"/>
    <n v="334.6"/>
    <n v="3.7"/>
    <x v="4"/>
    <x v="3"/>
  </r>
  <r>
    <s v="TRIP01686"/>
    <x v="333"/>
    <x v="0"/>
    <s v="Bangalore"/>
    <n v="2.68"/>
    <d v="1900-01-05T02:38:24"/>
    <n v="46.01"/>
    <n v="2"/>
    <n v="92.02"/>
    <n v="3.6"/>
    <x v="2"/>
    <x v="3"/>
  </r>
  <r>
    <s v="TRIP01687"/>
    <x v="36"/>
    <x v="0"/>
    <s v="Delhi"/>
    <n v="4.97"/>
    <d v="1900-01-13T23:31:12"/>
    <n v="55.99"/>
    <n v="1"/>
    <n v="55.99"/>
    <n v="4.5"/>
    <x v="4"/>
    <x v="1"/>
  </r>
  <r>
    <s v="TRIP01688"/>
    <x v="216"/>
    <x v="0"/>
    <s v="Bangalore"/>
    <n v="10.83"/>
    <d v="1900-01-23T20:09:36"/>
    <n v="168.1"/>
    <n v="2"/>
    <n v="336.2"/>
    <n v="4.7"/>
    <x v="0"/>
    <x v="1"/>
  </r>
  <r>
    <s v="TRIP01689"/>
    <x v="103"/>
    <x v="4"/>
    <s v="Mumbai"/>
    <n v="23.27"/>
    <d v="1900-02-16T10:19:12"/>
    <n v="261.3"/>
    <n v="1"/>
    <n v="261.3"/>
    <n v="4.2"/>
    <x v="3"/>
    <x v="0"/>
  </r>
  <r>
    <s v="TRIP01690"/>
    <x v="334"/>
    <x v="4"/>
    <s v="Kolkata"/>
    <n v="25.53"/>
    <d v="1900-03-08T17:45:36"/>
    <n v="422.42"/>
    <n v="2"/>
    <n v="844.84"/>
    <n v="3.2"/>
    <x v="4"/>
    <x v="1"/>
  </r>
  <r>
    <s v="TRIP01691"/>
    <x v="260"/>
    <x v="0"/>
    <s v="Bangalore"/>
    <n v="17.73"/>
    <d v="1900-02-15T14:24:00"/>
    <n v="192.17"/>
    <n v="1.2"/>
    <n v="230.6"/>
    <n v="3.6"/>
    <x v="4"/>
    <x v="0"/>
  </r>
  <r>
    <s v="TRIP01692"/>
    <x v="300"/>
    <x v="1"/>
    <s v="Delhi"/>
    <n v="3.1"/>
    <d v="1900-01-10T15:36:00"/>
    <n v="40.36"/>
    <n v="1.5"/>
    <n v="60.54"/>
    <n v="3.8"/>
    <x v="4"/>
    <x v="0"/>
  </r>
  <r>
    <s v="TRIP01693"/>
    <x v="76"/>
    <x v="4"/>
    <s v="Delhi"/>
    <n v="12.35"/>
    <d v="1900-01-30T04:04:48"/>
    <n v="165.87"/>
    <n v="2"/>
    <n v="331.74"/>
    <n v="4.3"/>
    <x v="3"/>
    <x v="1"/>
  </r>
  <r>
    <s v="TRIP01694"/>
    <x v="93"/>
    <x v="4"/>
    <s v="Mumbai"/>
    <n v="15.83"/>
    <d v="1900-03-01T12:43:12"/>
    <n v="164.93"/>
    <n v="1.5"/>
    <n v="247.4"/>
    <n v="3.6"/>
    <x v="4"/>
    <x v="0"/>
  </r>
  <r>
    <s v="TRIP01695"/>
    <x v="119"/>
    <x v="2"/>
    <s v="Chennai"/>
    <n v="27.69"/>
    <d v="1900-02-26T02:24:00"/>
    <n v="435.7"/>
    <n v="1.2"/>
    <n v="522.84"/>
    <n v="4.0999999999999996"/>
    <x v="0"/>
    <x v="0"/>
  </r>
  <r>
    <s v="TRIP01696"/>
    <x v="237"/>
    <x v="1"/>
    <s v="Chennai"/>
    <n v="26.41"/>
    <d v="1900-02-21T19:55:12"/>
    <n v="457.54"/>
    <n v="1.5"/>
    <n v="686.31"/>
    <n v="4"/>
    <x v="3"/>
    <x v="2"/>
  </r>
  <r>
    <s v="TRIP01697"/>
    <x v="211"/>
    <x v="3"/>
    <s v="Chennai"/>
    <n v="13.73"/>
    <d v="1900-01-27T16:33:36"/>
    <n v="263.63"/>
    <n v="1.2"/>
    <n v="316.36"/>
    <n v="4"/>
    <x v="4"/>
    <x v="0"/>
  </r>
  <r>
    <s v="TRIP01698"/>
    <x v="172"/>
    <x v="4"/>
    <s v="Mumbai"/>
    <n v="21"/>
    <d v="1900-03-02T05:45:36"/>
    <n v="236.11"/>
    <n v="1.5"/>
    <n v="354.16"/>
    <n v="3.8"/>
    <x v="4"/>
    <x v="1"/>
  </r>
  <r>
    <s v="TRIP01699"/>
    <x v="219"/>
    <x v="0"/>
    <s v="Bangalore"/>
    <n v="4.04"/>
    <d v="1900-01-10T18:00:00"/>
    <n v="50.05"/>
    <n v="1.2"/>
    <n v="60.06"/>
    <n v="4.7"/>
    <x v="3"/>
    <x v="3"/>
  </r>
  <r>
    <s v="TRIP01700"/>
    <x v="289"/>
    <x v="0"/>
    <s v="Chennai"/>
    <n v="21.98"/>
    <d v="1900-03-20T13:26:24"/>
    <n v="263.94"/>
    <n v="2"/>
    <n v="527.88"/>
    <n v="4.3"/>
    <x v="0"/>
    <x v="3"/>
  </r>
  <r>
    <s v="TRIP01701"/>
    <x v="256"/>
    <x v="3"/>
    <s v="Mumbai"/>
    <n v="19.48"/>
    <d v="1900-03-06T20:52:48"/>
    <n v="238.49"/>
    <n v="1.2"/>
    <n v="286.19"/>
    <n v="3"/>
    <x v="2"/>
    <x v="2"/>
  </r>
  <r>
    <s v="TRIP01702"/>
    <x v="316"/>
    <x v="3"/>
    <s v="Delhi"/>
    <n v="17.239999999999998"/>
    <d v="1900-02-07T18:43:12"/>
    <n v="309.19"/>
    <n v="1.5"/>
    <n v="463.78"/>
    <n v="3.7"/>
    <x v="0"/>
    <x v="3"/>
  </r>
  <r>
    <s v="TRIP01703"/>
    <x v="74"/>
    <x v="4"/>
    <s v="Delhi"/>
    <n v="24.7"/>
    <d v="1900-04-04T12:00:00"/>
    <n v="478.78"/>
    <n v="1"/>
    <n v="478.78"/>
    <n v="3.6"/>
    <x v="3"/>
    <x v="1"/>
  </r>
  <r>
    <s v="TRIP01704"/>
    <x v="333"/>
    <x v="4"/>
    <s v="Mumbai"/>
    <n v="11.33"/>
    <d v="1900-01-21T19:40:48"/>
    <n v="120.2"/>
    <n v="1"/>
    <n v="120.2"/>
    <n v="3.6"/>
    <x v="2"/>
    <x v="3"/>
  </r>
  <r>
    <s v="TRIP01705"/>
    <x v="75"/>
    <x v="3"/>
    <s v="Bangalore"/>
    <n v="6.36"/>
    <d v="1900-01-16T18:00:00"/>
    <n v="74.709999999999994"/>
    <n v="2"/>
    <n v="149.41999999999999"/>
    <n v="4"/>
    <x v="3"/>
    <x v="3"/>
  </r>
  <r>
    <s v="TRIP01706"/>
    <x v="15"/>
    <x v="4"/>
    <s v="Mumbai"/>
    <n v="18.36"/>
    <d v="1900-02-23T04:19:12"/>
    <n v="193.13"/>
    <n v="1"/>
    <n v="193.13"/>
    <n v="3.2"/>
    <x v="3"/>
    <x v="0"/>
  </r>
  <r>
    <s v="TRIP01707"/>
    <x v="86"/>
    <x v="1"/>
    <s v="Chennai"/>
    <n v="10.43"/>
    <d v="1900-01-23T03:50:24"/>
    <n v="139.61000000000001"/>
    <n v="2"/>
    <n v="279.22000000000003"/>
    <n v="4.5"/>
    <x v="2"/>
    <x v="0"/>
  </r>
  <r>
    <s v="TRIP01708"/>
    <x v="16"/>
    <x v="2"/>
    <s v="Bangalore"/>
    <n v="19.18"/>
    <d v="1900-03-02T19:55:12"/>
    <n v="312.39"/>
    <n v="1"/>
    <n v="312.39"/>
    <n v="3.3"/>
    <x v="0"/>
    <x v="0"/>
  </r>
  <r>
    <s v="TRIP01709"/>
    <x v="182"/>
    <x v="0"/>
    <s v="Bangalore"/>
    <n v="22.24"/>
    <d v="1900-03-19T00:57:36"/>
    <n v="416.44"/>
    <n v="1.2"/>
    <n v="499.73"/>
    <n v="3"/>
    <x v="3"/>
    <x v="1"/>
  </r>
  <r>
    <s v="TRIP01710"/>
    <x v="211"/>
    <x v="4"/>
    <s v="Bangalore"/>
    <n v="15"/>
    <d v="1900-02-13T10:04:48"/>
    <n v="274.38"/>
    <n v="1"/>
    <n v="274.38"/>
    <n v="4.5"/>
    <x v="2"/>
    <x v="1"/>
  </r>
  <r>
    <s v="TRIP01711"/>
    <x v="321"/>
    <x v="3"/>
    <s v="Mumbai"/>
    <n v="26"/>
    <d v="1900-04-04T15:21:36"/>
    <n v="429.78"/>
    <n v="1"/>
    <n v="429.78"/>
    <n v="3.3"/>
    <x v="1"/>
    <x v="0"/>
  </r>
  <r>
    <s v="TRIP01712"/>
    <x v="330"/>
    <x v="2"/>
    <s v="Delhi"/>
    <n v="18.21"/>
    <d v="1900-02-10T09:36:00"/>
    <n v="204.58"/>
    <n v="2"/>
    <n v="409.16"/>
    <n v="3.2"/>
    <x v="1"/>
    <x v="3"/>
  </r>
  <r>
    <s v="TRIP01713"/>
    <x v="74"/>
    <x v="3"/>
    <s v="Bangalore"/>
    <n v="7.6"/>
    <d v="1900-01-16T19:12:00"/>
    <n v="126.74"/>
    <n v="2"/>
    <n v="253.48"/>
    <n v="3.3"/>
    <x v="2"/>
    <x v="3"/>
  </r>
  <r>
    <s v="TRIP01714"/>
    <x v="306"/>
    <x v="4"/>
    <s v="Mumbai"/>
    <n v="3.55"/>
    <d v="1900-01-12T10:33:36"/>
    <n v="49.32"/>
    <n v="1.2"/>
    <n v="59.18"/>
    <n v="4.5"/>
    <x v="1"/>
    <x v="3"/>
  </r>
  <r>
    <s v="TRIP01715"/>
    <x v="183"/>
    <x v="1"/>
    <s v="Delhi"/>
    <n v="12.31"/>
    <d v="1900-02-13T21:07:12"/>
    <n v="237.49"/>
    <n v="2"/>
    <n v="474.98"/>
    <n v="3.5"/>
    <x v="1"/>
    <x v="0"/>
  </r>
  <r>
    <s v="TRIP01716"/>
    <x v="19"/>
    <x v="3"/>
    <s v="Chennai"/>
    <n v="23.66"/>
    <d v="1900-03-31T08:52:48"/>
    <n v="294.74"/>
    <n v="2"/>
    <n v="589.48"/>
    <n v="3.6"/>
    <x v="1"/>
    <x v="0"/>
  </r>
  <r>
    <s v="TRIP01717"/>
    <x v="175"/>
    <x v="2"/>
    <s v="Chennai"/>
    <n v="24.9"/>
    <d v="1900-02-18T01:40:48"/>
    <n v="389.64"/>
    <n v="1"/>
    <n v="389.64"/>
    <n v="4.8"/>
    <x v="3"/>
    <x v="2"/>
  </r>
  <r>
    <s v="TRIP01718"/>
    <x v="143"/>
    <x v="3"/>
    <s v="Mumbai"/>
    <n v="19.7"/>
    <d v="1900-03-12T22:48:00"/>
    <n v="317.01"/>
    <n v="1.5"/>
    <n v="475.52"/>
    <n v="4.5999999999999996"/>
    <x v="1"/>
    <x v="3"/>
  </r>
  <r>
    <s v="TRIP01719"/>
    <x v="122"/>
    <x v="2"/>
    <s v="Mumbai"/>
    <n v="16.07"/>
    <d v="1900-02-14T14:52:48"/>
    <n v="162.57"/>
    <n v="1"/>
    <n v="162.57"/>
    <n v="4.5999999999999996"/>
    <x v="3"/>
    <x v="2"/>
  </r>
  <r>
    <s v="TRIP01720"/>
    <x v="268"/>
    <x v="1"/>
    <s v="Mumbai"/>
    <n v="18.170000000000002"/>
    <d v="1900-03-03T02:24:00"/>
    <n v="285.51"/>
    <n v="1.5"/>
    <n v="428.26"/>
    <n v="4.0999999999999996"/>
    <x v="1"/>
    <x v="3"/>
  </r>
  <r>
    <s v="TRIP01721"/>
    <x v="210"/>
    <x v="3"/>
    <s v="Chennai"/>
    <n v="18.3"/>
    <d v="1900-02-14T15:50:24"/>
    <n v="197.58"/>
    <n v="2"/>
    <n v="395.16"/>
    <n v="3.3"/>
    <x v="1"/>
    <x v="1"/>
  </r>
  <r>
    <s v="TRIP01722"/>
    <x v="200"/>
    <x v="4"/>
    <s v="Kolkata"/>
    <n v="19.72"/>
    <d v="1900-03-06T13:12:00"/>
    <n v="270.66000000000003"/>
    <n v="1"/>
    <n v="270.66000000000003"/>
    <n v="4.5"/>
    <x v="2"/>
    <x v="0"/>
  </r>
  <r>
    <s v="TRIP01723"/>
    <x v="72"/>
    <x v="1"/>
    <s v="Delhi"/>
    <n v="23.44"/>
    <d v="1900-03-08T05:45:36"/>
    <n v="377.83"/>
    <n v="2"/>
    <n v="755.66"/>
    <n v="4.4000000000000004"/>
    <x v="4"/>
    <x v="0"/>
  </r>
  <r>
    <s v="TRIP01724"/>
    <x v="99"/>
    <x v="4"/>
    <s v="Chennai"/>
    <n v="25.24"/>
    <d v="1900-03-25T05:16:48"/>
    <n v="381.78"/>
    <n v="1.5"/>
    <n v="572.66999999999996"/>
    <n v="3.5"/>
    <x v="4"/>
    <x v="3"/>
  </r>
  <r>
    <s v="TRIP01725"/>
    <x v="19"/>
    <x v="0"/>
    <s v="Kolkata"/>
    <n v="20.71"/>
    <d v="1900-03-04T13:26:24"/>
    <n v="336.53"/>
    <n v="1.5"/>
    <n v="504.79"/>
    <n v="4"/>
    <x v="2"/>
    <x v="3"/>
  </r>
  <r>
    <s v="TRIP01726"/>
    <x v="236"/>
    <x v="0"/>
    <s v="Chennai"/>
    <n v="23.93"/>
    <d v="1900-03-05T18:14:24"/>
    <n v="373.98"/>
    <n v="2"/>
    <n v="747.96"/>
    <n v="4.8"/>
    <x v="0"/>
    <x v="3"/>
  </r>
  <r>
    <s v="TRIP01727"/>
    <x v="217"/>
    <x v="0"/>
    <s v="Mumbai"/>
    <n v="8.27"/>
    <d v="1900-01-26T22:48:00"/>
    <n v="153.16999999999999"/>
    <n v="1.2"/>
    <n v="183.8"/>
    <n v="3.7"/>
    <x v="4"/>
    <x v="2"/>
  </r>
  <r>
    <s v="TRIP01728"/>
    <x v="229"/>
    <x v="4"/>
    <s v="Chennai"/>
    <n v="5.69"/>
    <d v="1900-01-11T17:31:12"/>
    <n v="100.18"/>
    <n v="2"/>
    <n v="200.36"/>
    <n v="3.7"/>
    <x v="2"/>
    <x v="0"/>
  </r>
  <r>
    <s v="TRIP01729"/>
    <x v="234"/>
    <x v="0"/>
    <s v="Chennai"/>
    <n v="20.12"/>
    <d v="1900-03-17T00:57:36"/>
    <n v="219.33"/>
    <n v="1.2"/>
    <n v="263.2"/>
    <n v="3.2"/>
    <x v="4"/>
    <x v="0"/>
  </r>
  <r>
    <s v="TRIP01730"/>
    <x v="203"/>
    <x v="3"/>
    <s v="Kolkata"/>
    <n v="18.36"/>
    <d v="1900-02-15T11:02:24"/>
    <n v="309.16000000000003"/>
    <n v="1.5"/>
    <n v="463.74"/>
    <n v="4.7"/>
    <x v="3"/>
    <x v="2"/>
  </r>
  <r>
    <s v="TRIP01731"/>
    <x v="138"/>
    <x v="0"/>
    <s v="Chennai"/>
    <n v="16.47"/>
    <d v="1900-02-04T06:43:12"/>
    <n v="308.41000000000003"/>
    <n v="1.2"/>
    <n v="370.09"/>
    <n v="4.0999999999999996"/>
    <x v="3"/>
    <x v="1"/>
  </r>
  <r>
    <s v="TRIP01732"/>
    <x v="93"/>
    <x v="0"/>
    <s v="Bangalore"/>
    <n v="11.67"/>
    <d v="1900-01-25T06:14:24"/>
    <n v="121.54"/>
    <n v="2"/>
    <n v="243.08"/>
    <n v="4.4000000000000004"/>
    <x v="2"/>
    <x v="0"/>
  </r>
  <r>
    <s v="TRIP01733"/>
    <x v="145"/>
    <x v="3"/>
    <s v="Mumbai"/>
    <n v="17.25"/>
    <d v="1900-02-03T06:00:00"/>
    <n v="262.3"/>
    <n v="1.2"/>
    <n v="314.76"/>
    <n v="3.2"/>
    <x v="1"/>
    <x v="2"/>
  </r>
  <r>
    <s v="TRIP01734"/>
    <x v="329"/>
    <x v="2"/>
    <s v="Delhi"/>
    <n v="21.37"/>
    <d v="1900-03-09T20:09:36"/>
    <n v="424.12"/>
    <n v="1.2"/>
    <n v="508.94"/>
    <n v="3.6"/>
    <x v="0"/>
    <x v="1"/>
  </r>
  <r>
    <s v="TRIP01735"/>
    <x v="332"/>
    <x v="4"/>
    <s v="Mumbai"/>
    <n v="13.32"/>
    <d v="1900-02-05T18:00:00"/>
    <n v="221.62"/>
    <n v="1.2"/>
    <n v="265.94"/>
    <n v="3.8"/>
    <x v="0"/>
    <x v="1"/>
  </r>
  <r>
    <s v="TRIP01736"/>
    <x v="50"/>
    <x v="0"/>
    <s v="Bangalore"/>
    <n v="13.54"/>
    <d v="1900-02-21T22:33:36"/>
    <n v="260.99"/>
    <n v="2"/>
    <n v="521.98"/>
    <n v="4.0999999999999996"/>
    <x v="4"/>
    <x v="2"/>
  </r>
  <r>
    <s v="TRIP01737"/>
    <x v="83"/>
    <x v="4"/>
    <s v="Mumbai"/>
    <n v="25.35"/>
    <d v="1900-04-10T06:14:24"/>
    <n v="327.68"/>
    <n v="1"/>
    <n v="327.68"/>
    <n v="4.7"/>
    <x v="4"/>
    <x v="3"/>
  </r>
  <r>
    <s v="TRIP01738"/>
    <x v="288"/>
    <x v="2"/>
    <s v="Chennai"/>
    <n v="21.62"/>
    <d v="1900-02-24T00:28:48"/>
    <n v="341.82"/>
    <n v="1.5"/>
    <n v="512.73"/>
    <n v="4.7"/>
    <x v="4"/>
    <x v="1"/>
  </r>
  <r>
    <s v="TRIP01739"/>
    <x v="308"/>
    <x v="3"/>
    <s v="Mumbai"/>
    <n v="22.51"/>
    <d v="1900-03-18T04:48:00"/>
    <n v="265.17"/>
    <n v="1.2"/>
    <n v="318.2"/>
    <n v="3.5"/>
    <x v="0"/>
    <x v="2"/>
  </r>
  <r>
    <s v="TRIP01740"/>
    <x v="74"/>
    <x v="2"/>
    <s v="Mumbai"/>
    <n v="27.98"/>
    <d v="1900-03-16T08:52:48"/>
    <n v="519.77"/>
    <n v="1"/>
    <n v="519.77"/>
    <n v="4.5"/>
    <x v="1"/>
    <x v="1"/>
  </r>
  <r>
    <s v="TRIP01741"/>
    <x v="24"/>
    <x v="0"/>
    <s v="Chennai"/>
    <n v="4.0999999999999996"/>
    <d v="1900-01-12T14:38:24"/>
    <n v="75.28"/>
    <n v="1.2"/>
    <n v="90.34"/>
    <n v="4.5999999999999996"/>
    <x v="4"/>
    <x v="3"/>
  </r>
  <r>
    <s v="TRIP01742"/>
    <x v="284"/>
    <x v="4"/>
    <s v="Kolkata"/>
    <n v="2.31"/>
    <d v="1900-01-07T22:19:12"/>
    <n v="39.4"/>
    <n v="1.2"/>
    <n v="47.28"/>
    <n v="3.9"/>
    <x v="4"/>
    <x v="1"/>
  </r>
  <r>
    <s v="TRIP01743"/>
    <x v="77"/>
    <x v="2"/>
    <s v="Kolkata"/>
    <n v="22.89"/>
    <d v="1900-02-28T20:38:24"/>
    <n v="260.54000000000002"/>
    <n v="1"/>
    <n v="260.54000000000002"/>
    <n v="4.7"/>
    <x v="3"/>
    <x v="3"/>
  </r>
  <r>
    <s v="TRIP01744"/>
    <x v="328"/>
    <x v="4"/>
    <s v="Chennai"/>
    <n v="2.2000000000000002"/>
    <d v="1900-01-05T01:40:48"/>
    <n v="22.76"/>
    <n v="1"/>
    <n v="22.76"/>
    <n v="4"/>
    <x v="3"/>
    <x v="1"/>
  </r>
  <r>
    <s v="TRIP01745"/>
    <x v="109"/>
    <x v="1"/>
    <s v="Bangalore"/>
    <n v="26.34"/>
    <d v="1900-02-26T23:45:36"/>
    <n v="382.22"/>
    <n v="1"/>
    <n v="382.22"/>
    <n v="3.2"/>
    <x v="3"/>
    <x v="1"/>
  </r>
  <r>
    <s v="TRIP01746"/>
    <x v="133"/>
    <x v="1"/>
    <s v="Chennai"/>
    <n v="11.97"/>
    <d v="1900-02-05T17:45:36"/>
    <n v="214.5"/>
    <n v="1.5"/>
    <n v="321.75"/>
    <n v="3.2"/>
    <x v="4"/>
    <x v="1"/>
  </r>
  <r>
    <s v="TRIP01747"/>
    <x v="284"/>
    <x v="4"/>
    <s v="Bangalore"/>
    <n v="4.93"/>
    <d v="1900-01-11T17:31:12"/>
    <n v="56.43"/>
    <n v="1"/>
    <n v="56.43"/>
    <n v="3.9"/>
    <x v="3"/>
    <x v="1"/>
  </r>
  <r>
    <s v="TRIP01748"/>
    <x v="270"/>
    <x v="2"/>
    <s v="Delhi"/>
    <n v="21.8"/>
    <d v="1900-03-24T17:31:12"/>
    <n v="333.05"/>
    <n v="1.5"/>
    <n v="499.58"/>
    <n v="3.5"/>
    <x v="3"/>
    <x v="2"/>
  </r>
  <r>
    <s v="TRIP01749"/>
    <x v="298"/>
    <x v="1"/>
    <s v="Mumbai"/>
    <n v="10.45"/>
    <d v="1900-01-29T20:09:36"/>
    <n v="167.49"/>
    <n v="1.5"/>
    <n v="251.24"/>
    <n v="4.3"/>
    <x v="4"/>
    <x v="2"/>
  </r>
  <r>
    <s v="TRIP01750"/>
    <x v="346"/>
    <x v="2"/>
    <s v="Kolkata"/>
    <n v="26"/>
    <d v="1900-04-07T05:31:12"/>
    <n v="381.64"/>
    <n v="1"/>
    <n v="381.64"/>
    <n v="4.8"/>
    <x v="3"/>
    <x v="3"/>
  </r>
  <r>
    <s v="TRIP01751"/>
    <x v="276"/>
    <x v="1"/>
    <s v="Mumbai"/>
    <n v="12.4"/>
    <d v="1900-02-16T15:36:00"/>
    <n v="175.56"/>
    <n v="1.5"/>
    <n v="263.33999999999997"/>
    <n v="4.4000000000000004"/>
    <x v="1"/>
    <x v="0"/>
  </r>
  <r>
    <s v="TRIP01752"/>
    <x v="346"/>
    <x v="2"/>
    <s v="Chennai"/>
    <n v="28.57"/>
    <d v="1900-03-11T02:52:48"/>
    <n v="498.87"/>
    <n v="1.5"/>
    <n v="748.3"/>
    <n v="4.4000000000000004"/>
    <x v="3"/>
    <x v="2"/>
  </r>
  <r>
    <s v="TRIP01753"/>
    <x v="238"/>
    <x v="1"/>
    <s v="Delhi"/>
    <n v="23.52"/>
    <d v="1900-03-13T00:28:48"/>
    <n v="390.66"/>
    <n v="1.2"/>
    <n v="468.79"/>
    <n v="4.5999999999999996"/>
    <x v="1"/>
    <x v="0"/>
  </r>
  <r>
    <s v="TRIP01754"/>
    <x v="170"/>
    <x v="2"/>
    <s v="Delhi"/>
    <n v="18.899999999999999"/>
    <d v="1900-02-21T02:38:24"/>
    <n v="226.49"/>
    <n v="1"/>
    <n v="226.49"/>
    <n v="3.1"/>
    <x v="4"/>
    <x v="1"/>
  </r>
  <r>
    <s v="TRIP01755"/>
    <x v="6"/>
    <x v="4"/>
    <s v="Delhi"/>
    <n v="22.28"/>
    <d v="1900-03-02T21:07:12"/>
    <n v="301.92"/>
    <n v="1"/>
    <n v="301.92"/>
    <n v="3.1"/>
    <x v="0"/>
    <x v="1"/>
  </r>
  <r>
    <s v="TRIP01756"/>
    <x v="223"/>
    <x v="2"/>
    <s v="Delhi"/>
    <n v="16.78"/>
    <d v="1900-02-19T19:12:00"/>
    <n v="251.22"/>
    <n v="1.2"/>
    <n v="301.45999999999998"/>
    <n v="4.5999999999999996"/>
    <x v="4"/>
    <x v="1"/>
  </r>
  <r>
    <s v="TRIP01757"/>
    <x v="210"/>
    <x v="2"/>
    <s v="Kolkata"/>
    <n v="5.9"/>
    <d v="1900-01-12T06:57:36"/>
    <n v="114.03"/>
    <n v="1"/>
    <n v="114.03"/>
    <n v="3.6"/>
    <x v="0"/>
    <x v="2"/>
  </r>
  <r>
    <s v="TRIP01758"/>
    <x v="250"/>
    <x v="1"/>
    <s v="Mumbai"/>
    <n v="12.65"/>
    <d v="1900-02-16T07:12:00"/>
    <n v="207.2"/>
    <n v="1.5"/>
    <n v="310.8"/>
    <n v="3.7"/>
    <x v="0"/>
    <x v="2"/>
  </r>
  <r>
    <s v="TRIP01759"/>
    <x v="263"/>
    <x v="1"/>
    <s v="Chennai"/>
    <n v="28.84"/>
    <d v="1900-04-14T00:00:00"/>
    <n v="534.67999999999995"/>
    <n v="1.5"/>
    <n v="802.02"/>
    <n v="3.7"/>
    <x v="1"/>
    <x v="3"/>
  </r>
  <r>
    <s v="TRIP01760"/>
    <x v="320"/>
    <x v="4"/>
    <s v="Bangalore"/>
    <n v="9.2799999999999994"/>
    <d v="1900-01-22T14:09:36"/>
    <n v="172.18"/>
    <n v="2"/>
    <n v="344.36"/>
    <n v="4.5"/>
    <x v="0"/>
    <x v="3"/>
  </r>
  <r>
    <s v="TRIP01761"/>
    <x v="263"/>
    <x v="0"/>
    <s v="Kolkata"/>
    <n v="8.94"/>
    <d v="1900-01-20T10:48:00"/>
    <n v="110.13"/>
    <n v="1.5"/>
    <n v="165.2"/>
    <n v="4.9000000000000004"/>
    <x v="0"/>
    <x v="2"/>
  </r>
  <r>
    <s v="TRIP01762"/>
    <x v="205"/>
    <x v="0"/>
    <s v="Kolkata"/>
    <n v="13.45"/>
    <d v="1900-02-05T20:52:48"/>
    <n v="149.83000000000001"/>
    <n v="1"/>
    <n v="149.83000000000001"/>
    <n v="4.3"/>
    <x v="3"/>
    <x v="0"/>
  </r>
  <r>
    <s v="TRIP01763"/>
    <x v="292"/>
    <x v="3"/>
    <s v="Bangalore"/>
    <n v="21.91"/>
    <d v="1900-03-15T17:45:36"/>
    <n v="219.11"/>
    <n v="1"/>
    <n v="219.11"/>
    <n v="5"/>
    <x v="2"/>
    <x v="1"/>
  </r>
  <r>
    <s v="TRIP01764"/>
    <x v="281"/>
    <x v="4"/>
    <s v="Delhi"/>
    <n v="14.62"/>
    <d v="1900-02-13T11:02:24"/>
    <n v="269.47000000000003"/>
    <n v="1"/>
    <n v="269.47000000000003"/>
    <n v="4.7"/>
    <x v="3"/>
    <x v="3"/>
  </r>
  <r>
    <s v="TRIP01765"/>
    <x v="164"/>
    <x v="2"/>
    <s v="Chennai"/>
    <n v="25.02"/>
    <d v="1900-03-16T22:48:00"/>
    <n v="288.49"/>
    <n v="1.2"/>
    <n v="346.19"/>
    <n v="4.0999999999999996"/>
    <x v="0"/>
    <x v="0"/>
  </r>
  <r>
    <s v="TRIP01766"/>
    <x v="356"/>
    <x v="3"/>
    <s v="Bangalore"/>
    <n v="26.43"/>
    <d v="1900-02-27T12:28:48"/>
    <n v="495.62"/>
    <n v="1.2"/>
    <n v="594.74"/>
    <n v="4.9000000000000004"/>
    <x v="0"/>
    <x v="2"/>
  </r>
  <r>
    <s v="TRIP01767"/>
    <x v="128"/>
    <x v="0"/>
    <s v="Mumbai"/>
    <n v="15.53"/>
    <d v="1900-02-20T09:36:00"/>
    <n v="278.27999999999997"/>
    <n v="2"/>
    <n v="556.55999999999995"/>
    <n v="3.5"/>
    <x v="2"/>
    <x v="3"/>
  </r>
  <r>
    <s v="TRIP01768"/>
    <x v="221"/>
    <x v="2"/>
    <s v="Kolkata"/>
    <n v="28.32"/>
    <d v="1900-02-28T06:43:12"/>
    <n v="397.15"/>
    <n v="2"/>
    <n v="794.3"/>
    <n v="4.2"/>
    <x v="0"/>
    <x v="2"/>
  </r>
  <r>
    <s v="TRIP01769"/>
    <x v="181"/>
    <x v="1"/>
    <s v="Kolkata"/>
    <n v="14.09"/>
    <d v="1900-02-03T03:21:36"/>
    <n v="252.19"/>
    <n v="2"/>
    <n v="504.38"/>
    <n v="3.2"/>
    <x v="2"/>
    <x v="3"/>
  </r>
  <r>
    <s v="TRIP01770"/>
    <x v="247"/>
    <x v="2"/>
    <s v="Kolkata"/>
    <n v="12.38"/>
    <d v="1900-01-30T23:16:48"/>
    <n v="225.65"/>
    <n v="1.5"/>
    <n v="338.48"/>
    <n v="4.9000000000000004"/>
    <x v="2"/>
    <x v="1"/>
  </r>
  <r>
    <s v="TRIP01771"/>
    <x v="251"/>
    <x v="4"/>
    <s v="Bangalore"/>
    <n v="16.100000000000001"/>
    <d v="1900-02-14T15:21:36"/>
    <n v="202.23"/>
    <n v="1"/>
    <n v="202.23"/>
    <n v="4"/>
    <x v="2"/>
    <x v="1"/>
  </r>
  <r>
    <s v="TRIP01772"/>
    <x v="205"/>
    <x v="0"/>
    <s v="Kolkata"/>
    <n v="22.97"/>
    <d v="1900-02-24T05:02:24"/>
    <n v="242.49"/>
    <n v="2"/>
    <n v="484.98"/>
    <n v="3.7"/>
    <x v="1"/>
    <x v="0"/>
  </r>
  <r>
    <s v="TRIP01773"/>
    <x v="290"/>
    <x v="1"/>
    <s v="Chennai"/>
    <n v="19.13"/>
    <d v="1900-02-19T05:16:48"/>
    <n v="215.5"/>
    <n v="2"/>
    <n v="431"/>
    <n v="3.7"/>
    <x v="4"/>
    <x v="2"/>
  </r>
  <r>
    <s v="TRIP01774"/>
    <x v="48"/>
    <x v="4"/>
    <s v="Bangalore"/>
    <n v="25.39"/>
    <d v="1900-03-16T20:38:24"/>
    <n v="289.23"/>
    <n v="1.2"/>
    <n v="347.08"/>
    <n v="4.8"/>
    <x v="4"/>
    <x v="0"/>
  </r>
  <r>
    <s v="TRIP01775"/>
    <x v="237"/>
    <x v="2"/>
    <s v="Bangalore"/>
    <n v="14.06"/>
    <d v="1900-02-01T17:31:12"/>
    <n v="183.86"/>
    <n v="2"/>
    <n v="367.72"/>
    <n v="3.8"/>
    <x v="2"/>
    <x v="1"/>
  </r>
  <r>
    <s v="TRIP01776"/>
    <x v="323"/>
    <x v="3"/>
    <s v="Delhi"/>
    <n v="8.2100000000000009"/>
    <d v="1900-01-20T09:50:24"/>
    <n v="145.38"/>
    <n v="1.5"/>
    <n v="218.07"/>
    <n v="4.5"/>
    <x v="4"/>
    <x v="1"/>
  </r>
  <r>
    <s v="TRIP01777"/>
    <x v="112"/>
    <x v="3"/>
    <s v="Chennai"/>
    <n v="5.9"/>
    <d v="1900-01-19T22:33:36"/>
    <n v="66.650000000000006"/>
    <n v="1.5"/>
    <n v="99.98"/>
    <n v="4.5"/>
    <x v="2"/>
    <x v="3"/>
  </r>
  <r>
    <s v="TRIP01778"/>
    <x v="89"/>
    <x v="0"/>
    <s v="Chennai"/>
    <n v="10.59"/>
    <d v="1900-01-23T23:02:24"/>
    <n v="186.95"/>
    <n v="1.5"/>
    <n v="280.42"/>
    <n v="3.6"/>
    <x v="3"/>
    <x v="3"/>
  </r>
  <r>
    <s v="TRIP01779"/>
    <x v="94"/>
    <x v="4"/>
    <s v="Kolkata"/>
    <n v="28.76"/>
    <d v="1900-03-15T19:40:48"/>
    <n v="350.76"/>
    <n v="2"/>
    <n v="701.52"/>
    <n v="4"/>
    <x v="1"/>
    <x v="0"/>
  </r>
  <r>
    <s v="TRIP01780"/>
    <x v="333"/>
    <x v="1"/>
    <s v="Kolkata"/>
    <n v="12.05"/>
    <d v="1900-02-09T10:33:36"/>
    <n v="161.01"/>
    <n v="2"/>
    <n v="322.02"/>
    <n v="4.3"/>
    <x v="0"/>
    <x v="0"/>
  </r>
  <r>
    <s v="TRIP01781"/>
    <x v="263"/>
    <x v="3"/>
    <s v="Bangalore"/>
    <n v="1.69"/>
    <d v="1900-01-02T15:36:00"/>
    <n v="23.96"/>
    <n v="1.2"/>
    <n v="28.75"/>
    <n v="4.7"/>
    <x v="3"/>
    <x v="2"/>
  </r>
  <r>
    <s v="TRIP01782"/>
    <x v="175"/>
    <x v="1"/>
    <s v="Mumbai"/>
    <n v="3.56"/>
    <d v="1900-01-12T03:36:00"/>
    <n v="61.67"/>
    <n v="1.2"/>
    <n v="74"/>
    <n v="4.2"/>
    <x v="3"/>
    <x v="2"/>
  </r>
  <r>
    <s v="TRIP01783"/>
    <x v="327"/>
    <x v="0"/>
    <s v="Mumbai"/>
    <n v="12.72"/>
    <d v="1900-01-30T01:40:48"/>
    <n v="192.33"/>
    <n v="1.2"/>
    <n v="230.8"/>
    <n v="3.9"/>
    <x v="0"/>
    <x v="2"/>
  </r>
  <r>
    <s v="TRIP01784"/>
    <x v="41"/>
    <x v="1"/>
    <s v="Kolkata"/>
    <n v="13.9"/>
    <d v="1900-02-14T09:07:12"/>
    <n v="226.56"/>
    <n v="1.2"/>
    <n v="271.87"/>
    <n v="4.5999999999999996"/>
    <x v="3"/>
    <x v="0"/>
  </r>
  <r>
    <s v="TRIP01785"/>
    <x v="42"/>
    <x v="2"/>
    <s v="Chennai"/>
    <n v="3.57"/>
    <d v="1900-01-06T07:55:12"/>
    <n v="63.95"/>
    <n v="1"/>
    <n v="63.95"/>
    <n v="4.7"/>
    <x v="2"/>
    <x v="2"/>
  </r>
  <r>
    <s v="TRIP01786"/>
    <x v="307"/>
    <x v="3"/>
    <s v="Chennai"/>
    <n v="2.86"/>
    <d v="1900-01-05T18:00:00"/>
    <n v="50.5"/>
    <n v="1.2"/>
    <n v="60.6"/>
    <n v="4.5"/>
    <x v="3"/>
    <x v="0"/>
  </r>
  <r>
    <s v="TRIP01787"/>
    <x v="151"/>
    <x v="1"/>
    <s v="Mumbai"/>
    <n v="12.52"/>
    <d v="1900-01-30T18:28:48"/>
    <n v="168.72"/>
    <n v="2"/>
    <n v="337.44"/>
    <n v="4.4000000000000004"/>
    <x v="0"/>
    <x v="1"/>
  </r>
  <r>
    <s v="TRIP01788"/>
    <x v="34"/>
    <x v="3"/>
    <s v="Delhi"/>
    <n v="17.100000000000001"/>
    <d v="1900-02-05T14:52:48"/>
    <n v="308.66000000000003"/>
    <n v="1"/>
    <n v="308.66000000000003"/>
    <n v="4.9000000000000004"/>
    <x v="4"/>
    <x v="0"/>
  </r>
  <r>
    <s v="TRIP01789"/>
    <x v="170"/>
    <x v="1"/>
    <s v="Bangalore"/>
    <n v="8.25"/>
    <d v="1900-01-25T16:04:48"/>
    <n v="123.66"/>
    <n v="1"/>
    <n v="123.66"/>
    <n v="3.9"/>
    <x v="4"/>
    <x v="0"/>
  </r>
  <r>
    <s v="TRIP01790"/>
    <x v="286"/>
    <x v="2"/>
    <s v="Mumbai"/>
    <n v="3.16"/>
    <d v="1900-01-11T12:00:00"/>
    <n v="58.26"/>
    <n v="1.2"/>
    <n v="69.91"/>
    <n v="3.7"/>
    <x v="1"/>
    <x v="1"/>
  </r>
  <r>
    <s v="TRIP01791"/>
    <x v="180"/>
    <x v="3"/>
    <s v="Chennai"/>
    <n v="21.17"/>
    <d v="1900-03-14T18:14:24"/>
    <n v="305.10000000000002"/>
    <n v="1"/>
    <n v="305.10000000000002"/>
    <n v="3.3"/>
    <x v="4"/>
    <x v="3"/>
  </r>
  <r>
    <s v="TRIP01792"/>
    <x v="302"/>
    <x v="2"/>
    <s v="Chennai"/>
    <n v="7.13"/>
    <d v="1900-01-22T06:43:12"/>
    <n v="140.88999999999999"/>
    <n v="1.2"/>
    <n v="169.07"/>
    <n v="4.4000000000000004"/>
    <x v="0"/>
    <x v="0"/>
  </r>
  <r>
    <s v="TRIP01793"/>
    <x v="227"/>
    <x v="1"/>
    <s v="Mumbai"/>
    <n v="21.12"/>
    <d v="1900-03-19T14:09:36"/>
    <n v="310.91000000000003"/>
    <n v="1.5"/>
    <n v="466.36"/>
    <n v="3.1"/>
    <x v="3"/>
    <x v="1"/>
  </r>
  <r>
    <s v="TRIP01794"/>
    <x v="126"/>
    <x v="4"/>
    <s v="Kolkata"/>
    <n v="18.52"/>
    <d v="1900-03-09T15:07:12"/>
    <n v="245.33"/>
    <n v="1.2"/>
    <n v="294.39999999999998"/>
    <n v="4.7"/>
    <x v="0"/>
    <x v="2"/>
  </r>
  <r>
    <s v="TRIP01795"/>
    <x v="125"/>
    <x v="3"/>
    <s v="Kolkata"/>
    <n v="7.62"/>
    <d v="1900-01-26T18:28:48"/>
    <n v="98.72"/>
    <n v="1"/>
    <n v="98.72"/>
    <n v="4.5999999999999996"/>
    <x v="3"/>
    <x v="3"/>
  </r>
  <r>
    <s v="TRIP01796"/>
    <x v="67"/>
    <x v="4"/>
    <s v="Bangalore"/>
    <n v="5.72"/>
    <d v="1900-01-20T05:02:24"/>
    <n v="96.48"/>
    <n v="1.5"/>
    <n v="144.72"/>
    <n v="3.2"/>
    <x v="2"/>
    <x v="2"/>
  </r>
  <r>
    <s v="TRIP01797"/>
    <x v="132"/>
    <x v="1"/>
    <s v="Chennai"/>
    <n v="13.16"/>
    <d v="1900-01-30T10:19:12"/>
    <n v="169.09"/>
    <n v="1.5"/>
    <n v="253.64"/>
    <n v="4.5999999999999996"/>
    <x v="2"/>
    <x v="0"/>
  </r>
  <r>
    <s v="TRIP01798"/>
    <x v="91"/>
    <x v="4"/>
    <s v="Kolkata"/>
    <n v="24.36"/>
    <d v="1900-03-27T06:28:48"/>
    <n v="385.22"/>
    <n v="2"/>
    <n v="770.44"/>
    <n v="4.3"/>
    <x v="3"/>
    <x v="0"/>
  </r>
  <r>
    <s v="TRIP01799"/>
    <x v="322"/>
    <x v="1"/>
    <s v="Kolkata"/>
    <n v="2.4500000000000002"/>
    <d v="1900-01-08T04:19:12"/>
    <n v="26.35"/>
    <n v="1.2"/>
    <n v="31.62"/>
    <n v="4.0999999999999996"/>
    <x v="2"/>
    <x v="3"/>
  </r>
  <r>
    <s v="TRIP01800"/>
    <x v="128"/>
    <x v="4"/>
    <s v="Bangalore"/>
    <n v="27.76"/>
    <d v="1900-02-26T16:04:48"/>
    <n v="285.77999999999997"/>
    <n v="1.5"/>
    <n v="428.67"/>
    <n v="3.6"/>
    <x v="3"/>
    <x v="1"/>
  </r>
  <r>
    <s v="TRIP01801"/>
    <x v="282"/>
    <x v="0"/>
    <s v="Delhi"/>
    <n v="11.9"/>
    <d v="1900-02-04T12:43:12"/>
    <n v="223.32"/>
    <n v="2"/>
    <n v="446.64"/>
    <n v="4.5999999999999996"/>
    <x v="2"/>
    <x v="1"/>
  </r>
  <r>
    <s v="TRIP01802"/>
    <x v="238"/>
    <x v="1"/>
    <s v="Bangalore"/>
    <n v="10.83"/>
    <d v="1900-01-22T04:33:36"/>
    <n v="171.12"/>
    <n v="1.5"/>
    <n v="256.68"/>
    <n v="3.5"/>
    <x v="3"/>
    <x v="3"/>
  </r>
  <r>
    <s v="TRIP01803"/>
    <x v="248"/>
    <x v="1"/>
    <s v="Delhi"/>
    <n v="19.38"/>
    <d v="1900-02-17T20:38:24"/>
    <n v="341.91"/>
    <n v="1.2"/>
    <n v="410.29"/>
    <n v="3.9"/>
    <x v="4"/>
    <x v="3"/>
  </r>
  <r>
    <s v="TRIP01804"/>
    <x v="224"/>
    <x v="2"/>
    <s v="Delhi"/>
    <n v="16.27"/>
    <d v="1900-02-13T10:04:48"/>
    <n v="192.04"/>
    <n v="1.5"/>
    <n v="288.06"/>
    <n v="4.0999999999999996"/>
    <x v="1"/>
    <x v="0"/>
  </r>
  <r>
    <s v="TRIP01805"/>
    <x v="329"/>
    <x v="0"/>
    <s v="Mumbai"/>
    <n v="10.050000000000001"/>
    <d v="1900-01-19T08:24:00"/>
    <n v="110.15"/>
    <n v="1"/>
    <n v="110.15"/>
    <n v="4.0999999999999996"/>
    <x v="4"/>
    <x v="3"/>
  </r>
  <r>
    <s v="TRIP01806"/>
    <x v="2"/>
    <x v="0"/>
    <s v="Chennai"/>
    <n v="18.3"/>
    <d v="1900-02-07T18:43:12"/>
    <n v="311.41000000000003"/>
    <n v="2"/>
    <n v="622.82000000000005"/>
    <n v="4.5"/>
    <x v="2"/>
    <x v="0"/>
  </r>
  <r>
    <s v="TRIP01807"/>
    <x v="353"/>
    <x v="1"/>
    <s v="Mumbai"/>
    <n v="14.57"/>
    <d v="1900-01-30T05:02:24"/>
    <n v="232.86"/>
    <n v="2"/>
    <n v="465.72"/>
    <n v="3.3"/>
    <x v="4"/>
    <x v="1"/>
  </r>
  <r>
    <s v="TRIP01808"/>
    <x v="290"/>
    <x v="3"/>
    <s v="Kolkata"/>
    <n v="16.010000000000002"/>
    <d v="1900-03-01T14:52:48"/>
    <n v="248.01"/>
    <n v="1.5"/>
    <n v="372.02"/>
    <n v="3.8"/>
    <x v="3"/>
    <x v="1"/>
  </r>
  <r>
    <s v="TRIP01809"/>
    <x v="156"/>
    <x v="4"/>
    <s v="Delhi"/>
    <n v="28.52"/>
    <d v="1900-04-10T08:52:48"/>
    <n v="366.6"/>
    <n v="2"/>
    <n v="733.2"/>
    <n v="4.0999999999999996"/>
    <x v="0"/>
    <x v="0"/>
  </r>
  <r>
    <s v="TRIP01810"/>
    <x v="319"/>
    <x v="4"/>
    <s v="Bangalore"/>
    <n v="25.03"/>
    <d v="1900-03-31T06:00:00"/>
    <n v="297.57"/>
    <n v="1"/>
    <n v="297.57"/>
    <n v="4.3"/>
    <x v="2"/>
    <x v="1"/>
  </r>
  <r>
    <s v="TRIP01811"/>
    <x v="9"/>
    <x v="1"/>
    <s v="Chennai"/>
    <n v="9.6300000000000008"/>
    <d v="1900-01-23T23:16:48"/>
    <n v="166.17"/>
    <n v="2"/>
    <n v="332.34"/>
    <n v="3.3"/>
    <x v="2"/>
    <x v="0"/>
  </r>
  <r>
    <s v="TRIP01812"/>
    <x v="42"/>
    <x v="2"/>
    <s v="Mumbai"/>
    <n v="14.23"/>
    <d v="1900-02-07T10:33:36"/>
    <n v="243.93"/>
    <n v="2"/>
    <n v="487.86"/>
    <n v="3.8"/>
    <x v="2"/>
    <x v="2"/>
  </r>
  <r>
    <s v="TRIP01813"/>
    <x v="37"/>
    <x v="4"/>
    <s v="Chennai"/>
    <n v="1.41"/>
    <d v="1900-01-03T12:28:48"/>
    <n v="22.03"/>
    <n v="1.2"/>
    <n v="26.44"/>
    <n v="3.6"/>
    <x v="4"/>
    <x v="1"/>
  </r>
  <r>
    <s v="TRIP01814"/>
    <x v="306"/>
    <x v="0"/>
    <s v="Chennai"/>
    <n v="23.99"/>
    <d v="1900-03-30T13:40:48"/>
    <n v="307.8"/>
    <n v="2"/>
    <n v="615.6"/>
    <n v="3.4"/>
    <x v="3"/>
    <x v="3"/>
  </r>
  <r>
    <s v="TRIP01815"/>
    <x v="44"/>
    <x v="0"/>
    <s v="Delhi"/>
    <n v="8.43"/>
    <d v="1900-01-22T06:28:48"/>
    <n v="157.75"/>
    <n v="1"/>
    <n v="157.75"/>
    <n v="5"/>
    <x v="0"/>
    <x v="0"/>
  </r>
  <r>
    <s v="TRIP01816"/>
    <x v="340"/>
    <x v="4"/>
    <s v="Chennai"/>
    <n v="20.190000000000001"/>
    <d v="1900-02-26T11:31:12"/>
    <n v="292.07"/>
    <n v="1.2"/>
    <n v="350.48"/>
    <n v="4.5999999999999996"/>
    <x v="3"/>
    <x v="3"/>
  </r>
  <r>
    <s v="TRIP01817"/>
    <x v="35"/>
    <x v="2"/>
    <s v="Kolkata"/>
    <n v="21.75"/>
    <d v="1900-03-14T21:21:36"/>
    <n v="278.92"/>
    <n v="1"/>
    <n v="278.92"/>
    <n v="3.7"/>
    <x v="2"/>
    <x v="1"/>
  </r>
  <r>
    <s v="TRIP01818"/>
    <x v="98"/>
    <x v="4"/>
    <s v="Bangalore"/>
    <n v="22.03"/>
    <d v="1900-02-17T09:21:36"/>
    <n v="257.45999999999998"/>
    <n v="2"/>
    <n v="514.91999999999996"/>
    <n v="4.8"/>
    <x v="0"/>
    <x v="3"/>
  </r>
  <r>
    <s v="TRIP01819"/>
    <x v="266"/>
    <x v="4"/>
    <s v="Delhi"/>
    <n v="19.72"/>
    <d v="1900-02-23T01:40:48"/>
    <n v="212.55"/>
    <n v="1.2"/>
    <n v="255.06"/>
    <n v="3.2"/>
    <x v="4"/>
    <x v="3"/>
  </r>
  <r>
    <s v="TRIP01820"/>
    <x v="265"/>
    <x v="0"/>
    <s v="Delhi"/>
    <n v="20.46"/>
    <d v="1900-02-15T11:31:12"/>
    <n v="206.19"/>
    <n v="2"/>
    <n v="412.38"/>
    <n v="4.8"/>
    <x v="2"/>
    <x v="0"/>
  </r>
  <r>
    <s v="TRIP01821"/>
    <x v="256"/>
    <x v="1"/>
    <s v="Bangalore"/>
    <n v="3.39"/>
    <d v="1900-01-05T19:12:00"/>
    <n v="48.57"/>
    <n v="1"/>
    <n v="48.57"/>
    <n v="3.7"/>
    <x v="0"/>
    <x v="3"/>
  </r>
  <r>
    <s v="TRIP01822"/>
    <x v="319"/>
    <x v="1"/>
    <s v="Bangalore"/>
    <n v="2.2599999999999998"/>
    <d v="1900-01-05T02:24:00"/>
    <n v="26.65"/>
    <n v="1.5"/>
    <n v="39.97"/>
    <n v="4.0999999999999996"/>
    <x v="4"/>
    <x v="0"/>
  </r>
  <r>
    <s v="TRIP01823"/>
    <x v="26"/>
    <x v="2"/>
    <s v="Chennai"/>
    <n v="7.08"/>
    <d v="1900-01-14T05:02:24"/>
    <n v="103.7"/>
    <n v="2"/>
    <n v="207.4"/>
    <n v="4"/>
    <x v="0"/>
    <x v="1"/>
  </r>
  <r>
    <s v="TRIP01824"/>
    <x v="82"/>
    <x v="1"/>
    <s v="Mumbai"/>
    <n v="28.57"/>
    <d v="1900-04-22T03:50:24"/>
    <n v="441.54"/>
    <n v="1.2"/>
    <n v="529.85"/>
    <n v="3.9"/>
    <x v="1"/>
    <x v="1"/>
  </r>
  <r>
    <s v="TRIP01825"/>
    <x v="260"/>
    <x v="3"/>
    <s v="Mumbai"/>
    <n v="1.74"/>
    <d v="1900-01-02T14:52:48"/>
    <n v="27.62"/>
    <n v="2"/>
    <n v="55.24"/>
    <n v="4.0999999999999996"/>
    <x v="3"/>
    <x v="2"/>
  </r>
  <r>
    <s v="TRIP01826"/>
    <x v="197"/>
    <x v="1"/>
    <s v="Chennai"/>
    <n v="5.12"/>
    <d v="1900-01-12T08:38:24"/>
    <n v="93.31"/>
    <n v="1"/>
    <n v="93.31"/>
    <n v="3.4"/>
    <x v="4"/>
    <x v="3"/>
  </r>
  <r>
    <s v="TRIP01827"/>
    <x v="221"/>
    <x v="4"/>
    <s v="Chennai"/>
    <n v="19.63"/>
    <d v="1900-02-18T02:24:00"/>
    <n v="238.98"/>
    <n v="2"/>
    <n v="477.96"/>
    <n v="3.6"/>
    <x v="4"/>
    <x v="3"/>
  </r>
  <r>
    <s v="TRIP01828"/>
    <x v="281"/>
    <x v="0"/>
    <s v="Bangalore"/>
    <n v="28.23"/>
    <d v="1900-04-03T09:21:36"/>
    <n v="303.39999999999998"/>
    <n v="2"/>
    <n v="606.79999999999995"/>
    <n v="3.9"/>
    <x v="0"/>
    <x v="3"/>
  </r>
  <r>
    <s v="TRIP01829"/>
    <x v="240"/>
    <x v="3"/>
    <s v="Chennai"/>
    <n v="3.74"/>
    <d v="1900-01-13T21:07:12"/>
    <n v="72.900000000000006"/>
    <n v="1.5"/>
    <n v="109.35"/>
    <n v="4.9000000000000004"/>
    <x v="2"/>
    <x v="0"/>
  </r>
  <r>
    <s v="TRIP01830"/>
    <x v="306"/>
    <x v="2"/>
    <s v="Chennai"/>
    <n v="11.53"/>
    <d v="1900-02-10T12:57:36"/>
    <n v="163.54"/>
    <n v="1.5"/>
    <n v="245.31"/>
    <n v="4.2"/>
    <x v="3"/>
    <x v="2"/>
  </r>
  <r>
    <s v="TRIP01831"/>
    <x v="99"/>
    <x v="3"/>
    <s v="Chennai"/>
    <n v="23.46"/>
    <d v="1900-02-16T12:14:24"/>
    <n v="373.75"/>
    <n v="1.5"/>
    <n v="560.62"/>
    <n v="3.4"/>
    <x v="2"/>
    <x v="0"/>
  </r>
  <r>
    <s v="TRIP01832"/>
    <x v="219"/>
    <x v="1"/>
    <s v="Delhi"/>
    <n v="14.6"/>
    <d v="1900-02-06T23:02:24"/>
    <n v="161.66999999999999"/>
    <n v="1.5"/>
    <n v="242.5"/>
    <n v="3.8"/>
    <x v="4"/>
    <x v="3"/>
  </r>
  <r>
    <s v="TRIP01833"/>
    <x v="51"/>
    <x v="1"/>
    <s v="Mumbai"/>
    <n v="24.98"/>
    <d v="1900-02-22T20:38:24"/>
    <n v="425.64"/>
    <n v="1.5"/>
    <n v="638.46"/>
    <n v="4.5"/>
    <x v="3"/>
    <x v="2"/>
  </r>
  <r>
    <s v="TRIP01834"/>
    <x v="357"/>
    <x v="0"/>
    <s v="Kolkata"/>
    <n v="28.04"/>
    <d v="1900-03-10T00:14:24"/>
    <n v="460.57"/>
    <n v="2"/>
    <n v="921.14"/>
    <n v="4"/>
    <x v="4"/>
    <x v="0"/>
  </r>
  <r>
    <s v="TRIP01835"/>
    <x v="94"/>
    <x v="3"/>
    <s v="Mumbai"/>
    <n v="23.8"/>
    <d v="1900-03-29T13:40:48"/>
    <n v="437.61"/>
    <n v="1"/>
    <n v="437.61"/>
    <n v="4.4000000000000004"/>
    <x v="3"/>
    <x v="2"/>
  </r>
  <r>
    <s v="TRIP01836"/>
    <x v="129"/>
    <x v="2"/>
    <s v="Chennai"/>
    <n v="20.18"/>
    <d v="1900-03-09T00:14:24"/>
    <n v="203.96"/>
    <n v="1.2"/>
    <n v="244.75"/>
    <n v="4.8"/>
    <x v="0"/>
    <x v="2"/>
  </r>
  <r>
    <s v="TRIP01837"/>
    <x v="70"/>
    <x v="1"/>
    <s v="Kolkata"/>
    <n v="15.2"/>
    <d v="1900-02-07T20:52:48"/>
    <n v="284.51"/>
    <n v="1.5"/>
    <n v="426.76"/>
    <n v="3.1"/>
    <x v="0"/>
    <x v="0"/>
  </r>
  <r>
    <s v="TRIP01838"/>
    <x v="222"/>
    <x v="1"/>
    <s v="Chennai"/>
    <n v="12.02"/>
    <d v="1900-01-31T03:36:00"/>
    <n v="206.5"/>
    <n v="1"/>
    <n v="206.5"/>
    <n v="3.5"/>
    <x v="2"/>
    <x v="2"/>
  </r>
  <r>
    <s v="TRIP01839"/>
    <x v="77"/>
    <x v="3"/>
    <s v="Delhi"/>
    <n v="7.41"/>
    <d v="1900-01-17T21:07:12"/>
    <n v="114.68"/>
    <n v="1"/>
    <n v="114.68"/>
    <n v="3"/>
    <x v="3"/>
    <x v="0"/>
  </r>
  <r>
    <s v="TRIP01840"/>
    <x v="135"/>
    <x v="1"/>
    <s v="Delhi"/>
    <n v="13.21"/>
    <d v="1900-01-27T05:31:12"/>
    <n v="199.57"/>
    <n v="2"/>
    <n v="399.14"/>
    <n v="3.7"/>
    <x v="2"/>
    <x v="0"/>
  </r>
  <r>
    <s v="TRIP01841"/>
    <x v="163"/>
    <x v="1"/>
    <s v="Bangalore"/>
    <n v="20.13"/>
    <d v="1900-02-26T05:02:24"/>
    <n v="246.52"/>
    <n v="1.2"/>
    <n v="295.82"/>
    <n v="3.8"/>
    <x v="4"/>
    <x v="3"/>
  </r>
  <r>
    <s v="TRIP01842"/>
    <x v="146"/>
    <x v="0"/>
    <s v="Mumbai"/>
    <n v="5.45"/>
    <d v="1900-01-19T20:52:48"/>
    <n v="58.01"/>
    <n v="1.2"/>
    <n v="69.61"/>
    <n v="3.5"/>
    <x v="0"/>
    <x v="0"/>
  </r>
  <r>
    <s v="TRIP01843"/>
    <x v="74"/>
    <x v="4"/>
    <s v="Mumbai"/>
    <n v="27.37"/>
    <d v="1900-03-23T04:48:00"/>
    <n v="489.36"/>
    <n v="1.2"/>
    <n v="587.23"/>
    <n v="3.1"/>
    <x v="1"/>
    <x v="2"/>
  </r>
  <r>
    <s v="TRIP01844"/>
    <x v="97"/>
    <x v="1"/>
    <s v="Delhi"/>
    <n v="11.39"/>
    <d v="1900-02-09T15:21:36"/>
    <n v="116.47"/>
    <n v="2"/>
    <n v="232.94"/>
    <n v="3.4"/>
    <x v="3"/>
    <x v="1"/>
  </r>
  <r>
    <s v="TRIP01845"/>
    <x v="190"/>
    <x v="0"/>
    <s v="Kolkata"/>
    <n v="21.29"/>
    <d v="1900-02-21T01:40:48"/>
    <n v="405.24"/>
    <n v="1.5"/>
    <n v="607.86"/>
    <n v="4.9000000000000004"/>
    <x v="1"/>
    <x v="0"/>
  </r>
  <r>
    <s v="TRIP01846"/>
    <x v="313"/>
    <x v="4"/>
    <s v="Mumbai"/>
    <n v="21.48"/>
    <d v="1900-02-23T10:33:36"/>
    <n v="250.28"/>
    <n v="2"/>
    <n v="500.56"/>
    <n v="3.4"/>
    <x v="2"/>
    <x v="1"/>
  </r>
  <r>
    <s v="TRIP01847"/>
    <x v="41"/>
    <x v="1"/>
    <s v="Chennai"/>
    <n v="9.08"/>
    <d v="1900-01-25T17:02:24"/>
    <n v="174.14"/>
    <n v="1"/>
    <n v="174.14"/>
    <n v="3.8"/>
    <x v="0"/>
    <x v="2"/>
  </r>
  <r>
    <s v="TRIP01848"/>
    <x v="207"/>
    <x v="1"/>
    <s v="Delhi"/>
    <n v="24.29"/>
    <d v="1900-03-09T07:55:12"/>
    <n v="299.63"/>
    <n v="2"/>
    <n v="599.26"/>
    <n v="3.8"/>
    <x v="0"/>
    <x v="1"/>
  </r>
  <r>
    <s v="TRIP01849"/>
    <x v="249"/>
    <x v="1"/>
    <s v="Delhi"/>
    <n v="25.46"/>
    <d v="1900-03-25T23:16:48"/>
    <n v="329.67"/>
    <n v="1"/>
    <n v="329.67"/>
    <n v="3.6"/>
    <x v="2"/>
    <x v="1"/>
  </r>
  <r>
    <s v="TRIP01850"/>
    <x v="352"/>
    <x v="4"/>
    <s v="Mumbai"/>
    <n v="24.22"/>
    <d v="1900-04-01T22:04:48"/>
    <n v="388.25"/>
    <n v="2"/>
    <n v="776.5"/>
    <n v="3"/>
    <x v="4"/>
    <x v="3"/>
  </r>
  <r>
    <s v="TRIP01851"/>
    <x v="12"/>
    <x v="4"/>
    <s v="Delhi"/>
    <n v="6.6"/>
    <d v="1900-01-21T00:28:48"/>
    <n v="72.17"/>
    <n v="1.5"/>
    <n v="108.26"/>
    <n v="3.8"/>
    <x v="0"/>
    <x v="0"/>
  </r>
  <r>
    <s v="TRIP01852"/>
    <x v="129"/>
    <x v="3"/>
    <s v="Mumbai"/>
    <n v="13.07"/>
    <d v="1900-02-15T21:50:24"/>
    <n v="259.72000000000003"/>
    <n v="1"/>
    <n v="259.72000000000003"/>
    <n v="3.4"/>
    <x v="2"/>
    <x v="3"/>
  </r>
  <r>
    <s v="TRIP01853"/>
    <x v="323"/>
    <x v="0"/>
    <s v="Delhi"/>
    <n v="15.83"/>
    <d v="1900-03-01T21:07:12"/>
    <n v="234.06"/>
    <n v="1.5"/>
    <n v="351.09"/>
    <n v="4"/>
    <x v="3"/>
    <x v="2"/>
  </r>
  <r>
    <s v="TRIP01854"/>
    <x v="125"/>
    <x v="2"/>
    <s v="Mumbai"/>
    <n v="11.83"/>
    <d v="1900-02-13T00:00:00"/>
    <n v="226.84"/>
    <n v="1.5"/>
    <n v="340.26"/>
    <n v="4.5999999999999996"/>
    <x v="0"/>
    <x v="1"/>
  </r>
  <r>
    <s v="TRIP01855"/>
    <x v="6"/>
    <x v="1"/>
    <s v="Kolkata"/>
    <n v="12.61"/>
    <d v="1900-02-15T04:04:48"/>
    <n v="171.39"/>
    <n v="2"/>
    <n v="342.78"/>
    <n v="3.6"/>
    <x v="3"/>
    <x v="3"/>
  </r>
  <r>
    <s v="TRIP01856"/>
    <x v="336"/>
    <x v="2"/>
    <s v="Kolkata"/>
    <n v="2.63"/>
    <d v="1900-01-06T10:19:12"/>
    <n v="41.53"/>
    <n v="1.2"/>
    <n v="49.84"/>
    <n v="4.5999999999999996"/>
    <x v="4"/>
    <x v="3"/>
  </r>
  <r>
    <s v="TRIP01857"/>
    <x v="71"/>
    <x v="1"/>
    <s v="Bangalore"/>
    <n v="15.94"/>
    <d v="1900-02-21T17:45:36"/>
    <n v="262.94"/>
    <n v="1.2"/>
    <n v="315.52999999999997"/>
    <n v="3.8"/>
    <x v="0"/>
    <x v="3"/>
  </r>
  <r>
    <s v="TRIP01858"/>
    <x v="114"/>
    <x v="0"/>
    <s v="Mumbai"/>
    <n v="28.49"/>
    <d v="1900-02-28T21:36:00"/>
    <n v="429.46"/>
    <n v="1.2"/>
    <n v="515.35"/>
    <n v="3.7"/>
    <x v="4"/>
    <x v="1"/>
  </r>
  <r>
    <s v="TRIP01859"/>
    <x v="313"/>
    <x v="3"/>
    <s v="Mumbai"/>
    <n v="3.17"/>
    <d v="1900-01-11T03:21:36"/>
    <n v="32.35"/>
    <n v="1.5"/>
    <n v="48.53"/>
    <n v="3.9"/>
    <x v="3"/>
    <x v="3"/>
  </r>
  <r>
    <s v="TRIP01860"/>
    <x v="84"/>
    <x v="1"/>
    <s v="Mumbai"/>
    <n v="9.64"/>
    <d v="1900-01-25T16:04:48"/>
    <n v="176.95"/>
    <n v="1"/>
    <n v="176.95"/>
    <n v="3.2"/>
    <x v="4"/>
    <x v="3"/>
  </r>
  <r>
    <s v="TRIP01861"/>
    <x v="142"/>
    <x v="4"/>
    <s v="Chennai"/>
    <n v="12.41"/>
    <d v="1900-02-13T19:55:12"/>
    <n v="177.08"/>
    <n v="1.5"/>
    <n v="265.62"/>
    <n v="4.8"/>
    <x v="0"/>
    <x v="0"/>
  </r>
  <r>
    <s v="TRIP01862"/>
    <x v="148"/>
    <x v="0"/>
    <s v="Chennai"/>
    <n v="4.32"/>
    <d v="1900-01-11T02:24:00"/>
    <n v="52.13"/>
    <n v="1.5"/>
    <n v="78.2"/>
    <n v="3.4"/>
    <x v="4"/>
    <x v="1"/>
  </r>
  <r>
    <s v="TRIP01863"/>
    <x v="274"/>
    <x v="0"/>
    <s v="Mumbai"/>
    <n v="20.48"/>
    <d v="1900-03-18T07:12:00"/>
    <n v="307.64"/>
    <n v="2"/>
    <n v="615.28"/>
    <n v="3"/>
    <x v="0"/>
    <x v="2"/>
  </r>
  <r>
    <s v="TRIP01864"/>
    <x v="177"/>
    <x v="3"/>
    <s v="Kolkata"/>
    <n v="11.22"/>
    <d v="1900-02-02T21:21:36"/>
    <n v="133.30000000000001"/>
    <n v="1"/>
    <n v="133.30000000000001"/>
    <n v="4.3"/>
    <x v="3"/>
    <x v="2"/>
  </r>
  <r>
    <s v="TRIP01865"/>
    <x v="39"/>
    <x v="3"/>
    <s v="Kolkata"/>
    <n v="7.57"/>
    <d v="1900-01-21T10:04:48"/>
    <n v="113.46"/>
    <n v="1"/>
    <n v="113.46"/>
    <n v="4.5"/>
    <x v="0"/>
    <x v="1"/>
  </r>
  <r>
    <s v="TRIP01866"/>
    <x v="325"/>
    <x v="4"/>
    <s v="Chennai"/>
    <n v="5.92"/>
    <d v="1900-01-19T08:24:00"/>
    <n v="104.79"/>
    <n v="1"/>
    <n v="104.79"/>
    <n v="4"/>
    <x v="2"/>
    <x v="0"/>
  </r>
  <r>
    <s v="TRIP01867"/>
    <x v="124"/>
    <x v="2"/>
    <s v="Kolkata"/>
    <n v="8.56"/>
    <d v="1900-01-18T21:50:24"/>
    <n v="114.43"/>
    <n v="2"/>
    <n v="228.86"/>
    <n v="3.4"/>
    <x v="3"/>
    <x v="3"/>
  </r>
  <r>
    <s v="TRIP01868"/>
    <x v="312"/>
    <x v="1"/>
    <s v="Bangalore"/>
    <n v="4.8"/>
    <d v="1900-01-12T23:45:36"/>
    <n v="60.88"/>
    <n v="1.5"/>
    <n v="91.32"/>
    <n v="3.9"/>
    <x v="3"/>
    <x v="2"/>
  </r>
  <r>
    <s v="TRIP01869"/>
    <x v="302"/>
    <x v="3"/>
    <s v="Chennai"/>
    <n v="22.64"/>
    <d v="1900-03-12T15:50:24"/>
    <n v="381.79"/>
    <n v="1"/>
    <n v="381.79"/>
    <n v="4.2"/>
    <x v="2"/>
    <x v="2"/>
  </r>
  <r>
    <s v="TRIP01870"/>
    <x v="28"/>
    <x v="3"/>
    <s v="Delhi"/>
    <n v="23.28"/>
    <d v="1900-03-06T08:38:24"/>
    <n v="339.3"/>
    <n v="1.5"/>
    <n v="508.95"/>
    <n v="4.4000000000000004"/>
    <x v="1"/>
    <x v="2"/>
  </r>
  <r>
    <s v="TRIP01871"/>
    <x v="230"/>
    <x v="4"/>
    <s v="Chennai"/>
    <n v="20.12"/>
    <d v="1900-02-22T06:57:36"/>
    <n v="336.07"/>
    <n v="1.5"/>
    <n v="504.1"/>
    <n v="3.1"/>
    <x v="0"/>
    <x v="3"/>
  </r>
  <r>
    <s v="TRIP01872"/>
    <x v="193"/>
    <x v="2"/>
    <s v="Mumbai"/>
    <n v="25.4"/>
    <d v="1900-03-23T16:33:36"/>
    <n v="340.74"/>
    <n v="1.2"/>
    <n v="408.89"/>
    <n v="4.5"/>
    <x v="0"/>
    <x v="2"/>
  </r>
  <r>
    <s v="TRIP01873"/>
    <x v="63"/>
    <x v="3"/>
    <s v="Mumbai"/>
    <n v="29.57"/>
    <d v="1900-03-13T18:43:12"/>
    <n v="319.25"/>
    <n v="1"/>
    <n v="319.25"/>
    <n v="3.4"/>
    <x v="3"/>
    <x v="2"/>
  </r>
  <r>
    <s v="TRIP01874"/>
    <x v="206"/>
    <x v="1"/>
    <s v="Chennai"/>
    <n v="28.24"/>
    <d v="1900-02-24T14:09:36"/>
    <n v="487.36"/>
    <n v="1.5"/>
    <n v="731.04"/>
    <n v="4.9000000000000004"/>
    <x v="3"/>
    <x v="3"/>
  </r>
  <r>
    <s v="TRIP01875"/>
    <x v="351"/>
    <x v="0"/>
    <s v="Bangalore"/>
    <n v="11.31"/>
    <d v="1900-02-09T04:19:12"/>
    <n v="118.16"/>
    <n v="1"/>
    <n v="118.16"/>
    <n v="5"/>
    <x v="1"/>
    <x v="2"/>
  </r>
  <r>
    <s v="TRIP01876"/>
    <x v="247"/>
    <x v="2"/>
    <s v="Chennai"/>
    <n v="14.83"/>
    <d v="1900-02-22T01:26:24"/>
    <n v="188.54"/>
    <n v="1"/>
    <n v="188.54"/>
    <n v="3.8"/>
    <x v="4"/>
    <x v="2"/>
  </r>
  <r>
    <s v="TRIP01877"/>
    <x v="32"/>
    <x v="2"/>
    <s v="Bangalore"/>
    <n v="16.47"/>
    <d v="1900-02-17T21:07:12"/>
    <n v="206.99"/>
    <n v="2"/>
    <n v="413.98"/>
    <n v="3.8"/>
    <x v="4"/>
    <x v="1"/>
  </r>
  <r>
    <s v="TRIP01878"/>
    <x v="233"/>
    <x v="0"/>
    <s v="Chennai"/>
    <n v="11.59"/>
    <d v="1900-01-31T06:43:12"/>
    <n v="196.52"/>
    <n v="1"/>
    <n v="196.52"/>
    <n v="3.1"/>
    <x v="2"/>
    <x v="1"/>
  </r>
  <r>
    <s v="TRIP01879"/>
    <x v="182"/>
    <x v="0"/>
    <s v="Chennai"/>
    <n v="23.28"/>
    <d v="1900-02-18T17:02:24"/>
    <n v="281.95999999999998"/>
    <n v="2"/>
    <n v="563.91999999999996"/>
    <n v="3"/>
    <x v="2"/>
    <x v="2"/>
  </r>
  <r>
    <s v="TRIP01880"/>
    <x v="292"/>
    <x v="1"/>
    <s v="Kolkata"/>
    <n v="23.13"/>
    <d v="1900-03-13T07:12:00"/>
    <n v="240.12"/>
    <n v="1"/>
    <n v="240.12"/>
    <n v="4"/>
    <x v="1"/>
    <x v="2"/>
  </r>
  <r>
    <s v="TRIP01881"/>
    <x v="93"/>
    <x v="2"/>
    <s v="Kolkata"/>
    <n v="26.2"/>
    <d v="1900-04-10T08:09:36"/>
    <n v="347.79"/>
    <n v="1.5"/>
    <n v="521.69000000000005"/>
    <n v="4.9000000000000004"/>
    <x v="2"/>
    <x v="0"/>
  </r>
  <r>
    <s v="TRIP01882"/>
    <x v="115"/>
    <x v="4"/>
    <s v="Chennai"/>
    <n v="23.51"/>
    <d v="1900-04-01T16:48:00"/>
    <n v="344.75"/>
    <n v="1"/>
    <n v="344.75"/>
    <n v="4.0999999999999996"/>
    <x v="0"/>
    <x v="3"/>
  </r>
  <r>
    <s v="TRIP01883"/>
    <x v="10"/>
    <x v="3"/>
    <s v="Kolkata"/>
    <n v="9.84"/>
    <d v="1900-01-23T17:31:12"/>
    <n v="156.83000000000001"/>
    <n v="1.2"/>
    <n v="188.2"/>
    <n v="4.0999999999999996"/>
    <x v="0"/>
    <x v="2"/>
  </r>
  <r>
    <s v="TRIP01884"/>
    <x v="49"/>
    <x v="3"/>
    <s v="Kolkata"/>
    <n v="1.93"/>
    <d v="1900-01-03T04:19:12"/>
    <n v="24.96"/>
    <n v="1"/>
    <n v="24.96"/>
    <n v="4.4000000000000004"/>
    <x v="4"/>
    <x v="1"/>
  </r>
  <r>
    <s v="TRIP01885"/>
    <x v="57"/>
    <x v="0"/>
    <s v="Delhi"/>
    <n v="1.64"/>
    <d v="1900-01-03T22:19:12"/>
    <n v="20.9"/>
    <n v="1.5"/>
    <n v="31.35"/>
    <n v="4.3"/>
    <x v="1"/>
    <x v="3"/>
  </r>
  <r>
    <s v="TRIP01886"/>
    <x v="79"/>
    <x v="0"/>
    <s v="Chennai"/>
    <n v="26.02"/>
    <d v="1900-03-16T18:43:12"/>
    <n v="518.96"/>
    <n v="1"/>
    <n v="518.96"/>
    <n v="4.5999999999999996"/>
    <x v="4"/>
    <x v="3"/>
  </r>
  <r>
    <s v="TRIP01887"/>
    <x v="135"/>
    <x v="0"/>
    <s v="Chennai"/>
    <n v="17.670000000000002"/>
    <d v="1900-02-17T09:50:24"/>
    <n v="241.09"/>
    <n v="1.2"/>
    <n v="289.31"/>
    <n v="3.8"/>
    <x v="0"/>
    <x v="1"/>
  </r>
  <r>
    <s v="TRIP01888"/>
    <x v="0"/>
    <x v="1"/>
    <s v="Chennai"/>
    <n v="21.85"/>
    <d v="1900-03-10T01:55:12"/>
    <n v="418.74"/>
    <n v="2"/>
    <n v="837.48"/>
    <n v="3"/>
    <x v="4"/>
    <x v="3"/>
  </r>
  <r>
    <s v="TRIP01889"/>
    <x v="209"/>
    <x v="2"/>
    <s v="Delhi"/>
    <n v="23.89"/>
    <d v="1900-03-04T21:50:24"/>
    <n v="267.17"/>
    <n v="2"/>
    <n v="534.34"/>
    <n v="4.7"/>
    <x v="1"/>
    <x v="1"/>
  </r>
  <r>
    <s v="TRIP01890"/>
    <x v="184"/>
    <x v="2"/>
    <s v="Kolkata"/>
    <n v="12.85"/>
    <d v="1900-02-14T20:38:24"/>
    <n v="215.96"/>
    <n v="2"/>
    <n v="431.92"/>
    <n v="3.8"/>
    <x v="2"/>
    <x v="2"/>
  </r>
  <r>
    <s v="TRIP01891"/>
    <x v="329"/>
    <x v="4"/>
    <s v="Mumbai"/>
    <n v="3.46"/>
    <d v="1900-01-10T05:31:12"/>
    <n v="34.83"/>
    <n v="2"/>
    <n v="69.66"/>
    <n v="4.3"/>
    <x v="0"/>
    <x v="0"/>
  </r>
  <r>
    <s v="TRIP01892"/>
    <x v="46"/>
    <x v="3"/>
    <s v="Mumbai"/>
    <n v="16.3"/>
    <d v="1900-02-24T14:09:36"/>
    <n v="299.68"/>
    <n v="1.5"/>
    <n v="449.52"/>
    <n v="4"/>
    <x v="2"/>
    <x v="2"/>
  </r>
  <r>
    <s v="TRIP01893"/>
    <x v="114"/>
    <x v="0"/>
    <s v="Chennai"/>
    <n v="17.260000000000002"/>
    <d v="1900-02-13T23:31:12"/>
    <n v="199.34"/>
    <n v="1"/>
    <n v="199.34"/>
    <n v="3.7"/>
    <x v="2"/>
    <x v="3"/>
  </r>
  <r>
    <s v="TRIP01894"/>
    <x v="312"/>
    <x v="3"/>
    <s v="Bangalore"/>
    <n v="24.37"/>
    <d v="1900-03-22T12:28:48"/>
    <n v="244.92"/>
    <n v="1.2"/>
    <n v="293.89999999999998"/>
    <n v="3.7"/>
    <x v="1"/>
    <x v="1"/>
  </r>
  <r>
    <s v="TRIP01895"/>
    <x v="15"/>
    <x v="2"/>
    <s v="Bangalore"/>
    <n v="27.41"/>
    <d v="1900-03-04T09:21:36"/>
    <n v="352.51"/>
    <n v="1.2"/>
    <n v="423.01"/>
    <n v="4.4000000000000004"/>
    <x v="3"/>
    <x v="0"/>
  </r>
  <r>
    <s v="TRIP01896"/>
    <x v="273"/>
    <x v="1"/>
    <s v="Kolkata"/>
    <n v="5.98"/>
    <d v="1900-01-14T02:09:36"/>
    <n v="89.48"/>
    <n v="2"/>
    <n v="178.96"/>
    <n v="3.7"/>
    <x v="2"/>
    <x v="2"/>
  </r>
  <r>
    <s v="TRIP01897"/>
    <x v="38"/>
    <x v="4"/>
    <s v="Kolkata"/>
    <n v="22.3"/>
    <d v="1900-03-10T05:31:12"/>
    <n v="406.37"/>
    <n v="1.2"/>
    <n v="487.64"/>
    <n v="3.7"/>
    <x v="4"/>
    <x v="1"/>
  </r>
  <r>
    <s v="TRIP01898"/>
    <x v="338"/>
    <x v="3"/>
    <s v="Mumbai"/>
    <n v="7.3"/>
    <d v="1900-01-24T00:43:12"/>
    <n v="100.01"/>
    <n v="1.5"/>
    <n v="150.02000000000001"/>
    <n v="4.5999999999999996"/>
    <x v="3"/>
    <x v="3"/>
  </r>
  <r>
    <s v="TRIP01899"/>
    <x v="14"/>
    <x v="3"/>
    <s v="Mumbai"/>
    <n v="17.02"/>
    <d v="1900-02-09T08:52:48"/>
    <n v="204.3"/>
    <n v="2"/>
    <n v="408.6"/>
    <n v="4.5999999999999996"/>
    <x v="4"/>
    <x v="0"/>
  </r>
  <r>
    <s v="TRIP01900"/>
    <x v="21"/>
    <x v="3"/>
    <s v="Kolkata"/>
    <n v="22.7"/>
    <d v="1900-03-21T10:48:00"/>
    <n v="446.95"/>
    <n v="1"/>
    <n v="446.95"/>
    <n v="4.4000000000000004"/>
    <x v="0"/>
    <x v="1"/>
  </r>
  <r>
    <s v="TRIP01901"/>
    <x v="349"/>
    <x v="4"/>
    <s v="Delhi"/>
    <n v="26"/>
    <d v="1900-03-30T14:52:48"/>
    <n v="367.72"/>
    <n v="1.2"/>
    <n v="441.26"/>
    <n v="3.3"/>
    <x v="1"/>
    <x v="2"/>
  </r>
  <r>
    <s v="TRIP01902"/>
    <x v="262"/>
    <x v="3"/>
    <s v="Chennai"/>
    <n v="27.97"/>
    <d v="1900-03-15T03:50:24"/>
    <n v="549.19000000000005"/>
    <n v="1"/>
    <n v="549.19000000000005"/>
    <n v="3"/>
    <x v="2"/>
    <x v="0"/>
  </r>
  <r>
    <s v="TRIP01903"/>
    <x v="68"/>
    <x v="1"/>
    <s v="Bangalore"/>
    <n v="17.809999999999999"/>
    <d v="1900-02-16T19:12:00"/>
    <n v="181.37"/>
    <n v="2"/>
    <n v="362.74"/>
    <n v="3.2"/>
    <x v="2"/>
    <x v="1"/>
  </r>
  <r>
    <s v="TRIP01904"/>
    <x v="40"/>
    <x v="3"/>
    <s v="Bangalore"/>
    <n v="14.09"/>
    <d v="1900-02-22T15:07:12"/>
    <n v="158.16"/>
    <n v="1"/>
    <n v="158.16"/>
    <n v="3.7"/>
    <x v="4"/>
    <x v="1"/>
  </r>
  <r>
    <s v="TRIP01905"/>
    <x v="122"/>
    <x v="1"/>
    <s v="Kolkata"/>
    <n v="13.58"/>
    <d v="1900-02-02T17:02:24"/>
    <n v="253.93"/>
    <n v="2"/>
    <n v="507.86"/>
    <n v="4"/>
    <x v="3"/>
    <x v="3"/>
  </r>
  <r>
    <s v="TRIP01906"/>
    <x v="184"/>
    <x v="3"/>
    <s v="Kolkata"/>
    <n v="7.79"/>
    <d v="1900-01-23T14:24:00"/>
    <n v="128.31"/>
    <n v="1"/>
    <n v="128.31"/>
    <n v="4.7"/>
    <x v="4"/>
    <x v="2"/>
  </r>
  <r>
    <s v="TRIP01907"/>
    <x v="155"/>
    <x v="3"/>
    <s v="Mumbai"/>
    <n v="17.47"/>
    <d v="1900-03-09T05:45:36"/>
    <n v="331.61"/>
    <n v="2"/>
    <n v="663.22"/>
    <n v="3.6"/>
    <x v="0"/>
    <x v="3"/>
  </r>
  <r>
    <s v="TRIP01908"/>
    <x v="125"/>
    <x v="2"/>
    <s v="Chennai"/>
    <n v="14.71"/>
    <d v="1900-02-17T08:09:36"/>
    <n v="275.74"/>
    <n v="1"/>
    <n v="275.74"/>
    <n v="4.4000000000000004"/>
    <x v="1"/>
    <x v="0"/>
  </r>
  <r>
    <s v="TRIP01909"/>
    <x v="43"/>
    <x v="0"/>
    <s v="Kolkata"/>
    <n v="3.31"/>
    <d v="1900-01-11T03:50:24"/>
    <n v="35.71"/>
    <n v="2"/>
    <n v="71.42"/>
    <n v="3.5"/>
    <x v="0"/>
    <x v="1"/>
  </r>
  <r>
    <s v="TRIP01910"/>
    <x v="191"/>
    <x v="1"/>
    <s v="Kolkata"/>
    <n v="4.91"/>
    <d v="1900-01-17T18:57:36"/>
    <n v="72.19"/>
    <n v="1"/>
    <n v="72.19"/>
    <n v="4"/>
    <x v="0"/>
    <x v="1"/>
  </r>
  <r>
    <s v="TRIP01911"/>
    <x v="19"/>
    <x v="0"/>
    <s v="Bangalore"/>
    <n v="12.23"/>
    <d v="1900-01-29T14:38:24"/>
    <n v="142.63"/>
    <n v="2"/>
    <n v="285.26"/>
    <n v="3.6"/>
    <x v="4"/>
    <x v="1"/>
  </r>
  <r>
    <s v="TRIP01912"/>
    <x v="10"/>
    <x v="0"/>
    <s v="Bangalore"/>
    <n v="22.94"/>
    <d v="1900-03-16T11:31:12"/>
    <n v="283.08999999999997"/>
    <n v="1"/>
    <n v="283.08999999999997"/>
    <n v="4.5999999999999996"/>
    <x v="1"/>
    <x v="2"/>
  </r>
  <r>
    <s v="TRIP01913"/>
    <x v="290"/>
    <x v="0"/>
    <s v="Mumbai"/>
    <n v="25.87"/>
    <d v="1900-02-19T18:00:00"/>
    <n v="352.46"/>
    <n v="1"/>
    <n v="352.46"/>
    <n v="4.4000000000000004"/>
    <x v="4"/>
    <x v="1"/>
  </r>
  <r>
    <s v="TRIP01914"/>
    <x v="76"/>
    <x v="0"/>
    <s v="Chennai"/>
    <n v="9.81"/>
    <d v="1900-01-25T05:31:12"/>
    <n v="153.80000000000001"/>
    <n v="1.5"/>
    <n v="230.7"/>
    <n v="4.9000000000000004"/>
    <x v="0"/>
    <x v="0"/>
  </r>
  <r>
    <s v="TRIP01915"/>
    <x v="15"/>
    <x v="3"/>
    <s v="Chennai"/>
    <n v="22.75"/>
    <d v="1900-03-23T20:24:00"/>
    <n v="334.45"/>
    <n v="1.2"/>
    <n v="401.34"/>
    <n v="4.7"/>
    <x v="0"/>
    <x v="1"/>
  </r>
  <r>
    <s v="TRIP01916"/>
    <x v="304"/>
    <x v="4"/>
    <s v="Kolkata"/>
    <n v="18.87"/>
    <d v="1900-02-10T10:19:12"/>
    <n v="298.05"/>
    <n v="1.5"/>
    <n v="447.08"/>
    <n v="3.6"/>
    <x v="0"/>
    <x v="0"/>
  </r>
  <r>
    <s v="TRIP01917"/>
    <x v="32"/>
    <x v="3"/>
    <s v="Chennai"/>
    <n v="18.64"/>
    <d v="1900-02-13T11:31:12"/>
    <n v="275.73"/>
    <n v="1.5"/>
    <n v="413.6"/>
    <n v="3.1"/>
    <x v="0"/>
    <x v="2"/>
  </r>
  <r>
    <s v="TRIP01918"/>
    <x v="358"/>
    <x v="0"/>
    <s v="Mumbai"/>
    <n v="3.31"/>
    <d v="1900-01-09T11:31:12"/>
    <n v="64.47"/>
    <n v="1.5"/>
    <n v="96.7"/>
    <n v="4.5999999999999996"/>
    <x v="3"/>
    <x v="0"/>
  </r>
  <r>
    <s v="TRIP01919"/>
    <x v="263"/>
    <x v="4"/>
    <s v="Chennai"/>
    <n v="25.87"/>
    <d v="1900-04-07T04:19:12"/>
    <n v="503.61"/>
    <n v="1"/>
    <n v="503.61"/>
    <n v="3.5"/>
    <x v="2"/>
    <x v="3"/>
  </r>
  <r>
    <s v="TRIP01920"/>
    <x v="26"/>
    <x v="2"/>
    <s v="Delhi"/>
    <n v="11.84"/>
    <d v="1900-01-30T13:26:24"/>
    <n v="139.26"/>
    <n v="1.2"/>
    <n v="167.11"/>
    <n v="4.5"/>
    <x v="2"/>
    <x v="2"/>
  </r>
  <r>
    <s v="TRIP01921"/>
    <x v="212"/>
    <x v="4"/>
    <s v="Kolkata"/>
    <n v="26.11"/>
    <d v="1900-02-21T21:36:00"/>
    <n v="429.21"/>
    <n v="2"/>
    <n v="858.42"/>
    <n v="3.1"/>
    <x v="4"/>
    <x v="0"/>
  </r>
  <r>
    <s v="TRIP01922"/>
    <x v="234"/>
    <x v="4"/>
    <s v="Mumbai"/>
    <n v="26.7"/>
    <d v="1900-04-01T07:55:12"/>
    <n v="514.73"/>
    <n v="1.5"/>
    <n v="772.1"/>
    <n v="3.1"/>
    <x v="0"/>
    <x v="0"/>
  </r>
  <r>
    <s v="TRIP01923"/>
    <x v="304"/>
    <x v="1"/>
    <s v="Chennai"/>
    <n v="1.41"/>
    <d v="1900-01-01T20:09:36"/>
    <n v="17.489999999999998"/>
    <n v="1"/>
    <n v="17.489999999999998"/>
    <n v="4.9000000000000004"/>
    <x v="3"/>
    <x v="0"/>
  </r>
  <r>
    <s v="TRIP01924"/>
    <x v="324"/>
    <x v="2"/>
    <s v="Delhi"/>
    <n v="28.15"/>
    <d v="1900-03-29T14:38:24"/>
    <n v="284.89999999999998"/>
    <n v="1.5"/>
    <n v="427.35"/>
    <n v="3.3"/>
    <x v="4"/>
    <x v="1"/>
  </r>
  <r>
    <s v="TRIP01925"/>
    <x v="66"/>
    <x v="0"/>
    <s v="Delhi"/>
    <n v="9.09"/>
    <d v="1900-01-27T17:02:24"/>
    <n v="109.29"/>
    <n v="2"/>
    <n v="218.58"/>
    <n v="3"/>
    <x v="1"/>
    <x v="1"/>
  </r>
  <r>
    <s v="TRIP01926"/>
    <x v="255"/>
    <x v="3"/>
    <s v="Chennai"/>
    <n v="29.29"/>
    <d v="1900-04-03T16:19:12"/>
    <n v="567.1"/>
    <n v="1.2"/>
    <n v="680.52"/>
    <n v="3.7"/>
    <x v="3"/>
    <x v="1"/>
  </r>
  <r>
    <s v="TRIP01927"/>
    <x v="188"/>
    <x v="1"/>
    <s v="Kolkata"/>
    <n v="10.02"/>
    <d v="1900-02-03T11:16:48"/>
    <n v="187.05"/>
    <n v="1.2"/>
    <n v="224.46"/>
    <n v="4.8"/>
    <x v="4"/>
    <x v="1"/>
  </r>
  <r>
    <s v="TRIP01928"/>
    <x v="155"/>
    <x v="2"/>
    <s v="Mumbai"/>
    <n v="1.34"/>
    <d v="1900-01-02T11:31:12"/>
    <n v="21.75"/>
    <n v="1.5"/>
    <n v="32.619999999999997"/>
    <n v="4.2"/>
    <x v="3"/>
    <x v="3"/>
  </r>
  <r>
    <s v="TRIP01929"/>
    <x v="152"/>
    <x v="0"/>
    <s v="Mumbai"/>
    <n v="11.67"/>
    <d v="1900-01-22T22:19:12"/>
    <n v="191.71"/>
    <n v="1"/>
    <n v="191.71"/>
    <n v="4.5999999999999996"/>
    <x v="4"/>
    <x v="3"/>
  </r>
  <r>
    <s v="TRIP01930"/>
    <x v="19"/>
    <x v="2"/>
    <s v="Delhi"/>
    <n v="27.21"/>
    <d v="1900-03-16T17:16:48"/>
    <n v="414.93"/>
    <n v="1.2"/>
    <n v="497.92"/>
    <n v="3.7"/>
    <x v="3"/>
    <x v="2"/>
  </r>
  <r>
    <s v="TRIP01931"/>
    <x v="28"/>
    <x v="0"/>
    <s v="Kolkata"/>
    <n v="23.48"/>
    <d v="1900-03-11T16:48:00"/>
    <n v="309.17"/>
    <n v="1"/>
    <n v="309.17"/>
    <n v="4.5"/>
    <x v="3"/>
    <x v="0"/>
  </r>
  <r>
    <s v="TRIP01932"/>
    <x v="354"/>
    <x v="2"/>
    <s v="Bangalore"/>
    <n v="17.91"/>
    <d v="1900-02-12T01:26:24"/>
    <n v="205.63"/>
    <n v="1"/>
    <n v="205.63"/>
    <n v="3.5"/>
    <x v="1"/>
    <x v="0"/>
  </r>
  <r>
    <s v="TRIP01933"/>
    <x v="156"/>
    <x v="1"/>
    <s v="Kolkata"/>
    <n v="22.54"/>
    <d v="1900-03-25T15:36:00"/>
    <n v="409.87"/>
    <n v="1"/>
    <n v="409.87"/>
    <n v="4.5999999999999996"/>
    <x v="1"/>
    <x v="3"/>
  </r>
  <r>
    <s v="TRIP01934"/>
    <x v="228"/>
    <x v="0"/>
    <s v="Mumbai"/>
    <n v="3.52"/>
    <d v="1900-01-08T09:50:24"/>
    <n v="39.74"/>
    <n v="1.5"/>
    <n v="59.61"/>
    <n v="3.4"/>
    <x v="4"/>
    <x v="0"/>
  </r>
  <r>
    <s v="TRIP01935"/>
    <x v="85"/>
    <x v="4"/>
    <s v="Kolkata"/>
    <n v="17.77"/>
    <d v="1900-02-12T18:00:00"/>
    <n v="339.2"/>
    <n v="2"/>
    <n v="678.4"/>
    <n v="4.0999999999999996"/>
    <x v="3"/>
    <x v="1"/>
  </r>
  <r>
    <s v="TRIP01936"/>
    <x v="181"/>
    <x v="2"/>
    <s v="Mumbai"/>
    <n v="15.41"/>
    <d v="1900-01-30T19:26:24"/>
    <n v="248.46"/>
    <n v="1.2"/>
    <n v="298.14999999999998"/>
    <n v="4.2"/>
    <x v="4"/>
    <x v="1"/>
  </r>
  <r>
    <s v="TRIP01937"/>
    <x v="319"/>
    <x v="3"/>
    <s v="Kolkata"/>
    <n v="22.96"/>
    <d v="1900-02-24T08:09:36"/>
    <n v="280.41000000000003"/>
    <n v="2"/>
    <n v="560.82000000000005"/>
    <n v="3.7"/>
    <x v="3"/>
    <x v="3"/>
  </r>
  <r>
    <s v="TRIP01938"/>
    <x v="294"/>
    <x v="0"/>
    <s v="Chennai"/>
    <n v="25.56"/>
    <d v="1900-04-02T10:33:36"/>
    <n v="353.45"/>
    <n v="1.2"/>
    <n v="424.14"/>
    <n v="3.5"/>
    <x v="3"/>
    <x v="0"/>
  </r>
  <r>
    <s v="TRIP01939"/>
    <x v="220"/>
    <x v="1"/>
    <s v="Delhi"/>
    <n v="8.7899999999999991"/>
    <d v="1900-01-25T22:33:36"/>
    <n v="141.24"/>
    <n v="2"/>
    <n v="282.48"/>
    <n v="5"/>
    <x v="1"/>
    <x v="3"/>
  </r>
  <r>
    <s v="TRIP01940"/>
    <x v="259"/>
    <x v="2"/>
    <s v="Mumbai"/>
    <n v="7.13"/>
    <d v="1900-01-20T03:21:36"/>
    <n v="95.62"/>
    <n v="1.5"/>
    <n v="143.43"/>
    <n v="4"/>
    <x v="0"/>
    <x v="2"/>
  </r>
  <r>
    <s v="TRIP01941"/>
    <x v="352"/>
    <x v="2"/>
    <s v="Kolkata"/>
    <n v="19.37"/>
    <d v="1900-02-24T15:50:24"/>
    <n v="301.41000000000003"/>
    <n v="1.2"/>
    <n v="361.69"/>
    <n v="4.4000000000000004"/>
    <x v="4"/>
    <x v="0"/>
  </r>
  <r>
    <s v="TRIP01942"/>
    <x v="270"/>
    <x v="4"/>
    <s v="Kolkata"/>
    <n v="3.73"/>
    <d v="1900-01-07T17:45:36"/>
    <n v="41.12"/>
    <n v="1.2"/>
    <n v="49.34"/>
    <n v="4.8"/>
    <x v="3"/>
    <x v="0"/>
  </r>
  <r>
    <s v="TRIP01943"/>
    <x v="41"/>
    <x v="1"/>
    <s v="Bangalore"/>
    <n v="22.87"/>
    <d v="1900-02-14T16:19:12"/>
    <n v="285.73"/>
    <n v="1.5"/>
    <n v="428.6"/>
    <n v="4.3"/>
    <x v="3"/>
    <x v="1"/>
  </r>
  <r>
    <s v="TRIP01944"/>
    <x v="261"/>
    <x v="2"/>
    <s v="Chennai"/>
    <n v="3.12"/>
    <d v="1900-01-10T08:38:24"/>
    <n v="46.58"/>
    <n v="1.2"/>
    <n v="55.9"/>
    <n v="3"/>
    <x v="3"/>
    <x v="0"/>
  </r>
  <r>
    <s v="TRIP01945"/>
    <x v="349"/>
    <x v="4"/>
    <s v="Mumbai"/>
    <n v="13.61"/>
    <d v="1900-01-31T16:19:12"/>
    <n v="150.74"/>
    <n v="1.5"/>
    <n v="226.11"/>
    <n v="3.9"/>
    <x v="3"/>
    <x v="0"/>
  </r>
  <r>
    <s v="TRIP01946"/>
    <x v="269"/>
    <x v="4"/>
    <s v="Mumbai"/>
    <n v="19.13"/>
    <d v="1900-03-09T22:04:48"/>
    <n v="321.13"/>
    <n v="1.5"/>
    <n v="481.7"/>
    <n v="4.0999999999999996"/>
    <x v="1"/>
    <x v="0"/>
  </r>
  <r>
    <s v="TRIP01947"/>
    <x v="317"/>
    <x v="2"/>
    <s v="Kolkata"/>
    <n v="14.61"/>
    <d v="1900-02-24T05:45:36"/>
    <n v="204.19"/>
    <n v="1"/>
    <n v="204.19"/>
    <n v="3.1"/>
    <x v="1"/>
    <x v="2"/>
  </r>
  <r>
    <s v="TRIP01948"/>
    <x v="113"/>
    <x v="4"/>
    <s v="Kolkata"/>
    <n v="16.059999999999999"/>
    <d v="1900-02-27T16:19:12"/>
    <n v="223.46"/>
    <n v="1.2"/>
    <n v="268.14999999999998"/>
    <n v="3.4"/>
    <x v="1"/>
    <x v="3"/>
  </r>
  <r>
    <s v="TRIP01949"/>
    <x v="191"/>
    <x v="3"/>
    <s v="Mumbai"/>
    <n v="9.1300000000000008"/>
    <d v="1900-01-18T05:31:12"/>
    <n v="163.94"/>
    <n v="1"/>
    <n v="163.94"/>
    <n v="3.5"/>
    <x v="1"/>
    <x v="3"/>
  </r>
  <r>
    <s v="TRIP01950"/>
    <x v="17"/>
    <x v="0"/>
    <s v="Delhi"/>
    <n v="27.14"/>
    <d v="1900-04-08T12:57:36"/>
    <n v="421.63"/>
    <n v="1.5"/>
    <n v="632.44000000000005"/>
    <n v="4.7"/>
    <x v="3"/>
    <x v="1"/>
  </r>
  <r>
    <s v="TRIP01951"/>
    <x v="212"/>
    <x v="4"/>
    <s v="Delhi"/>
    <n v="12.36"/>
    <d v="1900-02-15T08:24:00"/>
    <n v="139.13"/>
    <n v="2"/>
    <n v="278.26"/>
    <n v="3.8"/>
    <x v="3"/>
    <x v="0"/>
  </r>
  <r>
    <s v="TRIP01952"/>
    <x v="351"/>
    <x v="4"/>
    <s v="Chennai"/>
    <n v="15.45"/>
    <d v="1900-02-13T00:57:36"/>
    <n v="234.67"/>
    <n v="1.5"/>
    <n v="352"/>
    <n v="3.5"/>
    <x v="1"/>
    <x v="3"/>
  </r>
  <r>
    <s v="TRIP01953"/>
    <x v="30"/>
    <x v="3"/>
    <s v="Kolkata"/>
    <n v="13.31"/>
    <d v="1900-02-17T12:28:48"/>
    <n v="205.26"/>
    <n v="1.5"/>
    <n v="307.89"/>
    <n v="3.9"/>
    <x v="2"/>
    <x v="0"/>
  </r>
  <r>
    <s v="TRIP01954"/>
    <x v="119"/>
    <x v="0"/>
    <s v="Delhi"/>
    <n v="13.75"/>
    <d v="1900-02-07T18:28:48"/>
    <n v="194"/>
    <n v="1.2"/>
    <n v="232.8"/>
    <n v="3.8"/>
    <x v="4"/>
    <x v="3"/>
  </r>
  <r>
    <s v="TRIP01955"/>
    <x v="353"/>
    <x v="0"/>
    <s v="Kolkata"/>
    <n v="26.84"/>
    <d v="1900-03-11T13:26:24"/>
    <n v="308"/>
    <n v="1.5"/>
    <n v="462"/>
    <n v="4.7"/>
    <x v="1"/>
    <x v="1"/>
  </r>
  <r>
    <s v="TRIP01956"/>
    <x v="318"/>
    <x v="1"/>
    <s v="Chennai"/>
    <n v="13.26"/>
    <d v="1900-01-30T12:00:00"/>
    <n v="135.47"/>
    <n v="1"/>
    <n v="135.47"/>
    <n v="3"/>
    <x v="4"/>
    <x v="3"/>
  </r>
  <r>
    <s v="TRIP01957"/>
    <x v="190"/>
    <x v="3"/>
    <s v="Bangalore"/>
    <n v="3.49"/>
    <d v="1900-01-09T04:48:00"/>
    <n v="60.85"/>
    <n v="1"/>
    <n v="60.85"/>
    <n v="4.5"/>
    <x v="3"/>
    <x v="0"/>
  </r>
  <r>
    <s v="TRIP01958"/>
    <x v="249"/>
    <x v="1"/>
    <s v="Mumbai"/>
    <n v="8.1"/>
    <d v="1900-01-26T19:26:24"/>
    <n v="129.43"/>
    <n v="2"/>
    <n v="258.86"/>
    <n v="3.6"/>
    <x v="4"/>
    <x v="3"/>
  </r>
  <r>
    <s v="TRIP01959"/>
    <x v="199"/>
    <x v="4"/>
    <s v="Chennai"/>
    <n v="13.39"/>
    <d v="1900-02-20T12:57:36"/>
    <n v="230.7"/>
    <n v="2"/>
    <n v="461.4"/>
    <n v="3.3"/>
    <x v="2"/>
    <x v="0"/>
  </r>
  <r>
    <s v="TRIP01960"/>
    <x v="44"/>
    <x v="0"/>
    <s v="Delhi"/>
    <n v="19.25"/>
    <d v="1900-03-16T01:55:12"/>
    <n v="256.26"/>
    <n v="2"/>
    <n v="512.52"/>
    <n v="4.8"/>
    <x v="3"/>
    <x v="2"/>
  </r>
  <r>
    <s v="TRIP01961"/>
    <x v="58"/>
    <x v="4"/>
    <s v="Bangalore"/>
    <n v="27.28"/>
    <d v="1900-04-06T08:09:36"/>
    <n v="442.62"/>
    <n v="1"/>
    <n v="442.62"/>
    <n v="3.3"/>
    <x v="2"/>
    <x v="0"/>
  </r>
  <r>
    <s v="TRIP01962"/>
    <x v="157"/>
    <x v="0"/>
    <s v="Bangalore"/>
    <n v="3.65"/>
    <d v="1900-01-11T06:14:24"/>
    <n v="62.97"/>
    <n v="2"/>
    <n v="125.94"/>
    <n v="4.8"/>
    <x v="4"/>
    <x v="1"/>
  </r>
  <r>
    <s v="TRIP01963"/>
    <x v="8"/>
    <x v="2"/>
    <s v="Chennai"/>
    <n v="1.54"/>
    <d v="1900-01-03T18:14:24"/>
    <n v="26.28"/>
    <n v="1.5"/>
    <n v="39.42"/>
    <n v="4.2"/>
    <x v="3"/>
    <x v="2"/>
  </r>
  <r>
    <s v="TRIP01964"/>
    <x v="209"/>
    <x v="0"/>
    <s v="Chennai"/>
    <n v="8.59"/>
    <d v="1900-01-24T23:45:36"/>
    <n v="114.3"/>
    <n v="1.5"/>
    <n v="171.45"/>
    <n v="4.3"/>
    <x v="2"/>
    <x v="2"/>
  </r>
  <r>
    <s v="TRIP01965"/>
    <x v="77"/>
    <x v="2"/>
    <s v="Delhi"/>
    <n v="24.19"/>
    <d v="1900-03-16T11:16:48"/>
    <n v="428.91"/>
    <n v="1.2"/>
    <n v="514.69000000000005"/>
    <n v="3.8"/>
    <x v="2"/>
    <x v="1"/>
  </r>
  <r>
    <s v="TRIP01966"/>
    <x v="315"/>
    <x v="0"/>
    <s v="Kolkata"/>
    <n v="8.9600000000000009"/>
    <d v="1900-01-26T17:02:24"/>
    <n v="108.78"/>
    <n v="2"/>
    <n v="217.56"/>
    <n v="3.7"/>
    <x v="0"/>
    <x v="2"/>
  </r>
  <r>
    <s v="TRIP01967"/>
    <x v="32"/>
    <x v="3"/>
    <s v="Bangalore"/>
    <n v="8.73"/>
    <d v="1900-02-02T08:09:36"/>
    <n v="101.27"/>
    <n v="1"/>
    <n v="101.27"/>
    <n v="3.2"/>
    <x v="4"/>
    <x v="1"/>
  </r>
  <r>
    <s v="TRIP01968"/>
    <x v="241"/>
    <x v="3"/>
    <s v="Mumbai"/>
    <n v="1.58"/>
    <d v="1900-01-04T08:52:48"/>
    <n v="19.8"/>
    <n v="1"/>
    <n v="19.8"/>
    <n v="4.5999999999999996"/>
    <x v="4"/>
    <x v="3"/>
  </r>
  <r>
    <s v="TRIP01969"/>
    <x v="293"/>
    <x v="4"/>
    <s v="Delhi"/>
    <n v="28.12"/>
    <d v="1900-02-24T21:36:00"/>
    <n v="446.51"/>
    <n v="1.2"/>
    <n v="535.80999999999995"/>
    <n v="3.4"/>
    <x v="0"/>
    <x v="1"/>
  </r>
  <r>
    <s v="TRIP01970"/>
    <x v="139"/>
    <x v="1"/>
    <s v="Kolkata"/>
    <n v="3.44"/>
    <d v="1900-01-10T13:40:48"/>
    <n v="57.8"/>
    <n v="1"/>
    <n v="57.8"/>
    <n v="4.4000000000000004"/>
    <x v="4"/>
    <x v="1"/>
  </r>
  <r>
    <s v="TRIP01971"/>
    <x v="218"/>
    <x v="1"/>
    <s v="Kolkata"/>
    <n v="24.87"/>
    <d v="1900-02-19T19:55:12"/>
    <n v="365.86"/>
    <n v="1"/>
    <n v="365.86"/>
    <n v="3.1"/>
    <x v="3"/>
    <x v="3"/>
  </r>
  <r>
    <s v="TRIP01972"/>
    <x v="110"/>
    <x v="3"/>
    <s v="Bangalore"/>
    <n v="12.14"/>
    <d v="1900-02-02T18:43:12"/>
    <n v="240.28"/>
    <n v="1"/>
    <n v="240.28"/>
    <n v="4"/>
    <x v="4"/>
    <x v="2"/>
  </r>
  <r>
    <s v="TRIP01973"/>
    <x v="349"/>
    <x v="2"/>
    <s v="Chennai"/>
    <n v="14.93"/>
    <d v="1900-02-16T11:31:12"/>
    <n v="273.25"/>
    <n v="1"/>
    <n v="273.25"/>
    <n v="4.5999999999999996"/>
    <x v="0"/>
    <x v="2"/>
  </r>
  <r>
    <s v="TRIP01974"/>
    <x v="321"/>
    <x v="2"/>
    <s v="Mumbai"/>
    <n v="12.88"/>
    <d v="1900-02-03T09:50:24"/>
    <n v="248.01"/>
    <n v="2"/>
    <n v="496.02"/>
    <n v="4.3"/>
    <x v="3"/>
    <x v="1"/>
  </r>
  <r>
    <s v="TRIP01975"/>
    <x v="72"/>
    <x v="1"/>
    <s v="Delhi"/>
    <n v="21.68"/>
    <d v="1900-02-18T11:16:48"/>
    <n v="423.96"/>
    <n v="1.2"/>
    <n v="508.75"/>
    <n v="3.3"/>
    <x v="4"/>
    <x v="2"/>
  </r>
  <r>
    <s v="TRIP01976"/>
    <x v="359"/>
    <x v="2"/>
    <s v="Chennai"/>
    <n v="20.07"/>
    <d v="1900-03-15T14:09:36"/>
    <n v="316.51"/>
    <n v="1.2"/>
    <n v="379.81"/>
    <n v="4"/>
    <x v="0"/>
    <x v="0"/>
  </r>
  <r>
    <s v="TRIP01977"/>
    <x v="161"/>
    <x v="4"/>
    <s v="Kolkata"/>
    <n v="23.69"/>
    <d v="1900-03-13T03:50:24"/>
    <n v="273.47000000000003"/>
    <n v="1.2"/>
    <n v="328.16"/>
    <n v="4.7"/>
    <x v="0"/>
    <x v="3"/>
  </r>
  <r>
    <s v="TRIP01978"/>
    <x v="84"/>
    <x v="1"/>
    <s v="Delhi"/>
    <n v="24.38"/>
    <d v="1900-03-02T09:07:12"/>
    <n v="333.51"/>
    <n v="1.2"/>
    <n v="400.21"/>
    <n v="3.5"/>
    <x v="2"/>
    <x v="2"/>
  </r>
  <r>
    <s v="TRIP01979"/>
    <x v="99"/>
    <x v="3"/>
    <s v="Delhi"/>
    <n v="1.1000000000000001"/>
    <d v="1900-01-01T07:12:00"/>
    <n v="11.05"/>
    <n v="1"/>
    <n v="11.05"/>
    <n v="3.6"/>
    <x v="3"/>
    <x v="2"/>
  </r>
  <r>
    <s v="TRIP01980"/>
    <x v="82"/>
    <x v="2"/>
    <s v="Chennai"/>
    <n v="9.16"/>
    <d v="1900-02-03T18:57:36"/>
    <n v="96.5"/>
    <n v="2"/>
    <n v="193"/>
    <n v="4.9000000000000004"/>
    <x v="3"/>
    <x v="1"/>
  </r>
  <r>
    <s v="TRIP01981"/>
    <x v="12"/>
    <x v="3"/>
    <s v="Chennai"/>
    <n v="14.86"/>
    <d v="1900-02-04T08:38:24"/>
    <n v="253.45"/>
    <n v="1.5"/>
    <n v="380.17"/>
    <n v="3.8"/>
    <x v="2"/>
    <x v="0"/>
  </r>
  <r>
    <s v="TRIP01982"/>
    <x v="2"/>
    <x v="0"/>
    <s v="Bangalore"/>
    <n v="8.34"/>
    <d v="1900-01-31T14:52:48"/>
    <n v="85.79"/>
    <n v="1.2"/>
    <n v="102.95"/>
    <n v="4.9000000000000004"/>
    <x v="4"/>
    <x v="1"/>
  </r>
  <r>
    <s v="TRIP01983"/>
    <x v="62"/>
    <x v="0"/>
    <s v="Mumbai"/>
    <n v="13.01"/>
    <d v="1900-01-31T01:55:12"/>
    <n v="194.02"/>
    <n v="1"/>
    <n v="194.02"/>
    <n v="3.6"/>
    <x v="4"/>
    <x v="2"/>
  </r>
  <r>
    <s v="TRIP01984"/>
    <x v="186"/>
    <x v="3"/>
    <s v="Mumbai"/>
    <n v="17.82"/>
    <d v="1900-02-06T19:26:24"/>
    <n v="301.87"/>
    <n v="1.5"/>
    <n v="452.8"/>
    <n v="3.3"/>
    <x v="0"/>
    <x v="1"/>
  </r>
  <r>
    <s v="TRIP01985"/>
    <x v="315"/>
    <x v="4"/>
    <s v="Bangalore"/>
    <n v="8.25"/>
    <d v="1900-01-22T09:07:12"/>
    <n v="111.41"/>
    <n v="1.2"/>
    <n v="133.69"/>
    <n v="3.8"/>
    <x v="0"/>
    <x v="3"/>
  </r>
  <r>
    <s v="TRIP01986"/>
    <x v="176"/>
    <x v="4"/>
    <s v="Mumbai"/>
    <n v="17.399999999999999"/>
    <d v="1900-02-07T17:45:36"/>
    <n v="296.63"/>
    <n v="2"/>
    <n v="593.26"/>
    <n v="5"/>
    <x v="1"/>
    <x v="0"/>
  </r>
  <r>
    <s v="TRIP01987"/>
    <x v="333"/>
    <x v="0"/>
    <s v="Kolkata"/>
    <n v="15.15"/>
    <d v="1900-02-26T09:36:00"/>
    <n v="230.43"/>
    <n v="1.2"/>
    <n v="276.52"/>
    <n v="4.0999999999999996"/>
    <x v="2"/>
    <x v="1"/>
  </r>
  <r>
    <s v="TRIP01988"/>
    <x v="167"/>
    <x v="0"/>
    <s v="Chennai"/>
    <n v="20.99"/>
    <d v="1900-02-14T11:16:48"/>
    <n v="382.25"/>
    <n v="2"/>
    <n v="764.5"/>
    <n v="3.6"/>
    <x v="3"/>
    <x v="0"/>
  </r>
  <r>
    <s v="TRIP01989"/>
    <x v="338"/>
    <x v="1"/>
    <s v="Mumbai"/>
    <n v="23.8"/>
    <d v="1900-03-05T12:57:36"/>
    <n v="261.89"/>
    <n v="2"/>
    <n v="523.78"/>
    <n v="4.5"/>
    <x v="3"/>
    <x v="1"/>
  </r>
  <r>
    <s v="TRIP01990"/>
    <x v="36"/>
    <x v="0"/>
    <s v="Chennai"/>
    <n v="2.67"/>
    <d v="1900-01-08T11:45:36"/>
    <n v="36.93"/>
    <n v="1.2"/>
    <n v="44.32"/>
    <n v="3.8"/>
    <x v="1"/>
    <x v="2"/>
  </r>
  <r>
    <s v="TRIP01991"/>
    <x v="349"/>
    <x v="2"/>
    <s v="Bangalore"/>
    <n v="11.62"/>
    <d v="1900-02-05T05:16:48"/>
    <n v="186.65"/>
    <n v="2"/>
    <n v="373.3"/>
    <n v="4.9000000000000004"/>
    <x v="2"/>
    <x v="2"/>
  </r>
  <r>
    <s v="TRIP01992"/>
    <x v="303"/>
    <x v="2"/>
    <s v="Kolkata"/>
    <n v="15.59"/>
    <d v="1900-02-13T16:04:48"/>
    <n v="311.41000000000003"/>
    <n v="1.5"/>
    <n v="467.12"/>
    <n v="4.3"/>
    <x v="3"/>
    <x v="2"/>
  </r>
  <r>
    <s v="TRIP01993"/>
    <x v="355"/>
    <x v="2"/>
    <s v="Kolkata"/>
    <n v="15.88"/>
    <d v="1900-02-25T14:38:24"/>
    <n v="282.17"/>
    <n v="1"/>
    <n v="282.17"/>
    <n v="4.7"/>
    <x v="4"/>
    <x v="2"/>
  </r>
  <r>
    <s v="TRIP01994"/>
    <x v="221"/>
    <x v="1"/>
    <s v="Delhi"/>
    <n v="8.3699999999999992"/>
    <d v="1900-01-30T04:04:48"/>
    <n v="158.47999999999999"/>
    <n v="1.5"/>
    <n v="237.72"/>
    <n v="4.7"/>
    <x v="3"/>
    <x v="1"/>
  </r>
  <r>
    <s v="TRIP01995"/>
    <x v="236"/>
    <x v="1"/>
    <s v="Delhi"/>
    <n v="29.29"/>
    <d v="1900-04-18T10:48:00"/>
    <n v="554.53"/>
    <n v="1"/>
    <n v="554.53"/>
    <n v="4"/>
    <x v="1"/>
    <x v="1"/>
  </r>
  <r>
    <s v="TRIP01996"/>
    <x v="129"/>
    <x v="4"/>
    <s v="Bangalore"/>
    <n v="16.82"/>
    <d v="1900-02-03T08:38:24"/>
    <n v="293.58999999999997"/>
    <n v="1"/>
    <n v="293.58999999999997"/>
    <n v="3.8"/>
    <x v="3"/>
    <x v="2"/>
  </r>
  <r>
    <s v="TRIP01997"/>
    <x v="109"/>
    <x v="1"/>
    <s v="Mumbai"/>
    <n v="19.16"/>
    <d v="1900-02-17T07:26:24"/>
    <n v="377.31"/>
    <n v="1"/>
    <n v="377.31"/>
    <n v="3.3"/>
    <x v="2"/>
    <x v="0"/>
  </r>
  <r>
    <s v="TRIP01998"/>
    <x v="255"/>
    <x v="3"/>
    <s v="Delhi"/>
    <n v="29.22"/>
    <d v="1900-03-07T09:21:36"/>
    <n v="370.88"/>
    <n v="1.2"/>
    <n v="445.06"/>
    <n v="3.1"/>
    <x v="3"/>
    <x v="0"/>
  </r>
  <r>
    <s v="TRIP01999"/>
    <x v="163"/>
    <x v="2"/>
    <s v="Delhi"/>
    <n v="5.47"/>
    <d v="1900-01-18T14:52:48"/>
    <n v="97.65"/>
    <n v="1"/>
    <n v="97.65"/>
    <n v="3.1"/>
    <x v="0"/>
    <x v="1"/>
  </r>
  <r>
    <s v="TRIP02000"/>
    <x v="252"/>
    <x v="1"/>
    <s v="Bangalore"/>
    <n v="28.2"/>
    <d v="1900-04-11T23:16:48"/>
    <n v="478.78"/>
    <n v="1.2"/>
    <n v="574.54"/>
    <n v="3.3"/>
    <x v="4"/>
    <x v="1"/>
  </r>
  <r>
    <s v="TRIP02001"/>
    <x v="248"/>
    <x v="0"/>
    <s v="Bangalore"/>
    <n v="16.55"/>
    <d v="1900-02-10T04:33:36"/>
    <n v="244.9"/>
    <n v="1.2"/>
    <n v="293.88"/>
    <n v="3.7"/>
    <x v="0"/>
    <x v="2"/>
  </r>
  <r>
    <s v="TRIP02002"/>
    <x v="211"/>
    <x v="3"/>
    <s v="Bangalore"/>
    <n v="25.37"/>
    <d v="1900-03-07T03:50:24"/>
    <n v="466.47"/>
    <n v="1.2"/>
    <n v="559.76"/>
    <n v="3.8"/>
    <x v="1"/>
    <x v="2"/>
  </r>
  <r>
    <s v="TRIP02003"/>
    <x v="210"/>
    <x v="4"/>
    <s v="Mumbai"/>
    <n v="5.43"/>
    <d v="1900-01-10T18:14:24"/>
    <n v="89.15"/>
    <n v="1.5"/>
    <n v="133.72999999999999"/>
    <n v="5"/>
    <x v="2"/>
    <x v="1"/>
  </r>
  <r>
    <s v="TRIP02004"/>
    <x v="102"/>
    <x v="4"/>
    <s v="Chennai"/>
    <n v="11.53"/>
    <d v="1900-01-28T16:19:12"/>
    <n v="173.03"/>
    <n v="1.5"/>
    <n v="259.54000000000002"/>
    <n v="3.3"/>
    <x v="4"/>
    <x v="3"/>
  </r>
  <r>
    <s v="TRIP02005"/>
    <x v="305"/>
    <x v="1"/>
    <s v="Bangalore"/>
    <n v="21.12"/>
    <d v="1900-03-14T07:40:48"/>
    <n v="391.35"/>
    <n v="1.2"/>
    <n v="469.62"/>
    <n v="3.3"/>
    <x v="1"/>
    <x v="0"/>
  </r>
  <r>
    <s v="TRIP02006"/>
    <x v="50"/>
    <x v="2"/>
    <s v="Delhi"/>
    <n v="21.77"/>
    <d v="1900-02-28T17:02:24"/>
    <n v="365.1"/>
    <n v="1"/>
    <n v="365.1"/>
    <n v="3.1"/>
    <x v="4"/>
    <x v="2"/>
  </r>
  <r>
    <s v="TRIP02007"/>
    <x v="46"/>
    <x v="3"/>
    <s v="Mumbai"/>
    <n v="22.14"/>
    <d v="1900-03-26T11:02:24"/>
    <n v="406.26"/>
    <n v="1"/>
    <n v="406.26"/>
    <n v="3.7"/>
    <x v="2"/>
    <x v="0"/>
  </r>
  <r>
    <s v="TRIP02008"/>
    <x v="350"/>
    <x v="2"/>
    <s v="Chennai"/>
    <n v="14.32"/>
    <d v="1900-02-03T20:24:00"/>
    <n v="196.23"/>
    <n v="1"/>
    <n v="196.23"/>
    <n v="3.3"/>
    <x v="3"/>
    <x v="2"/>
  </r>
  <r>
    <s v="TRIP02009"/>
    <x v="225"/>
    <x v="0"/>
    <s v="Delhi"/>
    <n v="15.65"/>
    <d v="1900-02-15T17:45:36"/>
    <n v="308.94"/>
    <n v="1.5"/>
    <n v="463.41"/>
    <n v="4"/>
    <x v="4"/>
    <x v="3"/>
  </r>
  <r>
    <s v="TRIP02010"/>
    <x v="89"/>
    <x v="3"/>
    <s v="Chennai"/>
    <n v="11.7"/>
    <d v="1900-02-01T07:40:48"/>
    <n v="159.18"/>
    <n v="1.5"/>
    <n v="238.77"/>
    <n v="3.1"/>
    <x v="2"/>
    <x v="0"/>
  </r>
  <r>
    <s v="TRIP02011"/>
    <x v="182"/>
    <x v="1"/>
    <s v="Bangalore"/>
    <n v="19.07"/>
    <d v="1900-03-10T04:48:00"/>
    <n v="320.88"/>
    <n v="1.2"/>
    <n v="385.06"/>
    <n v="4.4000000000000004"/>
    <x v="0"/>
    <x v="0"/>
  </r>
  <r>
    <s v="TRIP02012"/>
    <x v="52"/>
    <x v="2"/>
    <s v="Delhi"/>
    <n v="9.5399999999999991"/>
    <d v="1900-01-19T00:43:12"/>
    <n v="141.88"/>
    <n v="2"/>
    <n v="283.76"/>
    <n v="4.5"/>
    <x v="3"/>
    <x v="3"/>
  </r>
  <r>
    <s v="TRIP02013"/>
    <x v="260"/>
    <x v="0"/>
    <s v="Bangalore"/>
    <n v="23.32"/>
    <d v="1900-02-26T01:26:24"/>
    <n v="244.73"/>
    <n v="1.5"/>
    <n v="367.1"/>
    <n v="3.2"/>
    <x v="1"/>
    <x v="3"/>
  </r>
  <r>
    <s v="TRIP02014"/>
    <x v="4"/>
    <x v="2"/>
    <s v="Bangalore"/>
    <n v="24.62"/>
    <d v="1900-03-15T12:14:24"/>
    <n v="280.95999999999998"/>
    <n v="1.5"/>
    <n v="421.44"/>
    <n v="3"/>
    <x v="4"/>
    <x v="1"/>
  </r>
  <r>
    <s v="TRIP02015"/>
    <x v="81"/>
    <x v="2"/>
    <s v="Mumbai"/>
    <n v="18.399999999999999"/>
    <d v="1900-03-02T23:02:24"/>
    <n v="239.9"/>
    <n v="1.2"/>
    <n v="287.88"/>
    <n v="4.0999999999999996"/>
    <x v="3"/>
    <x v="0"/>
  </r>
  <r>
    <s v="TRIP02016"/>
    <x v="214"/>
    <x v="2"/>
    <s v="Chennai"/>
    <n v="14.41"/>
    <d v="1900-02-14T03:36:00"/>
    <n v="257.89999999999998"/>
    <n v="2"/>
    <n v="515.79999999999995"/>
    <n v="3.1"/>
    <x v="4"/>
    <x v="3"/>
  </r>
  <r>
    <s v="TRIP02017"/>
    <x v="234"/>
    <x v="2"/>
    <s v="Bangalore"/>
    <n v="16.420000000000002"/>
    <d v="1900-02-02T21:07:12"/>
    <n v="290.07"/>
    <n v="1"/>
    <n v="290.07"/>
    <n v="3.9"/>
    <x v="2"/>
    <x v="1"/>
  </r>
  <r>
    <s v="TRIP02018"/>
    <x v="346"/>
    <x v="0"/>
    <s v="Mumbai"/>
    <n v="19.55"/>
    <d v="1900-02-09T17:31:12"/>
    <n v="244.99"/>
    <n v="1"/>
    <n v="244.99"/>
    <n v="4.0999999999999996"/>
    <x v="2"/>
    <x v="2"/>
  </r>
  <r>
    <s v="TRIP02019"/>
    <x v="14"/>
    <x v="2"/>
    <s v="Kolkata"/>
    <n v="21.26"/>
    <d v="1900-03-15T16:48:00"/>
    <n v="282.77999999999997"/>
    <n v="1"/>
    <n v="282.77999999999997"/>
    <n v="4.2"/>
    <x v="2"/>
    <x v="3"/>
  </r>
  <r>
    <s v="TRIP02020"/>
    <x v="106"/>
    <x v="3"/>
    <s v="Mumbai"/>
    <n v="25.98"/>
    <d v="1900-03-03T14:09:36"/>
    <n v="504.34"/>
    <n v="1.5"/>
    <n v="756.51"/>
    <n v="4.4000000000000004"/>
    <x v="2"/>
    <x v="3"/>
  </r>
  <r>
    <s v="TRIP02021"/>
    <x v="112"/>
    <x v="4"/>
    <s v="Kolkata"/>
    <n v="3.6"/>
    <d v="1900-01-07T02:38:24"/>
    <n v="65.760000000000005"/>
    <n v="1.5"/>
    <n v="98.64"/>
    <n v="4.2"/>
    <x v="4"/>
    <x v="1"/>
  </r>
  <r>
    <s v="TRIP02022"/>
    <x v="61"/>
    <x v="2"/>
    <s v="Mumbai"/>
    <n v="21.71"/>
    <d v="1900-03-21T02:09:36"/>
    <n v="226.46"/>
    <n v="2"/>
    <n v="452.92"/>
    <n v="4.5"/>
    <x v="2"/>
    <x v="0"/>
  </r>
  <r>
    <s v="TRIP02023"/>
    <x v="335"/>
    <x v="3"/>
    <s v="Bangalore"/>
    <n v="12.55"/>
    <d v="1900-01-31T16:33:36"/>
    <n v="225.36"/>
    <n v="1"/>
    <n v="225.36"/>
    <n v="3.7"/>
    <x v="4"/>
    <x v="2"/>
  </r>
  <r>
    <s v="TRIP02024"/>
    <x v="159"/>
    <x v="1"/>
    <s v="Mumbai"/>
    <n v="17.32"/>
    <d v="1900-02-19T05:31:12"/>
    <n v="191.31"/>
    <n v="1.5"/>
    <n v="286.97000000000003"/>
    <n v="3.1"/>
    <x v="3"/>
    <x v="0"/>
  </r>
  <r>
    <s v="TRIP02025"/>
    <x v="268"/>
    <x v="2"/>
    <s v="Bangalore"/>
    <n v="23.25"/>
    <d v="1900-03-28T14:24:00"/>
    <n v="327.7"/>
    <n v="1.5"/>
    <n v="491.55"/>
    <n v="4.2"/>
    <x v="1"/>
    <x v="3"/>
  </r>
  <r>
    <s v="TRIP02026"/>
    <x v="145"/>
    <x v="3"/>
    <s v="Kolkata"/>
    <n v="7.13"/>
    <d v="1900-01-18T17:02:24"/>
    <n v="110.06"/>
    <n v="1.5"/>
    <n v="165.09"/>
    <n v="4.2"/>
    <x v="0"/>
    <x v="1"/>
  </r>
  <r>
    <s v="TRIP02027"/>
    <x v="286"/>
    <x v="3"/>
    <s v="Mumbai"/>
    <n v="19.84"/>
    <d v="1900-02-10T13:55:12"/>
    <n v="273.43"/>
    <n v="1.2"/>
    <n v="328.12"/>
    <n v="4.7"/>
    <x v="3"/>
    <x v="2"/>
  </r>
  <r>
    <s v="TRIP02028"/>
    <x v="22"/>
    <x v="0"/>
    <s v="Mumbai"/>
    <n v="17.53"/>
    <d v="1900-02-14T18:57:36"/>
    <n v="176.85"/>
    <n v="1.5"/>
    <n v="265.27"/>
    <n v="3.2"/>
    <x v="1"/>
    <x v="1"/>
  </r>
  <r>
    <s v="TRIP02029"/>
    <x v="189"/>
    <x v="0"/>
    <s v="Bangalore"/>
    <n v="16.11"/>
    <d v="1900-03-04T08:24:00"/>
    <n v="245.65"/>
    <n v="1.5"/>
    <n v="368.48"/>
    <n v="3.9"/>
    <x v="0"/>
    <x v="1"/>
  </r>
  <r>
    <s v="TRIP02030"/>
    <x v="332"/>
    <x v="2"/>
    <s v="Chennai"/>
    <n v="18.12"/>
    <d v="1900-02-27T01:40:48"/>
    <n v="334.39"/>
    <n v="1.2"/>
    <n v="401.27"/>
    <n v="3.4"/>
    <x v="1"/>
    <x v="2"/>
  </r>
  <r>
    <s v="TRIP02031"/>
    <x v="41"/>
    <x v="2"/>
    <s v="Kolkata"/>
    <n v="8.8699999999999992"/>
    <d v="1900-01-24T17:02:24"/>
    <n v="146.6"/>
    <n v="2"/>
    <n v="293.2"/>
    <n v="3.3"/>
    <x v="0"/>
    <x v="1"/>
  </r>
  <r>
    <s v="TRIP02032"/>
    <x v="257"/>
    <x v="4"/>
    <s v="Kolkata"/>
    <n v="6.33"/>
    <d v="1900-01-16T11:02:24"/>
    <n v="119.91"/>
    <n v="1.2"/>
    <n v="143.88999999999999"/>
    <n v="4.0999999999999996"/>
    <x v="3"/>
    <x v="1"/>
  </r>
  <r>
    <s v="TRIP02033"/>
    <x v="272"/>
    <x v="1"/>
    <s v="Bangalore"/>
    <n v="14.84"/>
    <d v="1900-02-02T11:02:24"/>
    <n v="196.04"/>
    <n v="1.5"/>
    <n v="294.06"/>
    <n v="4.5999999999999996"/>
    <x v="4"/>
    <x v="1"/>
  </r>
  <r>
    <s v="TRIP02034"/>
    <x v="15"/>
    <x v="0"/>
    <s v="Mumbai"/>
    <n v="14.97"/>
    <d v="1900-02-14T19:12:00"/>
    <n v="238.58"/>
    <n v="1.2"/>
    <n v="286.3"/>
    <n v="3.5"/>
    <x v="1"/>
    <x v="1"/>
  </r>
  <r>
    <s v="TRIP02035"/>
    <x v="48"/>
    <x v="2"/>
    <s v="Kolkata"/>
    <n v="21.31"/>
    <d v="1900-03-05T23:02:24"/>
    <n v="343"/>
    <n v="1.2"/>
    <n v="411.6"/>
    <n v="3.1"/>
    <x v="1"/>
    <x v="2"/>
  </r>
  <r>
    <s v="TRIP02036"/>
    <x v="153"/>
    <x v="4"/>
    <s v="Delhi"/>
    <n v="6.62"/>
    <d v="1900-01-15T00:00:00"/>
    <n v="109.98"/>
    <n v="1"/>
    <n v="109.98"/>
    <n v="3.7"/>
    <x v="2"/>
    <x v="0"/>
  </r>
  <r>
    <s v="TRIP02037"/>
    <x v="134"/>
    <x v="3"/>
    <s v="Bangalore"/>
    <n v="7.02"/>
    <d v="1900-01-22T03:36:00"/>
    <n v="131.36000000000001"/>
    <n v="1.5"/>
    <n v="197.04"/>
    <n v="3.6"/>
    <x v="2"/>
    <x v="1"/>
  </r>
  <r>
    <s v="TRIP02038"/>
    <x v="86"/>
    <x v="1"/>
    <s v="Mumbai"/>
    <n v="16.559999999999999"/>
    <d v="1900-02-26T00:28:48"/>
    <n v="188.79"/>
    <n v="1"/>
    <n v="188.79"/>
    <n v="4.2"/>
    <x v="4"/>
    <x v="1"/>
  </r>
  <r>
    <s v="TRIP02039"/>
    <x v="213"/>
    <x v="2"/>
    <s v="Mumbai"/>
    <n v="15.83"/>
    <d v="1900-03-01T01:40:48"/>
    <n v="296.7"/>
    <n v="2"/>
    <n v="593.4"/>
    <n v="4.9000000000000004"/>
    <x v="4"/>
    <x v="1"/>
  </r>
  <r>
    <s v="TRIP02040"/>
    <x v="63"/>
    <x v="3"/>
    <s v="Mumbai"/>
    <n v="1.19"/>
    <d v="1900-01-01T15:21:36"/>
    <n v="18.72"/>
    <n v="2"/>
    <n v="37.44"/>
    <n v="4.9000000000000004"/>
    <x v="2"/>
    <x v="2"/>
  </r>
  <r>
    <s v="TRIP02041"/>
    <x v="263"/>
    <x v="0"/>
    <s v="Mumbai"/>
    <n v="25.31"/>
    <d v="1900-03-17T05:02:24"/>
    <n v="305.83"/>
    <n v="1.2"/>
    <n v="367"/>
    <n v="4.2"/>
    <x v="2"/>
    <x v="0"/>
  </r>
  <r>
    <s v="TRIP02042"/>
    <x v="343"/>
    <x v="0"/>
    <s v="Kolkata"/>
    <n v="12.75"/>
    <d v="1900-02-01T06:14:24"/>
    <n v="214.52"/>
    <n v="2"/>
    <n v="429.04"/>
    <n v="4.9000000000000004"/>
    <x v="0"/>
    <x v="2"/>
  </r>
  <r>
    <s v="TRIP02043"/>
    <x v="277"/>
    <x v="4"/>
    <s v="Delhi"/>
    <n v="28.03"/>
    <d v="1900-04-05T06:28:48"/>
    <n v="494.62"/>
    <n v="1.5"/>
    <n v="741.93"/>
    <n v="4.0999999999999996"/>
    <x v="4"/>
    <x v="3"/>
  </r>
  <r>
    <s v="TRIP02044"/>
    <x v="194"/>
    <x v="0"/>
    <s v="Mumbai"/>
    <n v="15.07"/>
    <d v="1900-02-05T20:38:24"/>
    <n v="230.35"/>
    <n v="1.2"/>
    <n v="276.42"/>
    <n v="3.1"/>
    <x v="1"/>
    <x v="0"/>
  </r>
  <r>
    <s v="TRIP02045"/>
    <x v="244"/>
    <x v="0"/>
    <s v="Bangalore"/>
    <n v="14.64"/>
    <d v="1900-02-10T17:02:24"/>
    <n v="290.41000000000003"/>
    <n v="1.5"/>
    <n v="435.62"/>
    <n v="4.9000000000000004"/>
    <x v="4"/>
    <x v="0"/>
  </r>
  <r>
    <s v="TRIP02046"/>
    <x v="162"/>
    <x v="1"/>
    <s v="Chennai"/>
    <n v="10.24"/>
    <d v="1900-02-06T19:12:00"/>
    <n v="153.26"/>
    <n v="1.5"/>
    <n v="229.89"/>
    <n v="4.9000000000000004"/>
    <x v="1"/>
    <x v="1"/>
  </r>
  <r>
    <s v="TRIP02047"/>
    <x v="215"/>
    <x v="1"/>
    <s v="Kolkata"/>
    <n v="16.690000000000001"/>
    <d v="1900-02-10T13:12:00"/>
    <n v="288.83999999999997"/>
    <n v="1.2"/>
    <n v="346.61"/>
    <n v="3.9"/>
    <x v="1"/>
    <x v="0"/>
  </r>
  <r>
    <s v="TRIP02048"/>
    <x v="221"/>
    <x v="0"/>
    <s v="Kolkata"/>
    <n v="22.18"/>
    <d v="1900-03-07T02:09:36"/>
    <n v="379.75"/>
    <n v="1.5"/>
    <n v="569.62"/>
    <n v="3.3"/>
    <x v="0"/>
    <x v="2"/>
  </r>
  <r>
    <s v="TRIP02049"/>
    <x v="310"/>
    <x v="0"/>
    <s v="Kolkata"/>
    <n v="8.51"/>
    <d v="1900-01-17T05:02:24"/>
    <n v="120.29"/>
    <n v="1.5"/>
    <n v="180.44"/>
    <n v="4.8"/>
    <x v="1"/>
    <x v="3"/>
  </r>
  <r>
    <s v="TRIP02050"/>
    <x v="170"/>
    <x v="4"/>
    <s v="Kolkata"/>
    <n v="22.1"/>
    <d v="1900-02-15T10:48:00"/>
    <n v="270.23"/>
    <n v="2"/>
    <n v="540.46"/>
    <n v="4.5"/>
    <x v="1"/>
    <x v="3"/>
  </r>
  <r>
    <s v="TRIP02051"/>
    <x v="71"/>
    <x v="3"/>
    <s v="Bangalore"/>
    <n v="21.45"/>
    <d v="1900-03-07T06:00:00"/>
    <n v="418.43"/>
    <n v="1.2"/>
    <n v="502.12"/>
    <n v="4"/>
    <x v="3"/>
    <x v="2"/>
  </r>
  <r>
    <s v="TRIP02052"/>
    <x v="179"/>
    <x v="1"/>
    <s v="Bangalore"/>
    <n v="11.23"/>
    <d v="1900-01-24T16:04:48"/>
    <n v="216.14"/>
    <n v="2"/>
    <n v="432.28"/>
    <n v="3.6"/>
    <x v="0"/>
    <x v="2"/>
  </r>
  <r>
    <s v="TRIP02053"/>
    <x v="118"/>
    <x v="0"/>
    <s v="Delhi"/>
    <n v="7.56"/>
    <d v="1900-01-26T22:04:48"/>
    <n v="98.93"/>
    <n v="2"/>
    <n v="197.86"/>
    <n v="4.5"/>
    <x v="2"/>
    <x v="2"/>
  </r>
  <r>
    <s v="TRIP02054"/>
    <x v="199"/>
    <x v="0"/>
    <s v="Bangalore"/>
    <n v="4.72"/>
    <d v="1900-01-10T13:26:24"/>
    <n v="85.48"/>
    <n v="1"/>
    <n v="85.48"/>
    <n v="4.5999999999999996"/>
    <x v="4"/>
    <x v="3"/>
  </r>
  <r>
    <s v="TRIP02055"/>
    <x v="251"/>
    <x v="2"/>
    <s v="Kolkata"/>
    <n v="1.94"/>
    <d v="1900-01-05T18:28:48"/>
    <n v="21.99"/>
    <n v="2"/>
    <n v="43.98"/>
    <n v="3.4"/>
    <x v="0"/>
    <x v="2"/>
  </r>
  <r>
    <s v="TRIP02056"/>
    <x v="113"/>
    <x v="0"/>
    <s v="Bangalore"/>
    <n v="2.44"/>
    <d v="1900-01-05T04:04:48"/>
    <n v="25.99"/>
    <n v="1.2"/>
    <n v="31.19"/>
    <n v="4.2"/>
    <x v="2"/>
    <x v="1"/>
  </r>
  <r>
    <s v="TRIP02057"/>
    <x v="137"/>
    <x v="0"/>
    <s v="Chennai"/>
    <n v="10.46"/>
    <d v="1900-02-04T03:36:00"/>
    <n v="114.42"/>
    <n v="1.2"/>
    <n v="137.30000000000001"/>
    <n v="4.0999999999999996"/>
    <x v="0"/>
    <x v="0"/>
  </r>
  <r>
    <s v="TRIP02058"/>
    <x v="131"/>
    <x v="4"/>
    <s v="Bangalore"/>
    <n v="22.74"/>
    <d v="1900-02-19T16:19:12"/>
    <n v="431.58"/>
    <n v="2"/>
    <n v="863.16"/>
    <n v="3.1"/>
    <x v="0"/>
    <x v="0"/>
  </r>
  <r>
    <s v="TRIP02059"/>
    <x v="336"/>
    <x v="0"/>
    <s v="Mumbai"/>
    <n v="28.56"/>
    <d v="1900-03-30T03:50:24"/>
    <n v="390.06"/>
    <n v="1.2"/>
    <n v="468.07"/>
    <n v="4.4000000000000004"/>
    <x v="2"/>
    <x v="0"/>
  </r>
  <r>
    <s v="TRIP02060"/>
    <x v="167"/>
    <x v="4"/>
    <s v="Chennai"/>
    <n v="3.75"/>
    <d v="1900-01-13T23:31:12"/>
    <n v="47.54"/>
    <n v="2"/>
    <n v="95.08"/>
    <n v="3.8"/>
    <x v="2"/>
    <x v="2"/>
  </r>
  <r>
    <s v="TRIP02061"/>
    <x v="163"/>
    <x v="2"/>
    <s v="Mumbai"/>
    <n v="16.21"/>
    <d v="1900-03-04T05:16:48"/>
    <n v="251.71"/>
    <n v="2"/>
    <n v="503.42"/>
    <n v="4.7"/>
    <x v="3"/>
    <x v="1"/>
  </r>
  <r>
    <s v="TRIP02062"/>
    <x v="47"/>
    <x v="3"/>
    <s v="Delhi"/>
    <n v="24.16"/>
    <d v="1900-03-29T17:02:24"/>
    <n v="358.07"/>
    <n v="2"/>
    <n v="716.14"/>
    <n v="4"/>
    <x v="2"/>
    <x v="2"/>
  </r>
  <r>
    <s v="TRIP02063"/>
    <x v="151"/>
    <x v="4"/>
    <s v="Delhi"/>
    <n v="6.66"/>
    <d v="1900-01-14T12:28:48"/>
    <n v="118.36"/>
    <n v="1.2"/>
    <n v="142.03"/>
    <n v="4.5"/>
    <x v="2"/>
    <x v="1"/>
  </r>
  <r>
    <s v="TRIP02064"/>
    <x v="75"/>
    <x v="4"/>
    <s v="Delhi"/>
    <n v="14.09"/>
    <d v="1900-02-12T12:14:24"/>
    <n v="264.49"/>
    <n v="1.5"/>
    <n v="396.74"/>
    <n v="3.3"/>
    <x v="4"/>
    <x v="0"/>
  </r>
  <r>
    <s v="TRIP02065"/>
    <x v="129"/>
    <x v="4"/>
    <s v="Mumbai"/>
    <n v="1.45"/>
    <d v="1900-01-03T03:21:36"/>
    <n v="23.29"/>
    <n v="1.2"/>
    <n v="27.95"/>
    <n v="4.4000000000000004"/>
    <x v="2"/>
    <x v="3"/>
  </r>
  <r>
    <s v="TRIP02066"/>
    <x v="357"/>
    <x v="4"/>
    <s v="Chennai"/>
    <n v="1.89"/>
    <d v="1900-01-03T20:24:00"/>
    <n v="28.32"/>
    <n v="1"/>
    <n v="28.32"/>
    <n v="4.4000000000000004"/>
    <x v="3"/>
    <x v="0"/>
  </r>
  <r>
    <s v="TRIP02067"/>
    <x v="96"/>
    <x v="0"/>
    <s v="Mumbai"/>
    <n v="28.1"/>
    <d v="1900-04-20T02:24:00"/>
    <n v="488.87"/>
    <n v="1"/>
    <n v="488.87"/>
    <n v="4.5999999999999996"/>
    <x v="1"/>
    <x v="2"/>
  </r>
  <r>
    <s v="TRIP02068"/>
    <x v="329"/>
    <x v="4"/>
    <s v="Bangalore"/>
    <n v="18.04"/>
    <d v="1900-02-16T20:09:36"/>
    <n v="267.43"/>
    <n v="1.5"/>
    <n v="401.14"/>
    <n v="5"/>
    <x v="0"/>
    <x v="0"/>
  </r>
  <r>
    <s v="TRIP02069"/>
    <x v="321"/>
    <x v="2"/>
    <s v="Chennai"/>
    <n v="21.25"/>
    <d v="1900-02-28T22:19:12"/>
    <n v="255.48"/>
    <n v="1.2"/>
    <n v="306.58"/>
    <n v="3.5"/>
    <x v="3"/>
    <x v="0"/>
  </r>
  <r>
    <s v="TRIP02070"/>
    <x v="283"/>
    <x v="1"/>
    <s v="Bangalore"/>
    <n v="9.73"/>
    <d v="1900-02-02T00:43:12"/>
    <n v="174.57"/>
    <n v="1.2"/>
    <n v="209.48"/>
    <n v="4"/>
    <x v="2"/>
    <x v="0"/>
  </r>
  <r>
    <s v="TRIP02071"/>
    <x v="342"/>
    <x v="1"/>
    <s v="Delhi"/>
    <n v="14.97"/>
    <d v="1900-02-07T10:48:00"/>
    <n v="203.7"/>
    <n v="1.2"/>
    <n v="244.44"/>
    <n v="3.2"/>
    <x v="4"/>
    <x v="1"/>
  </r>
  <r>
    <s v="TRIP02072"/>
    <x v="358"/>
    <x v="2"/>
    <s v="Kolkata"/>
    <n v="7.74"/>
    <d v="1900-01-28T08:52:48"/>
    <n v="144.18"/>
    <n v="1"/>
    <n v="144.18"/>
    <n v="4.5999999999999996"/>
    <x v="3"/>
    <x v="2"/>
  </r>
  <r>
    <s v="TRIP02073"/>
    <x v="97"/>
    <x v="3"/>
    <s v="Kolkata"/>
    <n v="11.93"/>
    <d v="1900-02-08T17:45:36"/>
    <n v="199.43"/>
    <n v="1.2"/>
    <n v="239.32"/>
    <n v="3.7"/>
    <x v="3"/>
    <x v="2"/>
  </r>
  <r>
    <s v="TRIP02074"/>
    <x v="175"/>
    <x v="3"/>
    <s v="Kolkata"/>
    <n v="8.32"/>
    <d v="1900-01-15T22:48:00"/>
    <n v="141.37"/>
    <n v="1.2"/>
    <n v="169.64"/>
    <n v="3.7"/>
    <x v="1"/>
    <x v="3"/>
  </r>
  <r>
    <s v="TRIP02075"/>
    <x v="108"/>
    <x v="4"/>
    <s v="Mumbai"/>
    <n v="16.239999999999998"/>
    <d v="1900-03-03T05:45:36"/>
    <n v="259.06"/>
    <n v="1.5"/>
    <n v="388.59"/>
    <n v="3.2"/>
    <x v="2"/>
    <x v="2"/>
  </r>
  <r>
    <s v="TRIP02076"/>
    <x v="61"/>
    <x v="0"/>
    <s v="Delhi"/>
    <n v="5.81"/>
    <d v="1900-01-14T02:52:48"/>
    <n v="89.44"/>
    <n v="2"/>
    <n v="178.88"/>
    <n v="4.3"/>
    <x v="2"/>
    <x v="3"/>
  </r>
  <r>
    <s v="TRIP02077"/>
    <x v="315"/>
    <x v="3"/>
    <s v="Mumbai"/>
    <n v="4.42"/>
    <d v="1900-01-15T05:02:24"/>
    <n v="75.39"/>
    <n v="1.5"/>
    <n v="113.08"/>
    <n v="4.3"/>
    <x v="4"/>
    <x v="2"/>
  </r>
  <r>
    <s v="TRIP02078"/>
    <x v="45"/>
    <x v="2"/>
    <s v="Mumbai"/>
    <n v="21.31"/>
    <d v="1900-02-19T05:16:48"/>
    <n v="304.68"/>
    <n v="1.2"/>
    <n v="365.62"/>
    <n v="3.3"/>
    <x v="1"/>
    <x v="2"/>
  </r>
  <r>
    <s v="TRIP02079"/>
    <x v="271"/>
    <x v="1"/>
    <s v="Mumbai"/>
    <n v="28.68"/>
    <d v="1900-03-04T17:45:36"/>
    <n v="486.83"/>
    <n v="1.2"/>
    <n v="584.20000000000005"/>
    <n v="4"/>
    <x v="3"/>
    <x v="2"/>
  </r>
  <r>
    <s v="TRIP02080"/>
    <x v="339"/>
    <x v="1"/>
    <s v="Kolkata"/>
    <n v="27.82"/>
    <d v="1900-04-12T00:57:36"/>
    <n v="424.05"/>
    <n v="1.2"/>
    <n v="508.86"/>
    <n v="3.4"/>
    <x v="1"/>
    <x v="2"/>
  </r>
  <r>
    <s v="TRIP02081"/>
    <x v="205"/>
    <x v="2"/>
    <s v="Delhi"/>
    <n v="28.89"/>
    <d v="1900-03-29T12:00:00"/>
    <n v="519.04999999999995"/>
    <n v="1"/>
    <n v="519.04999999999995"/>
    <n v="4.0999999999999996"/>
    <x v="4"/>
    <x v="1"/>
  </r>
  <r>
    <s v="TRIP02082"/>
    <x v="290"/>
    <x v="3"/>
    <s v="Delhi"/>
    <n v="19.88"/>
    <d v="1900-02-26T15:50:24"/>
    <n v="368.7"/>
    <n v="1"/>
    <n v="368.7"/>
    <n v="4.5999999999999996"/>
    <x v="4"/>
    <x v="3"/>
  </r>
  <r>
    <s v="TRIP02083"/>
    <x v="255"/>
    <x v="0"/>
    <s v="Delhi"/>
    <n v="9.4600000000000009"/>
    <d v="1900-01-20T08:38:24"/>
    <n v="175.51"/>
    <n v="1.5"/>
    <n v="263.26"/>
    <n v="4.4000000000000004"/>
    <x v="2"/>
    <x v="3"/>
  </r>
  <r>
    <s v="TRIP02084"/>
    <x v="83"/>
    <x v="3"/>
    <s v="Bangalore"/>
    <n v="28.2"/>
    <d v="1900-02-27T10:04:48"/>
    <n v="423.27"/>
    <n v="1"/>
    <n v="423.27"/>
    <n v="4.7"/>
    <x v="3"/>
    <x v="3"/>
  </r>
  <r>
    <s v="TRIP02085"/>
    <x v="216"/>
    <x v="4"/>
    <s v="Kolkata"/>
    <n v="14.03"/>
    <d v="1900-02-04T02:52:48"/>
    <n v="154.97999999999999"/>
    <n v="1.2"/>
    <n v="185.98"/>
    <n v="3.3"/>
    <x v="4"/>
    <x v="3"/>
  </r>
  <r>
    <s v="TRIP02086"/>
    <x v="217"/>
    <x v="0"/>
    <s v="Bangalore"/>
    <n v="17.149999999999999"/>
    <d v="1900-02-16T09:50:24"/>
    <n v="250.45"/>
    <n v="2"/>
    <n v="500.9"/>
    <n v="3.2"/>
    <x v="3"/>
    <x v="2"/>
  </r>
  <r>
    <s v="TRIP02087"/>
    <x v="151"/>
    <x v="4"/>
    <s v="Chennai"/>
    <n v="13.54"/>
    <d v="1900-02-17T04:48:00"/>
    <n v="161.97999999999999"/>
    <n v="1.2"/>
    <n v="194.38"/>
    <n v="4.5"/>
    <x v="0"/>
    <x v="1"/>
  </r>
  <r>
    <s v="TRIP02088"/>
    <x v="99"/>
    <x v="4"/>
    <s v="Delhi"/>
    <n v="25.53"/>
    <d v="1900-03-15T04:04:48"/>
    <n v="440.89"/>
    <n v="1.5"/>
    <n v="661.34"/>
    <n v="4.2"/>
    <x v="3"/>
    <x v="1"/>
  </r>
  <r>
    <s v="TRIP02089"/>
    <x v="253"/>
    <x v="2"/>
    <s v="Mumbai"/>
    <n v="22.59"/>
    <d v="1900-03-18T14:09:36"/>
    <n v="281.83999999999997"/>
    <n v="1"/>
    <n v="281.83999999999997"/>
    <n v="4.0999999999999996"/>
    <x v="3"/>
    <x v="3"/>
  </r>
  <r>
    <s v="TRIP02090"/>
    <x v="227"/>
    <x v="1"/>
    <s v="Delhi"/>
    <n v="3.36"/>
    <d v="1900-01-08T15:36:00"/>
    <n v="52.28"/>
    <n v="1.2"/>
    <n v="62.74"/>
    <n v="4.2"/>
    <x v="2"/>
    <x v="3"/>
  </r>
  <r>
    <s v="TRIP02091"/>
    <x v="222"/>
    <x v="4"/>
    <s v="Kolkata"/>
    <n v="22.92"/>
    <d v="1900-03-15T09:36:00"/>
    <n v="282.94"/>
    <n v="1"/>
    <n v="282.94"/>
    <n v="3.2"/>
    <x v="4"/>
    <x v="0"/>
  </r>
  <r>
    <s v="TRIP02092"/>
    <x v="305"/>
    <x v="4"/>
    <s v="Mumbai"/>
    <n v="6.08"/>
    <d v="1900-01-19T13:26:24"/>
    <n v="112.04"/>
    <n v="2"/>
    <n v="224.08"/>
    <n v="4.2"/>
    <x v="2"/>
    <x v="2"/>
  </r>
  <r>
    <s v="TRIP02093"/>
    <x v="169"/>
    <x v="3"/>
    <s v="Mumbai"/>
    <n v="9.7799999999999994"/>
    <d v="1900-01-28T05:31:12"/>
    <n v="110.71"/>
    <n v="1.5"/>
    <n v="166.06"/>
    <n v="3.6"/>
    <x v="2"/>
    <x v="2"/>
  </r>
  <r>
    <s v="TRIP02094"/>
    <x v="300"/>
    <x v="3"/>
    <s v="Bangalore"/>
    <n v="20.37"/>
    <d v="1900-03-02T16:04:48"/>
    <n v="365.06"/>
    <n v="2"/>
    <n v="730.12"/>
    <n v="4.2"/>
    <x v="0"/>
    <x v="0"/>
  </r>
  <r>
    <s v="TRIP02095"/>
    <x v="204"/>
    <x v="3"/>
    <s v="Bangalore"/>
    <n v="5.65"/>
    <d v="1900-01-17T14:52:48"/>
    <n v="109.01"/>
    <n v="1"/>
    <n v="109.01"/>
    <n v="3.5"/>
    <x v="4"/>
    <x v="2"/>
  </r>
  <r>
    <s v="TRIP02096"/>
    <x v="316"/>
    <x v="0"/>
    <s v="Mumbai"/>
    <n v="13.57"/>
    <d v="1900-02-17T00:57:36"/>
    <n v="175.59"/>
    <n v="1.2"/>
    <n v="210.71"/>
    <n v="4.7"/>
    <x v="0"/>
    <x v="0"/>
  </r>
  <r>
    <s v="TRIP02097"/>
    <x v="106"/>
    <x v="1"/>
    <s v="Mumbai"/>
    <n v="4.09"/>
    <d v="1900-01-11T05:31:12"/>
    <n v="65.819999999999993"/>
    <n v="1.2"/>
    <n v="78.98"/>
    <n v="3.9"/>
    <x v="3"/>
    <x v="1"/>
  </r>
  <r>
    <s v="TRIP02098"/>
    <x v="27"/>
    <x v="1"/>
    <s v="Chennai"/>
    <n v="18.25"/>
    <d v="1900-02-16T08:38:24"/>
    <n v="187.13"/>
    <n v="1"/>
    <n v="187.13"/>
    <n v="3.8"/>
    <x v="2"/>
    <x v="0"/>
  </r>
  <r>
    <s v="TRIP02099"/>
    <x v="17"/>
    <x v="1"/>
    <s v="Mumbai"/>
    <n v="27.77"/>
    <d v="1900-04-09T06:00:00"/>
    <n v="341.59"/>
    <n v="2"/>
    <n v="683.18"/>
    <n v="4.7"/>
    <x v="0"/>
    <x v="3"/>
  </r>
  <r>
    <s v="TRIP02100"/>
    <x v="346"/>
    <x v="2"/>
    <s v="Mumbai"/>
    <n v="9.6"/>
    <d v="1900-01-29T10:04:48"/>
    <n v="136.4"/>
    <n v="1"/>
    <n v="136.4"/>
    <n v="3.4"/>
    <x v="2"/>
    <x v="1"/>
  </r>
  <r>
    <s v="TRIP02101"/>
    <x v="236"/>
    <x v="1"/>
    <s v="Chennai"/>
    <n v="18.149999999999999"/>
    <d v="1900-03-07T11:02:24"/>
    <n v="268.75"/>
    <n v="1"/>
    <n v="268.75"/>
    <n v="4.2"/>
    <x v="4"/>
    <x v="0"/>
  </r>
  <r>
    <s v="TRIP02102"/>
    <x v="35"/>
    <x v="3"/>
    <s v="Mumbai"/>
    <n v="10.02"/>
    <d v="1900-01-25T10:48:00"/>
    <n v="134.22"/>
    <n v="1.5"/>
    <n v="201.33"/>
    <n v="4.7"/>
    <x v="4"/>
    <x v="3"/>
  </r>
  <r>
    <s v="TRIP02103"/>
    <x v="69"/>
    <x v="2"/>
    <s v="Mumbai"/>
    <n v="7.45"/>
    <d v="1900-01-28T19:12:00"/>
    <n v="87.28"/>
    <n v="2"/>
    <n v="174.56"/>
    <n v="4.0999999999999996"/>
    <x v="1"/>
    <x v="0"/>
  </r>
  <r>
    <s v="TRIP02104"/>
    <x v="81"/>
    <x v="0"/>
    <s v="Bangalore"/>
    <n v="3.34"/>
    <d v="1900-01-11T12:28:48"/>
    <n v="62.08"/>
    <n v="1.5"/>
    <n v="93.12"/>
    <n v="3.3"/>
    <x v="0"/>
    <x v="3"/>
  </r>
  <r>
    <s v="TRIP02105"/>
    <x v="322"/>
    <x v="3"/>
    <s v="Kolkata"/>
    <n v="17.149999999999999"/>
    <d v="1900-03-03T13:26:24"/>
    <n v="225.53"/>
    <n v="1.5"/>
    <n v="338.3"/>
    <n v="4.5"/>
    <x v="0"/>
    <x v="1"/>
  </r>
  <r>
    <s v="TRIP02106"/>
    <x v="127"/>
    <x v="1"/>
    <s v="Mumbai"/>
    <n v="27.86"/>
    <d v="1900-03-16T19:55:12"/>
    <n v="326.95"/>
    <n v="1.2"/>
    <n v="392.34"/>
    <n v="4.2"/>
    <x v="1"/>
    <x v="2"/>
  </r>
  <r>
    <s v="TRIP02107"/>
    <x v="354"/>
    <x v="0"/>
    <s v="Chennai"/>
    <n v="21.93"/>
    <d v="1900-02-18T00:28:48"/>
    <n v="304.69"/>
    <n v="1.5"/>
    <n v="457.04"/>
    <n v="3.5"/>
    <x v="0"/>
    <x v="2"/>
  </r>
  <r>
    <s v="TRIP02108"/>
    <x v="25"/>
    <x v="0"/>
    <s v="Delhi"/>
    <n v="1.08"/>
    <d v="1900-01-03T02:09:36"/>
    <n v="20.350000000000001"/>
    <n v="2"/>
    <n v="40.700000000000003"/>
    <n v="3.9"/>
    <x v="0"/>
    <x v="1"/>
  </r>
  <r>
    <s v="TRIP02109"/>
    <x v="31"/>
    <x v="2"/>
    <s v="Kolkata"/>
    <n v="23"/>
    <d v="1900-03-11T19:26:24"/>
    <n v="299.05"/>
    <n v="1.2"/>
    <n v="358.86"/>
    <n v="3.6"/>
    <x v="4"/>
    <x v="1"/>
  </r>
  <r>
    <s v="TRIP02110"/>
    <x v="116"/>
    <x v="1"/>
    <s v="Mumbai"/>
    <n v="27.28"/>
    <d v="1900-03-01T16:33:36"/>
    <n v="428.67"/>
    <n v="1"/>
    <n v="428.67"/>
    <n v="4.4000000000000004"/>
    <x v="4"/>
    <x v="3"/>
  </r>
  <r>
    <s v="TRIP02111"/>
    <x v="124"/>
    <x v="2"/>
    <s v="Mumbai"/>
    <n v="3.04"/>
    <d v="1900-01-09T06:28:48"/>
    <n v="35.72"/>
    <n v="1"/>
    <n v="35.72"/>
    <n v="4.7"/>
    <x v="1"/>
    <x v="1"/>
  </r>
  <r>
    <s v="TRIP02112"/>
    <x v="84"/>
    <x v="2"/>
    <s v="Chennai"/>
    <n v="22.9"/>
    <d v="1900-03-20T06:43:12"/>
    <n v="347.59"/>
    <n v="1.5"/>
    <n v="521.38"/>
    <n v="4.0999999999999996"/>
    <x v="4"/>
    <x v="1"/>
  </r>
  <r>
    <s v="TRIP02113"/>
    <x v="243"/>
    <x v="2"/>
    <s v="Kolkata"/>
    <n v="27.61"/>
    <d v="1900-03-25T09:36:00"/>
    <n v="415.8"/>
    <n v="1.5"/>
    <n v="623.70000000000005"/>
    <n v="3.1"/>
    <x v="3"/>
    <x v="2"/>
  </r>
  <r>
    <s v="TRIP02114"/>
    <x v="258"/>
    <x v="0"/>
    <s v="Delhi"/>
    <n v="5.08"/>
    <d v="1900-01-18T00:00:00"/>
    <n v="85.14"/>
    <n v="1.2"/>
    <n v="102.17"/>
    <n v="3.7"/>
    <x v="0"/>
    <x v="2"/>
  </r>
  <r>
    <s v="TRIP02115"/>
    <x v="360"/>
    <x v="4"/>
    <s v="Mumbai"/>
    <n v="7.98"/>
    <d v="1900-01-28T23:02:24"/>
    <n v="111.34"/>
    <n v="1.5"/>
    <n v="167.01"/>
    <n v="4.7"/>
    <x v="3"/>
    <x v="3"/>
  </r>
  <r>
    <s v="TRIP02116"/>
    <x v="139"/>
    <x v="3"/>
    <s v="Mumbai"/>
    <n v="16.13"/>
    <d v="1900-02-06T12:00:00"/>
    <n v="305.18"/>
    <n v="1"/>
    <n v="305.18"/>
    <n v="4.9000000000000004"/>
    <x v="3"/>
    <x v="3"/>
  </r>
  <r>
    <s v="TRIP02117"/>
    <x v="182"/>
    <x v="3"/>
    <s v="Bangalore"/>
    <n v="2.4700000000000002"/>
    <d v="1900-01-07T05:31:12"/>
    <n v="26.47"/>
    <n v="1.5"/>
    <n v="39.700000000000003"/>
    <n v="3.9"/>
    <x v="2"/>
    <x v="1"/>
  </r>
  <r>
    <s v="TRIP02118"/>
    <x v="114"/>
    <x v="3"/>
    <s v="Bangalore"/>
    <n v="25.43"/>
    <d v="1900-03-14T13:26:24"/>
    <n v="278.07"/>
    <n v="1.5"/>
    <n v="417.1"/>
    <n v="3"/>
    <x v="0"/>
    <x v="3"/>
  </r>
  <r>
    <s v="TRIP02119"/>
    <x v="14"/>
    <x v="4"/>
    <s v="Delhi"/>
    <n v="6.54"/>
    <d v="1900-01-12T06:43:12"/>
    <n v="92.74"/>
    <n v="2"/>
    <n v="185.48"/>
    <n v="4.5999999999999996"/>
    <x v="2"/>
    <x v="1"/>
  </r>
  <r>
    <s v="TRIP02120"/>
    <x v="219"/>
    <x v="2"/>
    <s v="Bangalore"/>
    <n v="8.75"/>
    <d v="1900-01-27T12:43:12"/>
    <n v="133.87"/>
    <n v="2"/>
    <n v="267.74"/>
    <n v="4.5999999999999996"/>
    <x v="4"/>
    <x v="2"/>
  </r>
  <r>
    <s v="TRIP02121"/>
    <x v="67"/>
    <x v="1"/>
    <s v="Delhi"/>
    <n v="26.73"/>
    <d v="1900-03-07T07:40:48"/>
    <n v="300"/>
    <n v="1"/>
    <n v="300"/>
    <n v="3.7"/>
    <x v="2"/>
    <x v="0"/>
  </r>
  <r>
    <s v="TRIP02122"/>
    <x v="244"/>
    <x v="2"/>
    <s v="Delhi"/>
    <n v="10.02"/>
    <d v="1900-01-28T20:52:48"/>
    <n v="177.63"/>
    <n v="2"/>
    <n v="355.26"/>
    <n v="3.3"/>
    <x v="3"/>
    <x v="2"/>
  </r>
  <r>
    <s v="TRIP02123"/>
    <x v="135"/>
    <x v="1"/>
    <s v="Mumbai"/>
    <n v="22.73"/>
    <d v="1900-03-09T23:31:12"/>
    <n v="424.11"/>
    <n v="2"/>
    <n v="848.22"/>
    <n v="5"/>
    <x v="4"/>
    <x v="3"/>
  </r>
  <r>
    <s v="TRIP02124"/>
    <x v="79"/>
    <x v="3"/>
    <s v="Chennai"/>
    <n v="14.03"/>
    <d v="1900-02-07T21:50:24"/>
    <n v="175.73"/>
    <n v="1.2"/>
    <n v="210.88"/>
    <n v="4.4000000000000004"/>
    <x v="0"/>
    <x v="2"/>
  </r>
  <r>
    <s v="TRIP02125"/>
    <x v="356"/>
    <x v="4"/>
    <s v="Bangalore"/>
    <n v="8.3000000000000007"/>
    <d v="1900-01-20T02:38:24"/>
    <n v="142.82"/>
    <n v="1.5"/>
    <n v="214.23"/>
    <n v="3.1"/>
    <x v="3"/>
    <x v="0"/>
  </r>
  <r>
    <s v="TRIP02126"/>
    <x v="83"/>
    <x v="2"/>
    <s v="Kolkata"/>
    <n v="7.42"/>
    <d v="1900-01-15T01:12:00"/>
    <n v="96.52"/>
    <n v="1.2"/>
    <n v="115.82"/>
    <n v="4.0999999999999996"/>
    <x v="3"/>
    <x v="1"/>
  </r>
  <r>
    <s v="TRIP02127"/>
    <x v="273"/>
    <x v="0"/>
    <s v="Delhi"/>
    <n v="11.36"/>
    <d v="1900-02-12T16:04:48"/>
    <n v="223.06"/>
    <n v="1.2"/>
    <n v="267.67"/>
    <n v="3.6"/>
    <x v="3"/>
    <x v="2"/>
  </r>
  <r>
    <s v="TRIP02128"/>
    <x v="361"/>
    <x v="1"/>
    <s v="Kolkata"/>
    <n v="12.84"/>
    <d v="1900-01-31T17:02:24"/>
    <n v="145.26"/>
    <n v="1.5"/>
    <n v="217.89"/>
    <n v="3.1"/>
    <x v="1"/>
    <x v="2"/>
  </r>
  <r>
    <s v="TRIP02129"/>
    <x v="180"/>
    <x v="0"/>
    <s v="Bangalore"/>
    <n v="12.07"/>
    <d v="1900-02-07T01:26:24"/>
    <n v="207.42"/>
    <n v="2"/>
    <n v="414.84"/>
    <n v="3.9"/>
    <x v="3"/>
    <x v="0"/>
  </r>
  <r>
    <s v="TRIP02130"/>
    <x v="89"/>
    <x v="3"/>
    <s v="Bangalore"/>
    <n v="17.239999999999998"/>
    <d v="1900-02-18T00:14:24"/>
    <n v="283.89"/>
    <n v="1"/>
    <n v="283.89"/>
    <n v="4.5"/>
    <x v="3"/>
    <x v="1"/>
  </r>
  <r>
    <s v="TRIP02131"/>
    <x v="57"/>
    <x v="1"/>
    <s v="Delhi"/>
    <n v="2.16"/>
    <d v="1900-01-04T18:14:24"/>
    <n v="31.76"/>
    <n v="1.5"/>
    <n v="47.64"/>
    <n v="4.9000000000000004"/>
    <x v="3"/>
    <x v="1"/>
  </r>
  <r>
    <s v="TRIP02132"/>
    <x v="128"/>
    <x v="1"/>
    <s v="Mumbai"/>
    <n v="24.96"/>
    <d v="1900-03-26T10:19:12"/>
    <n v="496.54"/>
    <n v="1.2"/>
    <n v="595.85"/>
    <n v="3.1"/>
    <x v="4"/>
    <x v="2"/>
  </r>
  <r>
    <s v="TRIP02133"/>
    <x v="303"/>
    <x v="2"/>
    <s v="Chennai"/>
    <n v="11.24"/>
    <d v="1900-02-12T06:28:48"/>
    <n v="148.22"/>
    <n v="1"/>
    <n v="148.22"/>
    <n v="4.5999999999999996"/>
    <x v="1"/>
    <x v="1"/>
  </r>
  <r>
    <s v="TRIP02134"/>
    <x v="79"/>
    <x v="1"/>
    <s v="Chennai"/>
    <n v="27.04"/>
    <d v="1900-03-22T04:04:48"/>
    <n v="396.63"/>
    <n v="1"/>
    <n v="396.63"/>
    <n v="3.1"/>
    <x v="1"/>
    <x v="1"/>
  </r>
  <r>
    <s v="TRIP02135"/>
    <x v="264"/>
    <x v="2"/>
    <s v="Chennai"/>
    <n v="17.52"/>
    <d v="1900-03-05T18:14:24"/>
    <n v="337.82"/>
    <n v="2"/>
    <n v="675.64"/>
    <n v="4.9000000000000004"/>
    <x v="2"/>
    <x v="1"/>
  </r>
  <r>
    <s v="TRIP02136"/>
    <x v="202"/>
    <x v="2"/>
    <s v="Bangalore"/>
    <n v="13.74"/>
    <d v="1900-02-15T23:31:12"/>
    <n v="165.54"/>
    <n v="1.5"/>
    <n v="248.31"/>
    <n v="4.3"/>
    <x v="2"/>
    <x v="1"/>
  </r>
  <r>
    <s v="TRIP02137"/>
    <x v="6"/>
    <x v="0"/>
    <s v="Mumbai"/>
    <n v="26.78"/>
    <d v="1900-03-27T22:04:48"/>
    <n v="440.14"/>
    <n v="2"/>
    <n v="880.28"/>
    <n v="3.9"/>
    <x v="3"/>
    <x v="2"/>
  </r>
  <r>
    <s v="TRIP02138"/>
    <x v="158"/>
    <x v="0"/>
    <s v="Chennai"/>
    <n v="23.49"/>
    <d v="1900-02-28T12:28:48"/>
    <n v="311"/>
    <n v="1.2"/>
    <n v="373.2"/>
    <n v="4.9000000000000004"/>
    <x v="3"/>
    <x v="0"/>
  </r>
  <r>
    <s v="TRIP02139"/>
    <x v="225"/>
    <x v="1"/>
    <s v="Mumbai"/>
    <n v="5.7"/>
    <d v="1900-01-13T22:19:12"/>
    <n v="108.3"/>
    <n v="2"/>
    <n v="216.6"/>
    <n v="3.7"/>
    <x v="0"/>
    <x v="1"/>
  </r>
  <r>
    <s v="TRIP02140"/>
    <x v="138"/>
    <x v="3"/>
    <s v="Kolkata"/>
    <n v="23.24"/>
    <d v="1900-03-30T06:14:24"/>
    <n v="282.64"/>
    <n v="2"/>
    <n v="565.28"/>
    <n v="3.2"/>
    <x v="4"/>
    <x v="3"/>
  </r>
  <r>
    <s v="TRIP02141"/>
    <x v="346"/>
    <x v="0"/>
    <s v="Delhi"/>
    <n v="20.45"/>
    <d v="1900-02-28T02:09:36"/>
    <n v="275.41000000000003"/>
    <n v="1.2"/>
    <n v="330.49"/>
    <n v="4.5999999999999996"/>
    <x v="2"/>
    <x v="3"/>
  </r>
  <r>
    <s v="TRIP02142"/>
    <x v="277"/>
    <x v="2"/>
    <s v="Mumbai"/>
    <n v="1.65"/>
    <d v="1900-01-04T07:26:24"/>
    <n v="22.57"/>
    <n v="1.2"/>
    <n v="27.08"/>
    <n v="3.5"/>
    <x v="1"/>
    <x v="0"/>
  </r>
  <r>
    <s v="TRIP02143"/>
    <x v="180"/>
    <x v="4"/>
    <s v="Chennai"/>
    <n v="6.18"/>
    <d v="1900-01-20T17:16:48"/>
    <n v="64.739999999999995"/>
    <n v="2"/>
    <n v="129.47999999999999"/>
    <n v="4.3"/>
    <x v="0"/>
    <x v="1"/>
  </r>
  <r>
    <s v="TRIP02144"/>
    <x v="310"/>
    <x v="2"/>
    <s v="Kolkata"/>
    <n v="17.8"/>
    <d v="1900-03-07T17:16:48"/>
    <n v="180.12"/>
    <n v="1.2"/>
    <n v="216.14"/>
    <n v="3.7"/>
    <x v="3"/>
    <x v="3"/>
  </r>
  <r>
    <s v="TRIP02145"/>
    <x v="56"/>
    <x v="0"/>
    <s v="Chennai"/>
    <n v="17.829999999999998"/>
    <d v="1900-02-11T16:48:00"/>
    <n v="189.87"/>
    <n v="1.5"/>
    <n v="284.8"/>
    <n v="3.2"/>
    <x v="2"/>
    <x v="0"/>
  </r>
  <r>
    <s v="TRIP02146"/>
    <x v="283"/>
    <x v="3"/>
    <s v="Kolkata"/>
    <n v="19.05"/>
    <d v="1900-02-14T02:52:48"/>
    <n v="255.03"/>
    <n v="1.2"/>
    <n v="306.04000000000002"/>
    <n v="4.9000000000000004"/>
    <x v="4"/>
    <x v="2"/>
  </r>
  <r>
    <s v="TRIP02147"/>
    <x v="309"/>
    <x v="1"/>
    <s v="Bangalore"/>
    <n v="11.8"/>
    <d v="1900-01-29T05:02:24"/>
    <n v="150.30000000000001"/>
    <n v="1"/>
    <n v="150.30000000000001"/>
    <n v="3.1"/>
    <x v="3"/>
    <x v="1"/>
  </r>
  <r>
    <s v="TRIP02148"/>
    <x v="145"/>
    <x v="1"/>
    <s v="Delhi"/>
    <n v="12.1"/>
    <d v="1900-01-31T02:09:36"/>
    <n v="149.75"/>
    <n v="2"/>
    <n v="299.5"/>
    <n v="4.3"/>
    <x v="4"/>
    <x v="0"/>
  </r>
  <r>
    <s v="TRIP02149"/>
    <x v="56"/>
    <x v="0"/>
    <s v="Bangalore"/>
    <n v="20.89"/>
    <d v="1900-03-12T21:07:12"/>
    <n v="383.2"/>
    <n v="1.5"/>
    <n v="574.79999999999995"/>
    <n v="3.4"/>
    <x v="2"/>
    <x v="1"/>
  </r>
  <r>
    <s v="TRIP02150"/>
    <x v="30"/>
    <x v="1"/>
    <s v="Mumbai"/>
    <n v="17.5"/>
    <d v="1900-02-28T21:07:12"/>
    <n v="312.14"/>
    <n v="2"/>
    <n v="624.28"/>
    <n v="4.9000000000000004"/>
    <x v="1"/>
    <x v="3"/>
  </r>
  <r>
    <s v="TRIP02151"/>
    <x v="37"/>
    <x v="2"/>
    <s v="Delhi"/>
    <n v="19.010000000000002"/>
    <d v="1900-03-09T04:19:12"/>
    <n v="334.84"/>
    <n v="1.2"/>
    <n v="401.81"/>
    <n v="4.8"/>
    <x v="2"/>
    <x v="0"/>
  </r>
  <r>
    <s v="TRIP02152"/>
    <x v="165"/>
    <x v="4"/>
    <s v="Kolkata"/>
    <n v="13.69"/>
    <d v="1900-02-02T09:21:36"/>
    <n v="153.31"/>
    <n v="2"/>
    <n v="306.62"/>
    <n v="3.8"/>
    <x v="4"/>
    <x v="2"/>
  </r>
  <r>
    <s v="TRIP02153"/>
    <x v="319"/>
    <x v="2"/>
    <s v="Kolkata"/>
    <n v="2.11"/>
    <d v="1900-01-04T09:07:12"/>
    <n v="38.72"/>
    <n v="1"/>
    <n v="38.72"/>
    <n v="3.5"/>
    <x v="4"/>
    <x v="1"/>
  </r>
  <r>
    <s v="TRIP02154"/>
    <x v="263"/>
    <x v="2"/>
    <s v="Bangalore"/>
    <n v="2.52"/>
    <d v="1900-01-06T04:33:36"/>
    <n v="48.68"/>
    <n v="1.5"/>
    <n v="73.02"/>
    <n v="3.1"/>
    <x v="3"/>
    <x v="2"/>
  </r>
  <r>
    <s v="TRIP02155"/>
    <x v="280"/>
    <x v="4"/>
    <s v="Mumbai"/>
    <n v="3.96"/>
    <d v="1900-01-10T19:55:12"/>
    <n v="67.180000000000007"/>
    <n v="1.5"/>
    <n v="100.77"/>
    <n v="3.8"/>
    <x v="4"/>
    <x v="1"/>
  </r>
  <r>
    <s v="TRIP02156"/>
    <x v="214"/>
    <x v="3"/>
    <s v="Bangalore"/>
    <n v="25.42"/>
    <d v="1900-02-19T08:52:48"/>
    <n v="415.99"/>
    <n v="2"/>
    <n v="831.98"/>
    <n v="4.5999999999999996"/>
    <x v="2"/>
    <x v="0"/>
  </r>
  <r>
    <s v="TRIP02157"/>
    <x v="64"/>
    <x v="4"/>
    <s v="Mumbai"/>
    <n v="20.07"/>
    <d v="1900-03-13T15:21:36"/>
    <n v="312.77"/>
    <n v="1.5"/>
    <n v="469.16"/>
    <n v="4"/>
    <x v="3"/>
    <x v="2"/>
  </r>
  <r>
    <s v="TRIP02158"/>
    <x v="359"/>
    <x v="2"/>
    <s v="Delhi"/>
    <n v="16.77"/>
    <d v="1900-02-24T00:57:36"/>
    <n v="170.94"/>
    <n v="1.2"/>
    <n v="205.13"/>
    <n v="4.7"/>
    <x v="2"/>
    <x v="3"/>
  </r>
  <r>
    <s v="TRIP02159"/>
    <x v="349"/>
    <x v="0"/>
    <s v="Delhi"/>
    <n v="10.96"/>
    <d v="1900-02-04T13:40:48"/>
    <n v="134.61000000000001"/>
    <n v="1.2"/>
    <n v="161.53"/>
    <n v="3.9"/>
    <x v="3"/>
    <x v="2"/>
  </r>
  <r>
    <s v="TRIP02160"/>
    <x v="65"/>
    <x v="3"/>
    <s v="Bangalore"/>
    <n v="11.05"/>
    <d v="1900-02-03T06:14:24"/>
    <n v="217.79"/>
    <n v="1"/>
    <n v="217.79"/>
    <n v="4.8"/>
    <x v="3"/>
    <x v="2"/>
  </r>
  <r>
    <s v="TRIP02161"/>
    <x v="235"/>
    <x v="1"/>
    <s v="Mumbai"/>
    <n v="1.03"/>
    <d v="1900-01-02T22:04:48"/>
    <n v="16.170000000000002"/>
    <n v="1"/>
    <n v="16.170000000000002"/>
    <n v="3.8"/>
    <x v="4"/>
    <x v="3"/>
  </r>
  <r>
    <s v="TRIP02162"/>
    <x v="206"/>
    <x v="3"/>
    <s v="Delhi"/>
    <n v="12.6"/>
    <d v="1900-01-25T01:26:24"/>
    <n v="229.46"/>
    <n v="1.5"/>
    <n v="344.19"/>
    <n v="4.2"/>
    <x v="2"/>
    <x v="3"/>
  </r>
  <r>
    <s v="TRIP02163"/>
    <x v="258"/>
    <x v="3"/>
    <s v="Kolkata"/>
    <n v="18.22"/>
    <d v="1900-02-12T00:28:48"/>
    <n v="241.21"/>
    <n v="1"/>
    <n v="241.21"/>
    <n v="4.9000000000000004"/>
    <x v="3"/>
    <x v="1"/>
  </r>
  <r>
    <s v="TRIP02164"/>
    <x v="362"/>
    <x v="1"/>
    <s v="Mumbai"/>
    <n v="16.45"/>
    <d v="1900-02-25T20:52:48"/>
    <n v="290.02"/>
    <n v="1.5"/>
    <n v="435.03"/>
    <n v="3.2"/>
    <x v="1"/>
    <x v="2"/>
  </r>
  <r>
    <s v="TRIP02165"/>
    <x v="139"/>
    <x v="0"/>
    <s v="Bangalore"/>
    <n v="26.14"/>
    <d v="1900-03-15T02:09:36"/>
    <n v="272.95999999999998"/>
    <n v="2"/>
    <n v="545.91999999999996"/>
    <n v="4.5999999999999996"/>
    <x v="4"/>
    <x v="2"/>
  </r>
  <r>
    <s v="TRIP02166"/>
    <x v="83"/>
    <x v="3"/>
    <s v="Bangalore"/>
    <n v="8.61"/>
    <d v="1900-01-20T10:33:36"/>
    <n v="169.25"/>
    <n v="1.2"/>
    <n v="203.1"/>
    <n v="4.3"/>
    <x v="2"/>
    <x v="2"/>
  </r>
  <r>
    <s v="TRIP02167"/>
    <x v="273"/>
    <x v="4"/>
    <s v="Bangalore"/>
    <n v="6.79"/>
    <d v="1900-01-25T10:33:36"/>
    <n v="91.14"/>
    <n v="1.5"/>
    <n v="136.71"/>
    <n v="4.2"/>
    <x v="1"/>
    <x v="3"/>
  </r>
  <r>
    <s v="TRIP02168"/>
    <x v="133"/>
    <x v="4"/>
    <s v="Bangalore"/>
    <n v="27.24"/>
    <d v="1900-03-20T08:38:24"/>
    <n v="333.4"/>
    <n v="1.2"/>
    <n v="400.08"/>
    <n v="3.1"/>
    <x v="1"/>
    <x v="0"/>
  </r>
  <r>
    <s v="TRIP02169"/>
    <x v="173"/>
    <x v="1"/>
    <s v="Bangalore"/>
    <n v="9.89"/>
    <d v="1900-02-04T06:43:12"/>
    <n v="129.44"/>
    <n v="1.2"/>
    <n v="155.33000000000001"/>
    <n v="3.4"/>
    <x v="1"/>
    <x v="1"/>
  </r>
  <r>
    <s v="TRIP02170"/>
    <x v="227"/>
    <x v="1"/>
    <s v="Delhi"/>
    <n v="4.38"/>
    <d v="1900-01-08T02:24:00"/>
    <n v="75.53"/>
    <n v="1.5"/>
    <n v="113.3"/>
    <n v="3"/>
    <x v="4"/>
    <x v="0"/>
  </r>
  <r>
    <s v="TRIP02171"/>
    <x v="360"/>
    <x v="4"/>
    <s v="Mumbai"/>
    <n v="9.57"/>
    <d v="1900-02-05T05:31:12"/>
    <n v="190.22"/>
    <n v="1.2"/>
    <n v="228.26"/>
    <n v="3.1"/>
    <x v="1"/>
    <x v="1"/>
  </r>
  <r>
    <s v="TRIP02172"/>
    <x v="190"/>
    <x v="1"/>
    <s v="Chennai"/>
    <n v="15.76"/>
    <d v="1900-02-14T04:04:48"/>
    <n v="307.57"/>
    <n v="2"/>
    <n v="615.14"/>
    <n v="4.7"/>
    <x v="3"/>
    <x v="0"/>
  </r>
  <r>
    <s v="TRIP02173"/>
    <x v="17"/>
    <x v="3"/>
    <s v="Mumbai"/>
    <n v="18.46"/>
    <d v="1900-02-21T17:16:48"/>
    <n v="250.35"/>
    <n v="1"/>
    <n v="250.35"/>
    <n v="4.5"/>
    <x v="0"/>
    <x v="1"/>
  </r>
  <r>
    <s v="TRIP02174"/>
    <x v="83"/>
    <x v="1"/>
    <s v="Chennai"/>
    <n v="1.38"/>
    <d v="1900-01-03T15:36:00"/>
    <n v="14.06"/>
    <n v="1.2"/>
    <n v="16.87"/>
    <n v="3.6"/>
    <x v="3"/>
    <x v="0"/>
  </r>
  <r>
    <s v="TRIP02175"/>
    <x v="179"/>
    <x v="2"/>
    <s v="Delhi"/>
    <n v="4.32"/>
    <d v="1900-01-14T20:52:48"/>
    <n v="44.39"/>
    <n v="1.5"/>
    <n v="66.59"/>
    <n v="3.5"/>
    <x v="4"/>
    <x v="1"/>
  </r>
  <r>
    <s v="TRIP02176"/>
    <x v="298"/>
    <x v="2"/>
    <s v="Bangalore"/>
    <n v="26.71"/>
    <d v="1900-04-01T09:36:00"/>
    <n v="311.08"/>
    <n v="1.2"/>
    <n v="373.3"/>
    <n v="3.9"/>
    <x v="4"/>
    <x v="1"/>
  </r>
  <r>
    <s v="TRIP02177"/>
    <x v="107"/>
    <x v="2"/>
    <s v="Bangalore"/>
    <n v="18.12"/>
    <d v="1900-03-03T04:04:48"/>
    <n v="347.34"/>
    <n v="1.2"/>
    <n v="416.81"/>
    <n v="3.3"/>
    <x v="0"/>
    <x v="3"/>
  </r>
  <r>
    <s v="TRIP02178"/>
    <x v="333"/>
    <x v="4"/>
    <s v="Bangalore"/>
    <n v="26.28"/>
    <d v="1900-03-11T15:36:00"/>
    <n v="512.88"/>
    <n v="1.5"/>
    <n v="769.32"/>
    <n v="3.9"/>
    <x v="4"/>
    <x v="1"/>
  </r>
  <r>
    <s v="TRIP02179"/>
    <x v="35"/>
    <x v="0"/>
    <s v="Mumbai"/>
    <n v="6.14"/>
    <d v="1900-01-21T20:52:48"/>
    <n v="85.52"/>
    <n v="1"/>
    <n v="85.52"/>
    <n v="4.9000000000000004"/>
    <x v="1"/>
    <x v="3"/>
  </r>
  <r>
    <s v="TRIP02180"/>
    <x v="217"/>
    <x v="4"/>
    <s v="Bangalore"/>
    <n v="18.329999999999998"/>
    <d v="1900-03-05T23:02:24"/>
    <n v="207.75"/>
    <n v="1.5"/>
    <n v="311.62"/>
    <n v="4.5999999999999996"/>
    <x v="4"/>
    <x v="0"/>
  </r>
  <r>
    <s v="TRIP02181"/>
    <x v="0"/>
    <x v="4"/>
    <s v="Kolkata"/>
    <n v="22.78"/>
    <d v="1900-03-12T10:19:12"/>
    <n v="403.02"/>
    <n v="1.2"/>
    <n v="483.62"/>
    <n v="3"/>
    <x v="4"/>
    <x v="1"/>
  </r>
  <r>
    <s v="TRIP02182"/>
    <x v="275"/>
    <x v="1"/>
    <s v="Chennai"/>
    <n v="11.78"/>
    <d v="1900-01-28T07:26:24"/>
    <n v="203.68"/>
    <n v="1"/>
    <n v="203.68"/>
    <n v="4.0999999999999996"/>
    <x v="1"/>
    <x v="0"/>
  </r>
  <r>
    <s v="TRIP02183"/>
    <x v="246"/>
    <x v="3"/>
    <s v="Mumbai"/>
    <n v="5.03"/>
    <d v="1900-01-11T06:14:24"/>
    <n v="79.36"/>
    <n v="1.2"/>
    <n v="95.23"/>
    <n v="4.5999999999999996"/>
    <x v="4"/>
    <x v="0"/>
  </r>
  <r>
    <s v="TRIP02184"/>
    <x v="149"/>
    <x v="1"/>
    <s v="Bangalore"/>
    <n v="4.92"/>
    <d v="1900-01-11T12:28:48"/>
    <n v="58.59"/>
    <n v="1.5"/>
    <n v="87.88"/>
    <n v="3.9"/>
    <x v="0"/>
    <x v="1"/>
  </r>
  <r>
    <s v="TRIP02185"/>
    <x v="23"/>
    <x v="3"/>
    <s v="Delhi"/>
    <n v="26.19"/>
    <d v="1900-03-12T11:16:48"/>
    <n v="343.98"/>
    <n v="1.2"/>
    <n v="412.78"/>
    <n v="4.2"/>
    <x v="2"/>
    <x v="3"/>
  </r>
  <r>
    <s v="TRIP02186"/>
    <x v="212"/>
    <x v="2"/>
    <s v="Bangalore"/>
    <n v="22.02"/>
    <d v="1900-02-27T10:33:36"/>
    <n v="289.19"/>
    <n v="1"/>
    <n v="289.19"/>
    <n v="4.5999999999999996"/>
    <x v="2"/>
    <x v="3"/>
  </r>
  <r>
    <s v="TRIP02187"/>
    <x v="123"/>
    <x v="2"/>
    <s v="Bangalore"/>
    <n v="29.44"/>
    <d v="1900-03-19T20:38:24"/>
    <n v="475.13"/>
    <n v="1.2"/>
    <n v="570.16"/>
    <n v="4.3"/>
    <x v="3"/>
    <x v="0"/>
  </r>
  <r>
    <s v="TRIP02188"/>
    <x v="44"/>
    <x v="0"/>
    <s v="Delhi"/>
    <n v="13.91"/>
    <d v="1900-02-13T11:02:24"/>
    <n v="156.72999999999999"/>
    <n v="1.2"/>
    <n v="188.08"/>
    <n v="4.4000000000000004"/>
    <x v="4"/>
    <x v="2"/>
  </r>
  <r>
    <s v="TRIP02189"/>
    <x v="360"/>
    <x v="1"/>
    <s v="Kolkata"/>
    <n v="14.01"/>
    <d v="1900-02-20T18:28:48"/>
    <n v="276.07"/>
    <n v="2"/>
    <n v="552.14"/>
    <n v="4.8"/>
    <x v="2"/>
    <x v="2"/>
  </r>
  <r>
    <s v="TRIP02190"/>
    <x v="30"/>
    <x v="3"/>
    <s v="Kolkata"/>
    <n v="2.5499999999999998"/>
    <d v="1900-01-08T10:04:48"/>
    <n v="41.55"/>
    <n v="1.5"/>
    <n v="62.32"/>
    <n v="4.2"/>
    <x v="0"/>
    <x v="1"/>
  </r>
  <r>
    <s v="TRIP02191"/>
    <x v="241"/>
    <x v="3"/>
    <s v="Chennai"/>
    <n v="12.56"/>
    <d v="1900-01-27T03:07:12"/>
    <n v="177.94"/>
    <n v="2"/>
    <n v="355.88"/>
    <n v="4.5999999999999996"/>
    <x v="0"/>
    <x v="0"/>
  </r>
  <r>
    <s v="TRIP02192"/>
    <x v="167"/>
    <x v="0"/>
    <s v="Mumbai"/>
    <n v="13.06"/>
    <d v="1900-02-02T02:24:00"/>
    <n v="251.48"/>
    <n v="1.5"/>
    <n v="377.22"/>
    <n v="4.2"/>
    <x v="2"/>
    <x v="1"/>
  </r>
  <r>
    <s v="TRIP02193"/>
    <x v="251"/>
    <x v="1"/>
    <s v="Delhi"/>
    <n v="16.38"/>
    <d v="1900-02-23T19:55:12"/>
    <n v="206.41"/>
    <n v="1.2"/>
    <n v="247.69"/>
    <n v="3.9"/>
    <x v="2"/>
    <x v="0"/>
  </r>
  <r>
    <s v="TRIP02194"/>
    <x v="312"/>
    <x v="1"/>
    <s v="Kolkata"/>
    <n v="25.11"/>
    <d v="1900-03-08T13:12:00"/>
    <n v="276.26"/>
    <n v="2"/>
    <n v="552.52"/>
    <n v="4.4000000000000004"/>
    <x v="1"/>
    <x v="3"/>
  </r>
  <r>
    <s v="TRIP02195"/>
    <x v="302"/>
    <x v="1"/>
    <s v="Delhi"/>
    <n v="14.02"/>
    <d v="1900-02-05T06:57:36"/>
    <n v="253.51"/>
    <n v="1"/>
    <n v="253.51"/>
    <n v="3.9"/>
    <x v="4"/>
    <x v="3"/>
  </r>
  <r>
    <s v="TRIP02196"/>
    <x v="72"/>
    <x v="0"/>
    <s v="Mumbai"/>
    <n v="19.41"/>
    <d v="1900-03-13T06:00:00"/>
    <n v="276.83"/>
    <n v="2"/>
    <n v="553.66"/>
    <n v="4.8"/>
    <x v="4"/>
    <x v="0"/>
  </r>
  <r>
    <s v="TRIP02197"/>
    <x v="348"/>
    <x v="3"/>
    <s v="Delhi"/>
    <n v="3.87"/>
    <d v="1900-01-07T15:36:00"/>
    <n v="50.28"/>
    <n v="1.5"/>
    <n v="75.42"/>
    <n v="3.9"/>
    <x v="2"/>
    <x v="3"/>
  </r>
  <r>
    <s v="TRIP02198"/>
    <x v="175"/>
    <x v="2"/>
    <s v="Bangalore"/>
    <n v="17.07"/>
    <d v="1900-02-26T05:16:48"/>
    <n v="241.96"/>
    <n v="2"/>
    <n v="483.92"/>
    <n v="3"/>
    <x v="4"/>
    <x v="1"/>
  </r>
  <r>
    <s v="TRIP02199"/>
    <x v="168"/>
    <x v="0"/>
    <s v="Bangalore"/>
    <n v="8.75"/>
    <d v="1900-01-21T08:38:24"/>
    <n v="133.21"/>
    <n v="2"/>
    <n v="266.42"/>
    <n v="5"/>
    <x v="3"/>
    <x v="0"/>
  </r>
  <r>
    <s v="TRIP02200"/>
    <x v="210"/>
    <x v="1"/>
    <s v="Kolkata"/>
    <n v="11.56"/>
    <d v="1900-01-27T10:48:00"/>
    <n v="169.91"/>
    <n v="1"/>
    <n v="169.91"/>
    <n v="4.7"/>
    <x v="2"/>
    <x v="2"/>
  </r>
  <r>
    <s v="TRIP02201"/>
    <x v="282"/>
    <x v="0"/>
    <s v="Bangalore"/>
    <n v="3.35"/>
    <d v="1900-01-09T21:36:00"/>
    <n v="44.77"/>
    <n v="1.2"/>
    <n v="53.72"/>
    <n v="4.9000000000000004"/>
    <x v="2"/>
    <x v="0"/>
  </r>
  <r>
    <s v="TRIP02202"/>
    <x v="246"/>
    <x v="4"/>
    <s v="Mumbai"/>
    <n v="4.87"/>
    <d v="1900-01-15T10:19:12"/>
    <n v="59.04"/>
    <n v="2"/>
    <n v="118.08"/>
    <n v="3.8"/>
    <x v="0"/>
    <x v="1"/>
  </r>
  <r>
    <s v="TRIP02203"/>
    <x v="23"/>
    <x v="4"/>
    <s v="Bangalore"/>
    <n v="7.25"/>
    <d v="1900-01-27T23:31:12"/>
    <n v="103.9"/>
    <n v="1"/>
    <n v="103.9"/>
    <n v="3.4"/>
    <x v="0"/>
    <x v="0"/>
  </r>
  <r>
    <s v="TRIP02204"/>
    <x v="235"/>
    <x v="0"/>
    <s v="Bangalore"/>
    <n v="18.690000000000001"/>
    <d v="1900-03-04T12:28:48"/>
    <n v="245.68"/>
    <n v="2"/>
    <n v="491.36"/>
    <n v="3.2"/>
    <x v="3"/>
    <x v="2"/>
  </r>
  <r>
    <s v="TRIP02205"/>
    <x v="195"/>
    <x v="2"/>
    <s v="Mumbai"/>
    <n v="12.28"/>
    <d v="1900-02-06T06:14:24"/>
    <n v="193.63"/>
    <n v="1.5"/>
    <n v="290.44"/>
    <n v="4.8"/>
    <x v="3"/>
    <x v="2"/>
  </r>
  <r>
    <s v="TRIP02206"/>
    <x v="143"/>
    <x v="4"/>
    <s v="Chennai"/>
    <n v="10.96"/>
    <d v="1900-01-29T17:02:24"/>
    <n v="193.02"/>
    <n v="1"/>
    <n v="193.02"/>
    <n v="4.4000000000000004"/>
    <x v="1"/>
    <x v="1"/>
  </r>
  <r>
    <s v="TRIP02207"/>
    <x v="363"/>
    <x v="3"/>
    <s v="Chennai"/>
    <n v="9.52"/>
    <d v="1900-01-25T22:48:00"/>
    <n v="170.12"/>
    <n v="1.2"/>
    <n v="204.14"/>
    <n v="3.7"/>
    <x v="1"/>
    <x v="3"/>
  </r>
  <r>
    <s v="TRIP02208"/>
    <x v="362"/>
    <x v="1"/>
    <s v="Chennai"/>
    <n v="2.5499999999999998"/>
    <d v="1900-01-06T03:07:12"/>
    <n v="32.4"/>
    <n v="2"/>
    <n v="64.8"/>
    <n v="4.4000000000000004"/>
    <x v="4"/>
    <x v="2"/>
  </r>
  <r>
    <s v="TRIP02209"/>
    <x v="261"/>
    <x v="2"/>
    <s v="Bangalore"/>
    <n v="10.39"/>
    <d v="1900-01-30T11:02:24"/>
    <n v="195.3"/>
    <n v="1.2"/>
    <n v="234.36"/>
    <n v="4.7"/>
    <x v="4"/>
    <x v="2"/>
  </r>
  <r>
    <s v="TRIP02210"/>
    <x v="358"/>
    <x v="3"/>
    <s v="Chennai"/>
    <n v="28.52"/>
    <d v="1900-03-24T21:36:00"/>
    <n v="428.59"/>
    <n v="1.5"/>
    <n v="642.88"/>
    <n v="3.1"/>
    <x v="0"/>
    <x v="2"/>
  </r>
  <r>
    <s v="TRIP02211"/>
    <x v="27"/>
    <x v="0"/>
    <s v="Mumbai"/>
    <n v="28"/>
    <d v="1900-03-16T05:45:36"/>
    <n v="391.14"/>
    <n v="1.2"/>
    <n v="469.37"/>
    <n v="4.3"/>
    <x v="1"/>
    <x v="3"/>
  </r>
  <r>
    <s v="TRIP02212"/>
    <x v="334"/>
    <x v="0"/>
    <s v="Mumbai"/>
    <n v="5.09"/>
    <d v="1900-01-16T09:36:00"/>
    <n v="94.4"/>
    <n v="2"/>
    <n v="188.8"/>
    <n v="4.4000000000000004"/>
    <x v="4"/>
    <x v="3"/>
  </r>
  <r>
    <s v="TRIP02213"/>
    <x v="333"/>
    <x v="3"/>
    <s v="Delhi"/>
    <n v="7.27"/>
    <d v="1900-01-14T13:12:00"/>
    <n v="114.17"/>
    <n v="1.2"/>
    <n v="137"/>
    <n v="3.7"/>
    <x v="4"/>
    <x v="1"/>
  </r>
  <r>
    <s v="TRIP02214"/>
    <x v="267"/>
    <x v="1"/>
    <s v="Bangalore"/>
    <n v="17.72"/>
    <d v="1900-03-09T14:24:00"/>
    <n v="212.65"/>
    <n v="1.2"/>
    <n v="255.18"/>
    <n v="3.2"/>
    <x v="2"/>
    <x v="3"/>
  </r>
  <r>
    <s v="TRIP02215"/>
    <x v="190"/>
    <x v="4"/>
    <s v="Bangalore"/>
    <n v="23.71"/>
    <d v="1900-03-04T00:28:48"/>
    <n v="290.3"/>
    <n v="1.2"/>
    <n v="348.36"/>
    <n v="4.8"/>
    <x v="3"/>
    <x v="3"/>
  </r>
  <r>
    <s v="TRIP02216"/>
    <x v="83"/>
    <x v="4"/>
    <s v="Kolkata"/>
    <n v="16.86"/>
    <d v="1900-02-26T18:57:36"/>
    <n v="225.77"/>
    <n v="1"/>
    <n v="225.77"/>
    <n v="3.2"/>
    <x v="4"/>
    <x v="3"/>
  </r>
  <r>
    <s v="TRIP02217"/>
    <x v="184"/>
    <x v="0"/>
    <s v="Kolkata"/>
    <n v="14.96"/>
    <d v="1900-02-11T09:36:00"/>
    <n v="213.02"/>
    <n v="2"/>
    <n v="426.04"/>
    <n v="3.1"/>
    <x v="2"/>
    <x v="1"/>
  </r>
  <r>
    <s v="TRIP02218"/>
    <x v="63"/>
    <x v="2"/>
    <s v="Kolkata"/>
    <n v="16.899999999999999"/>
    <d v="1900-03-06T00:28:48"/>
    <n v="199.47"/>
    <n v="1.5"/>
    <n v="299.2"/>
    <n v="4.7"/>
    <x v="2"/>
    <x v="2"/>
  </r>
  <r>
    <s v="TRIP02219"/>
    <x v="309"/>
    <x v="0"/>
    <s v="Bangalore"/>
    <n v="20.69"/>
    <d v="1900-03-06T11:45:36"/>
    <n v="323.76"/>
    <n v="1.2"/>
    <n v="388.51"/>
    <n v="3.7"/>
    <x v="3"/>
    <x v="2"/>
  </r>
  <r>
    <s v="TRIP02220"/>
    <x v="37"/>
    <x v="1"/>
    <s v="Delhi"/>
    <n v="4.55"/>
    <d v="1900-01-15T19:40:48"/>
    <n v="64.34"/>
    <n v="1.5"/>
    <n v="96.51"/>
    <n v="3.2"/>
    <x v="3"/>
    <x v="0"/>
  </r>
  <r>
    <s v="TRIP02221"/>
    <x v="356"/>
    <x v="2"/>
    <s v="Delhi"/>
    <n v="13.53"/>
    <d v="1900-02-16T22:19:12"/>
    <n v="170.94"/>
    <n v="1.5"/>
    <n v="256.41000000000003"/>
    <n v="4.2"/>
    <x v="4"/>
    <x v="1"/>
  </r>
  <r>
    <s v="TRIP02222"/>
    <x v="283"/>
    <x v="4"/>
    <s v="Mumbai"/>
    <n v="26.75"/>
    <d v="1900-04-05T18:00:00"/>
    <n v="406.74"/>
    <n v="1"/>
    <n v="406.74"/>
    <n v="3.2"/>
    <x v="2"/>
    <x v="3"/>
  </r>
  <r>
    <s v="TRIP02223"/>
    <x v="121"/>
    <x v="0"/>
    <s v="Chennai"/>
    <n v="2.0699999999999998"/>
    <d v="1900-01-06T21:07:12"/>
    <n v="23.35"/>
    <n v="1"/>
    <n v="23.35"/>
    <n v="4.8"/>
    <x v="3"/>
    <x v="3"/>
  </r>
  <r>
    <s v="TRIP02224"/>
    <x v="274"/>
    <x v="4"/>
    <s v="Chennai"/>
    <n v="9.86"/>
    <d v="1900-01-28T11:45:36"/>
    <n v="148.06"/>
    <n v="1.2"/>
    <n v="177.67"/>
    <n v="4.8"/>
    <x v="4"/>
    <x v="1"/>
  </r>
  <r>
    <s v="TRIP02225"/>
    <x v="356"/>
    <x v="3"/>
    <s v="Bangalore"/>
    <n v="22.46"/>
    <d v="1900-03-07T19:55:12"/>
    <n v="279.45"/>
    <n v="1.2"/>
    <n v="335.34"/>
    <n v="3.1"/>
    <x v="3"/>
    <x v="2"/>
  </r>
  <r>
    <s v="TRIP02226"/>
    <x v="195"/>
    <x v="2"/>
    <s v="Chennai"/>
    <n v="16.239999999999998"/>
    <d v="1900-02-17T15:21:36"/>
    <n v="318.54000000000002"/>
    <n v="1.2"/>
    <n v="382.25"/>
    <n v="3.7"/>
    <x v="2"/>
    <x v="3"/>
  </r>
  <r>
    <s v="TRIP02227"/>
    <x v="55"/>
    <x v="0"/>
    <s v="Delhi"/>
    <n v="26.31"/>
    <d v="1900-04-03T13:26:24"/>
    <n v="398.59"/>
    <n v="1"/>
    <n v="398.59"/>
    <n v="4.4000000000000004"/>
    <x v="0"/>
    <x v="3"/>
  </r>
  <r>
    <s v="TRIP02228"/>
    <x v="31"/>
    <x v="4"/>
    <s v="Mumbai"/>
    <n v="20.03"/>
    <d v="1900-02-23T11:31:12"/>
    <n v="367.85"/>
    <n v="1.5"/>
    <n v="551.78"/>
    <n v="3.1"/>
    <x v="2"/>
    <x v="0"/>
  </r>
  <r>
    <s v="TRIP02229"/>
    <x v="85"/>
    <x v="2"/>
    <s v="Delhi"/>
    <n v="11.95"/>
    <d v="1900-02-10T18:00:00"/>
    <n v="161.5"/>
    <n v="1.2"/>
    <n v="193.8"/>
    <n v="3.3"/>
    <x v="4"/>
    <x v="0"/>
  </r>
  <r>
    <s v="TRIP02230"/>
    <x v="357"/>
    <x v="1"/>
    <s v="Bangalore"/>
    <n v="12.19"/>
    <d v="1900-02-14T09:50:24"/>
    <n v="151.03"/>
    <n v="1"/>
    <n v="151.03"/>
    <n v="4.5999999999999996"/>
    <x v="1"/>
    <x v="2"/>
  </r>
  <r>
    <s v="TRIP02231"/>
    <x v="247"/>
    <x v="2"/>
    <s v="Mumbai"/>
    <n v="7.31"/>
    <d v="1900-01-27T04:48:00"/>
    <n v="95.54"/>
    <n v="1.5"/>
    <n v="143.31"/>
    <n v="4.8"/>
    <x v="2"/>
    <x v="0"/>
  </r>
  <r>
    <s v="TRIP02232"/>
    <x v="138"/>
    <x v="1"/>
    <s v="Mumbai"/>
    <n v="17"/>
    <d v="1900-02-11T07:40:48"/>
    <n v="181.08"/>
    <n v="1.5"/>
    <n v="271.62"/>
    <n v="4.2"/>
    <x v="1"/>
    <x v="0"/>
  </r>
  <r>
    <s v="TRIP02233"/>
    <x v="289"/>
    <x v="2"/>
    <s v="Kolkata"/>
    <n v="3.07"/>
    <d v="1900-01-09T19:26:24"/>
    <n v="45.61"/>
    <n v="2"/>
    <n v="91.22"/>
    <n v="3.9"/>
    <x v="3"/>
    <x v="1"/>
  </r>
  <r>
    <s v="TRIP02234"/>
    <x v="333"/>
    <x v="1"/>
    <s v="Kolkata"/>
    <n v="27.94"/>
    <d v="1900-04-15T18:28:48"/>
    <n v="479.36"/>
    <n v="1.5"/>
    <n v="719.04"/>
    <n v="4.4000000000000004"/>
    <x v="1"/>
    <x v="0"/>
  </r>
  <r>
    <s v="TRIP02235"/>
    <x v="65"/>
    <x v="2"/>
    <s v="Delhi"/>
    <n v="12.05"/>
    <d v="1900-02-06T21:21:36"/>
    <n v="195.65"/>
    <n v="1"/>
    <n v="195.65"/>
    <n v="4.7"/>
    <x v="3"/>
    <x v="1"/>
  </r>
  <r>
    <s v="TRIP02236"/>
    <x v="134"/>
    <x v="1"/>
    <s v="Bangalore"/>
    <n v="24.85"/>
    <d v="1900-03-14T18:43:12"/>
    <n v="468.55"/>
    <n v="1.2"/>
    <n v="562.26"/>
    <n v="3.5"/>
    <x v="3"/>
    <x v="3"/>
  </r>
  <r>
    <s v="TRIP02237"/>
    <x v="95"/>
    <x v="4"/>
    <s v="Chennai"/>
    <n v="12.1"/>
    <d v="1900-02-04T22:33:36"/>
    <n v="203.08"/>
    <n v="1.2"/>
    <n v="243.7"/>
    <n v="4.5999999999999996"/>
    <x v="1"/>
    <x v="0"/>
  </r>
  <r>
    <s v="TRIP02238"/>
    <x v="79"/>
    <x v="2"/>
    <s v="Chennai"/>
    <n v="12.06"/>
    <d v="1900-02-04T04:48:00"/>
    <n v="235.31"/>
    <n v="1"/>
    <n v="235.31"/>
    <n v="4.8"/>
    <x v="0"/>
    <x v="2"/>
  </r>
  <r>
    <s v="TRIP02239"/>
    <x v="182"/>
    <x v="1"/>
    <s v="Chennai"/>
    <n v="2.58"/>
    <d v="1900-01-05T00:43:12"/>
    <n v="37.56"/>
    <n v="1"/>
    <n v="37.56"/>
    <n v="3.6"/>
    <x v="1"/>
    <x v="0"/>
  </r>
  <r>
    <s v="TRIP02240"/>
    <x v="106"/>
    <x v="0"/>
    <s v="Chennai"/>
    <n v="16.62"/>
    <d v="1900-03-02T21:07:12"/>
    <n v="318.07"/>
    <n v="1.2"/>
    <n v="381.68"/>
    <n v="4.5999999999999996"/>
    <x v="4"/>
    <x v="0"/>
  </r>
  <r>
    <s v="TRIP02241"/>
    <x v="278"/>
    <x v="3"/>
    <s v="Mumbai"/>
    <n v="9.86"/>
    <d v="1900-02-01T10:33:36"/>
    <n v="192.38"/>
    <n v="1.5"/>
    <n v="288.57"/>
    <n v="3"/>
    <x v="1"/>
    <x v="2"/>
  </r>
  <r>
    <s v="TRIP02242"/>
    <x v="345"/>
    <x v="1"/>
    <s v="Kolkata"/>
    <n v="5.19"/>
    <d v="1900-01-11T19:12:00"/>
    <n v="98.89"/>
    <n v="1.2"/>
    <n v="118.67"/>
    <n v="3.8"/>
    <x v="0"/>
    <x v="2"/>
  </r>
  <r>
    <s v="TRIP02243"/>
    <x v="145"/>
    <x v="0"/>
    <s v="Mumbai"/>
    <n v="9.98"/>
    <d v="1900-01-31T06:28:48"/>
    <n v="153.1"/>
    <n v="1"/>
    <n v="153.1"/>
    <n v="3.2"/>
    <x v="1"/>
    <x v="1"/>
  </r>
  <r>
    <s v="TRIP02244"/>
    <x v="356"/>
    <x v="3"/>
    <s v="Chennai"/>
    <n v="15.57"/>
    <d v="1900-02-07T13:55:12"/>
    <n v="303.24"/>
    <n v="1"/>
    <n v="303.24"/>
    <n v="3.2"/>
    <x v="2"/>
    <x v="0"/>
  </r>
  <r>
    <s v="TRIP02245"/>
    <x v="222"/>
    <x v="1"/>
    <s v="Bangalore"/>
    <n v="22.15"/>
    <d v="1900-02-26T20:52:48"/>
    <n v="366.25"/>
    <n v="1"/>
    <n v="366.25"/>
    <n v="3.3"/>
    <x v="2"/>
    <x v="1"/>
  </r>
  <r>
    <s v="TRIP02246"/>
    <x v="299"/>
    <x v="0"/>
    <s v="Kolkata"/>
    <n v="23.39"/>
    <d v="1900-03-30T04:33:36"/>
    <n v="294.98"/>
    <n v="1.5"/>
    <n v="442.47"/>
    <n v="3.3"/>
    <x v="2"/>
    <x v="3"/>
  </r>
  <r>
    <s v="TRIP02247"/>
    <x v="192"/>
    <x v="4"/>
    <s v="Bangalore"/>
    <n v="27.89"/>
    <d v="1900-04-15T01:26:24"/>
    <n v="303.97000000000003"/>
    <n v="2"/>
    <n v="607.94000000000005"/>
    <n v="3.9"/>
    <x v="0"/>
    <x v="2"/>
  </r>
  <r>
    <s v="TRIP02248"/>
    <x v="133"/>
    <x v="2"/>
    <s v="Kolkata"/>
    <n v="17.149999999999999"/>
    <d v="1900-02-24T23:31:12"/>
    <n v="228.57"/>
    <n v="1"/>
    <n v="228.57"/>
    <n v="4.9000000000000004"/>
    <x v="0"/>
    <x v="0"/>
  </r>
  <r>
    <s v="TRIP02249"/>
    <x v="75"/>
    <x v="4"/>
    <s v="Bangalore"/>
    <n v="11.88"/>
    <d v="1900-02-05T23:45:36"/>
    <n v="220.52"/>
    <n v="1"/>
    <n v="220.52"/>
    <n v="4.0999999999999996"/>
    <x v="3"/>
    <x v="1"/>
  </r>
  <r>
    <s v="TRIP02250"/>
    <x v="291"/>
    <x v="4"/>
    <s v="Bangalore"/>
    <n v="12.86"/>
    <d v="1900-01-30T00:28:48"/>
    <n v="180.39"/>
    <n v="1.5"/>
    <n v="270.58"/>
    <n v="3.3"/>
    <x v="1"/>
    <x v="0"/>
  </r>
  <r>
    <s v="TRIP02251"/>
    <x v="246"/>
    <x v="3"/>
    <s v="Delhi"/>
    <n v="8.33"/>
    <d v="1900-01-20T20:24:00"/>
    <n v="93.39"/>
    <n v="1"/>
    <n v="93.39"/>
    <n v="4.5"/>
    <x v="3"/>
    <x v="3"/>
  </r>
  <r>
    <s v="TRIP02252"/>
    <x v="257"/>
    <x v="1"/>
    <s v="Kolkata"/>
    <n v="17.59"/>
    <d v="1900-02-23T05:02:24"/>
    <n v="248.11"/>
    <n v="1"/>
    <n v="248.11"/>
    <n v="4.5999999999999996"/>
    <x v="0"/>
    <x v="1"/>
  </r>
  <r>
    <s v="TRIP02253"/>
    <x v="51"/>
    <x v="4"/>
    <s v="Chennai"/>
    <n v="8.67"/>
    <d v="1900-01-18T14:09:36"/>
    <n v="129.76"/>
    <n v="1.5"/>
    <n v="194.64"/>
    <n v="3.6"/>
    <x v="3"/>
    <x v="1"/>
  </r>
  <r>
    <s v="TRIP02254"/>
    <x v="337"/>
    <x v="2"/>
    <s v="Chennai"/>
    <n v="14.03"/>
    <d v="1900-02-15T22:33:36"/>
    <n v="227.77"/>
    <n v="1"/>
    <n v="227.77"/>
    <n v="4.7"/>
    <x v="3"/>
    <x v="3"/>
  </r>
  <r>
    <s v="TRIP02255"/>
    <x v="317"/>
    <x v="2"/>
    <s v="Delhi"/>
    <n v="9.49"/>
    <d v="1900-01-24T02:24:00"/>
    <n v="136.47"/>
    <n v="1"/>
    <n v="136.47"/>
    <n v="3.6"/>
    <x v="4"/>
    <x v="3"/>
  </r>
  <r>
    <s v="TRIP02256"/>
    <x v="101"/>
    <x v="0"/>
    <s v="Delhi"/>
    <n v="2.11"/>
    <d v="1900-01-03T21:36:00"/>
    <n v="39.93"/>
    <n v="1.5"/>
    <n v="59.9"/>
    <n v="3.5"/>
    <x v="2"/>
    <x v="3"/>
  </r>
  <r>
    <s v="TRIP02257"/>
    <x v="160"/>
    <x v="4"/>
    <s v="Chennai"/>
    <n v="16.47"/>
    <d v="1900-03-01T04:48:00"/>
    <n v="286.04000000000002"/>
    <n v="1"/>
    <n v="286.04000000000002"/>
    <n v="4.2"/>
    <x v="3"/>
    <x v="2"/>
  </r>
  <r>
    <s v="TRIP02258"/>
    <x v="245"/>
    <x v="4"/>
    <s v="Chennai"/>
    <n v="15.73"/>
    <d v="1900-02-24T22:48:00"/>
    <n v="289.29000000000002"/>
    <n v="1.2"/>
    <n v="347.15"/>
    <n v="4.9000000000000004"/>
    <x v="4"/>
    <x v="3"/>
  </r>
  <r>
    <s v="TRIP02259"/>
    <x v="320"/>
    <x v="2"/>
    <s v="Mumbai"/>
    <n v="3.16"/>
    <d v="1900-01-10T11:31:12"/>
    <n v="59.04"/>
    <n v="2"/>
    <n v="118.08"/>
    <n v="3.9"/>
    <x v="1"/>
    <x v="0"/>
  </r>
  <r>
    <s v="TRIP02260"/>
    <x v="187"/>
    <x v="0"/>
    <s v="Delhi"/>
    <n v="20.2"/>
    <d v="1900-03-08T22:48:00"/>
    <n v="382.39"/>
    <n v="2"/>
    <n v="764.78"/>
    <n v="3"/>
    <x v="3"/>
    <x v="3"/>
  </r>
  <r>
    <s v="TRIP02261"/>
    <x v="338"/>
    <x v="1"/>
    <s v="Mumbai"/>
    <n v="24.16"/>
    <d v="1900-04-03T22:19:12"/>
    <n v="278.14"/>
    <n v="1.5"/>
    <n v="417.21"/>
    <n v="5"/>
    <x v="2"/>
    <x v="2"/>
  </r>
  <r>
    <s v="TRIP02262"/>
    <x v="238"/>
    <x v="3"/>
    <s v="Bangalore"/>
    <n v="6.66"/>
    <d v="1900-01-12T21:21:36"/>
    <n v="77.260000000000005"/>
    <n v="1.2"/>
    <n v="92.71"/>
    <n v="4.4000000000000004"/>
    <x v="3"/>
    <x v="0"/>
  </r>
  <r>
    <s v="TRIP02263"/>
    <x v="175"/>
    <x v="3"/>
    <s v="Mumbai"/>
    <n v="9.85"/>
    <d v="1900-02-06T21:50:24"/>
    <n v="167.88"/>
    <n v="2"/>
    <n v="335.76"/>
    <n v="4.3"/>
    <x v="0"/>
    <x v="3"/>
  </r>
  <r>
    <s v="TRIP02264"/>
    <x v="109"/>
    <x v="4"/>
    <s v="Kolkata"/>
    <n v="22.23"/>
    <d v="1900-03-17T07:55:12"/>
    <n v="368.96"/>
    <n v="1.2"/>
    <n v="442.75"/>
    <n v="4.3"/>
    <x v="0"/>
    <x v="0"/>
  </r>
  <r>
    <s v="TRIP02265"/>
    <x v="320"/>
    <x v="3"/>
    <s v="Kolkata"/>
    <n v="25.54"/>
    <d v="1900-03-25T07:26:24"/>
    <n v="442.55"/>
    <n v="1.5"/>
    <n v="663.82"/>
    <n v="3.9"/>
    <x v="1"/>
    <x v="3"/>
  </r>
  <r>
    <s v="TRIP02266"/>
    <x v="178"/>
    <x v="0"/>
    <s v="Bangalore"/>
    <n v="23.01"/>
    <d v="1900-02-17T03:36:00"/>
    <n v="384.99"/>
    <n v="1"/>
    <n v="384.99"/>
    <n v="3.8"/>
    <x v="0"/>
    <x v="0"/>
  </r>
  <r>
    <s v="TRIP02267"/>
    <x v="219"/>
    <x v="2"/>
    <s v="Mumbai"/>
    <n v="11.55"/>
    <d v="1900-01-30T17:31:12"/>
    <n v="230.21"/>
    <n v="2"/>
    <n v="460.42"/>
    <n v="4.2"/>
    <x v="0"/>
    <x v="3"/>
  </r>
  <r>
    <s v="TRIP02268"/>
    <x v="157"/>
    <x v="4"/>
    <s v="Kolkata"/>
    <n v="22.05"/>
    <d v="1900-02-14T09:07:12"/>
    <n v="227.16"/>
    <n v="2"/>
    <n v="454.32"/>
    <n v="4.9000000000000004"/>
    <x v="1"/>
    <x v="1"/>
  </r>
  <r>
    <s v="TRIP02269"/>
    <x v="323"/>
    <x v="1"/>
    <s v="Kolkata"/>
    <n v="28.29"/>
    <d v="1900-03-07T13:12:00"/>
    <n v="328.64"/>
    <n v="2"/>
    <n v="657.28"/>
    <n v="4.5999999999999996"/>
    <x v="2"/>
    <x v="3"/>
  </r>
  <r>
    <s v="TRIP02270"/>
    <x v="345"/>
    <x v="3"/>
    <s v="Chennai"/>
    <n v="17.52"/>
    <d v="1900-02-10T19:12:00"/>
    <n v="307.76"/>
    <n v="2"/>
    <n v="615.52"/>
    <n v="3.2"/>
    <x v="2"/>
    <x v="2"/>
  </r>
  <r>
    <s v="TRIP02271"/>
    <x v="215"/>
    <x v="2"/>
    <s v="Kolkata"/>
    <n v="20.04"/>
    <d v="1900-02-25T13:40:48"/>
    <n v="358.7"/>
    <n v="1"/>
    <n v="358.7"/>
    <n v="4.5999999999999996"/>
    <x v="2"/>
    <x v="1"/>
  </r>
  <r>
    <s v="TRIP02272"/>
    <x v="311"/>
    <x v="0"/>
    <s v="Kolkata"/>
    <n v="10.85"/>
    <d v="1900-02-10T00:14:24"/>
    <n v="126.37"/>
    <n v="1.5"/>
    <n v="189.56"/>
    <n v="3.4"/>
    <x v="4"/>
    <x v="0"/>
  </r>
  <r>
    <s v="TRIP02273"/>
    <x v="362"/>
    <x v="4"/>
    <s v="Delhi"/>
    <n v="24.24"/>
    <d v="1900-03-25T21:21:36"/>
    <n v="465.29"/>
    <n v="1.5"/>
    <n v="697.94"/>
    <n v="4.5"/>
    <x v="0"/>
    <x v="2"/>
  </r>
  <r>
    <s v="TRIP02274"/>
    <x v="325"/>
    <x v="4"/>
    <s v="Chennai"/>
    <n v="18.07"/>
    <d v="1900-03-04T06:28:48"/>
    <n v="197.56"/>
    <n v="1"/>
    <n v="197.56"/>
    <n v="3.2"/>
    <x v="1"/>
    <x v="3"/>
  </r>
  <r>
    <s v="TRIP02275"/>
    <x v="350"/>
    <x v="2"/>
    <s v="Kolkata"/>
    <n v="18.22"/>
    <d v="1900-03-08T18:00:00"/>
    <n v="304.39"/>
    <n v="2"/>
    <n v="608.78"/>
    <n v="3.7"/>
    <x v="1"/>
    <x v="2"/>
  </r>
  <r>
    <s v="TRIP02276"/>
    <x v="257"/>
    <x v="2"/>
    <s v="Chennai"/>
    <n v="1.89"/>
    <d v="1900-01-06T10:48:00"/>
    <n v="36.380000000000003"/>
    <n v="2"/>
    <n v="72.760000000000005"/>
    <n v="3.6"/>
    <x v="4"/>
    <x v="3"/>
  </r>
  <r>
    <s v="TRIP02277"/>
    <x v="273"/>
    <x v="4"/>
    <s v="Bangalore"/>
    <n v="28.67"/>
    <d v="1900-04-18T01:55:12"/>
    <n v="513.26"/>
    <n v="2"/>
    <n v="1026.52"/>
    <n v="4.0999999999999996"/>
    <x v="0"/>
    <x v="2"/>
  </r>
  <r>
    <s v="TRIP02278"/>
    <x v="108"/>
    <x v="1"/>
    <s v="Bangalore"/>
    <n v="8.92"/>
    <d v="1900-01-28T00:28:48"/>
    <n v="163.05000000000001"/>
    <n v="1.2"/>
    <n v="195.66"/>
    <n v="4.5999999999999996"/>
    <x v="2"/>
    <x v="3"/>
  </r>
  <r>
    <s v="TRIP02279"/>
    <x v="74"/>
    <x v="2"/>
    <s v="Delhi"/>
    <n v="17.95"/>
    <d v="1900-03-11T09:21:36"/>
    <n v="287.56"/>
    <n v="2"/>
    <n v="575.12"/>
    <n v="3"/>
    <x v="0"/>
    <x v="1"/>
  </r>
  <r>
    <s v="TRIP02280"/>
    <x v="92"/>
    <x v="2"/>
    <s v="Mumbai"/>
    <n v="21.34"/>
    <d v="1900-03-13T06:00:00"/>
    <n v="310.37"/>
    <n v="1"/>
    <n v="310.37"/>
    <n v="3.7"/>
    <x v="1"/>
    <x v="1"/>
  </r>
  <r>
    <s v="TRIP02281"/>
    <x v="315"/>
    <x v="3"/>
    <s v="Chennai"/>
    <n v="7.99"/>
    <d v="1900-01-17T10:48:00"/>
    <n v="150.72999999999999"/>
    <n v="2"/>
    <n v="301.45999999999998"/>
    <n v="4.3"/>
    <x v="3"/>
    <x v="1"/>
  </r>
  <r>
    <s v="TRIP02282"/>
    <x v="226"/>
    <x v="3"/>
    <s v="Kolkata"/>
    <n v="4.47"/>
    <d v="1900-01-14T04:48:00"/>
    <n v="44.97"/>
    <n v="2"/>
    <n v="89.94"/>
    <n v="3"/>
    <x v="1"/>
    <x v="1"/>
  </r>
  <r>
    <s v="TRIP02283"/>
    <x v="35"/>
    <x v="2"/>
    <s v="Kolkata"/>
    <n v="4.22"/>
    <d v="1900-01-09T12:00:00"/>
    <n v="54.77"/>
    <n v="1.2"/>
    <n v="65.72"/>
    <n v="4.3"/>
    <x v="3"/>
    <x v="2"/>
  </r>
  <r>
    <s v="TRIP02284"/>
    <x v="236"/>
    <x v="0"/>
    <s v="Bangalore"/>
    <n v="11.15"/>
    <d v="1900-01-31T04:48:00"/>
    <n v="118.67"/>
    <n v="1"/>
    <n v="118.67"/>
    <n v="3.7"/>
    <x v="4"/>
    <x v="2"/>
  </r>
  <r>
    <s v="TRIP02285"/>
    <x v="141"/>
    <x v="0"/>
    <s v="Delhi"/>
    <n v="14.36"/>
    <d v="1900-02-10T12:28:48"/>
    <n v="224.12"/>
    <n v="1.5"/>
    <n v="336.18"/>
    <n v="3.2"/>
    <x v="0"/>
    <x v="1"/>
  </r>
  <r>
    <s v="TRIP02286"/>
    <x v="181"/>
    <x v="0"/>
    <s v="Chennai"/>
    <n v="20.23"/>
    <d v="1900-03-01T18:28:48"/>
    <n v="221.71"/>
    <n v="1.2"/>
    <n v="266.05"/>
    <n v="4.4000000000000004"/>
    <x v="2"/>
    <x v="2"/>
  </r>
  <r>
    <s v="TRIP02287"/>
    <x v="249"/>
    <x v="4"/>
    <s v="Delhi"/>
    <n v="23.62"/>
    <d v="1900-03-09T19:26:24"/>
    <n v="337.74"/>
    <n v="1.2"/>
    <n v="405.29"/>
    <n v="3.8"/>
    <x v="4"/>
    <x v="1"/>
  </r>
  <r>
    <s v="TRIP02288"/>
    <x v="129"/>
    <x v="1"/>
    <s v="Mumbai"/>
    <n v="21.93"/>
    <d v="1900-03-22T15:07:12"/>
    <n v="354.34"/>
    <n v="1.2"/>
    <n v="425.21"/>
    <n v="5"/>
    <x v="0"/>
    <x v="0"/>
  </r>
  <r>
    <s v="TRIP02289"/>
    <x v="302"/>
    <x v="3"/>
    <s v="Bangalore"/>
    <n v="29.94"/>
    <d v="1900-03-14T12:43:12"/>
    <n v="551.57000000000005"/>
    <n v="1"/>
    <n v="551.57000000000005"/>
    <n v="4.4000000000000004"/>
    <x v="2"/>
    <x v="2"/>
  </r>
  <r>
    <s v="TRIP02290"/>
    <x v="147"/>
    <x v="1"/>
    <s v="Chennai"/>
    <n v="3.85"/>
    <d v="1900-01-14T05:45:36"/>
    <n v="49.9"/>
    <n v="1.2"/>
    <n v="59.88"/>
    <n v="3.9"/>
    <x v="1"/>
    <x v="3"/>
  </r>
  <r>
    <s v="TRIP02291"/>
    <x v="115"/>
    <x v="3"/>
    <s v="Chennai"/>
    <n v="1.61"/>
    <d v="1900-01-03T17:16:48"/>
    <n v="19.940000000000001"/>
    <n v="1.5"/>
    <n v="29.91"/>
    <n v="4.5"/>
    <x v="0"/>
    <x v="2"/>
  </r>
  <r>
    <s v="TRIP02292"/>
    <x v="276"/>
    <x v="1"/>
    <s v="Chennai"/>
    <n v="3.25"/>
    <d v="1900-01-06T13:26:24"/>
    <n v="45.11"/>
    <n v="2"/>
    <n v="90.22"/>
    <n v="4.5"/>
    <x v="1"/>
    <x v="2"/>
  </r>
  <r>
    <s v="TRIP02293"/>
    <x v="62"/>
    <x v="0"/>
    <s v="Bangalore"/>
    <n v="13.07"/>
    <d v="1900-01-27T13:55:12"/>
    <n v="194"/>
    <n v="1.2"/>
    <n v="232.8"/>
    <n v="3.6"/>
    <x v="1"/>
    <x v="2"/>
  </r>
  <r>
    <s v="TRIP02294"/>
    <x v="248"/>
    <x v="4"/>
    <s v="Mumbai"/>
    <n v="7.95"/>
    <d v="1900-01-28T13:40:48"/>
    <n v="153.01"/>
    <n v="1.5"/>
    <n v="229.52"/>
    <n v="3.3"/>
    <x v="4"/>
    <x v="1"/>
  </r>
  <r>
    <s v="TRIP02295"/>
    <x v="67"/>
    <x v="4"/>
    <s v="Bangalore"/>
    <n v="8.9"/>
    <d v="1900-01-26T13:40:48"/>
    <n v="153.24"/>
    <n v="1.2"/>
    <n v="183.89"/>
    <n v="4.4000000000000004"/>
    <x v="2"/>
    <x v="3"/>
  </r>
  <r>
    <s v="TRIP02296"/>
    <x v="68"/>
    <x v="4"/>
    <s v="Delhi"/>
    <n v="4.41"/>
    <d v="1900-01-15T06:28:48"/>
    <n v="81.36"/>
    <n v="1.2"/>
    <n v="97.63"/>
    <n v="4.4000000000000004"/>
    <x v="2"/>
    <x v="1"/>
  </r>
  <r>
    <s v="TRIP02297"/>
    <x v="215"/>
    <x v="4"/>
    <s v="Kolkata"/>
    <n v="21.44"/>
    <d v="1900-02-26T07:40:48"/>
    <n v="224.15"/>
    <n v="1"/>
    <n v="224.15"/>
    <n v="4.7"/>
    <x v="1"/>
    <x v="2"/>
  </r>
  <r>
    <s v="TRIP02298"/>
    <x v="138"/>
    <x v="1"/>
    <s v="Bangalore"/>
    <n v="18.079999999999998"/>
    <d v="1900-03-08T15:21:36"/>
    <n v="324.19"/>
    <n v="2"/>
    <n v="648.38"/>
    <n v="4.8"/>
    <x v="4"/>
    <x v="1"/>
  </r>
  <r>
    <s v="TRIP02299"/>
    <x v="321"/>
    <x v="1"/>
    <s v="Bangalore"/>
    <n v="18.940000000000001"/>
    <d v="1900-02-22T16:33:36"/>
    <n v="236.01"/>
    <n v="1.2"/>
    <n v="283.20999999999998"/>
    <n v="3.6"/>
    <x v="0"/>
    <x v="2"/>
  </r>
  <r>
    <s v="TRIP02300"/>
    <x v="132"/>
    <x v="4"/>
    <s v="Kolkata"/>
    <n v="19.059999999999999"/>
    <d v="1900-02-12T03:36:00"/>
    <n v="354.63"/>
    <n v="1.2"/>
    <n v="425.56"/>
    <n v="3.1"/>
    <x v="0"/>
    <x v="1"/>
  </r>
  <r>
    <s v="TRIP02301"/>
    <x v="257"/>
    <x v="1"/>
    <s v="Kolkata"/>
    <n v="14.57"/>
    <d v="1900-02-05T03:36:00"/>
    <n v="166.36"/>
    <n v="2"/>
    <n v="332.72"/>
    <n v="3.2"/>
    <x v="1"/>
    <x v="1"/>
  </r>
  <r>
    <s v="TRIP02302"/>
    <x v="85"/>
    <x v="4"/>
    <s v="Bangalore"/>
    <n v="4.1100000000000003"/>
    <d v="1900-01-10T10:33:36"/>
    <n v="65.319999999999993"/>
    <n v="1.2"/>
    <n v="78.38"/>
    <n v="4.4000000000000004"/>
    <x v="0"/>
    <x v="0"/>
  </r>
  <r>
    <s v="TRIP02303"/>
    <x v="260"/>
    <x v="2"/>
    <s v="Mumbai"/>
    <n v="1.55"/>
    <d v="1900-01-02T05:02:24"/>
    <n v="26.11"/>
    <n v="1.5"/>
    <n v="39.159999999999997"/>
    <n v="4.9000000000000004"/>
    <x v="3"/>
    <x v="2"/>
  </r>
  <r>
    <s v="TRIP02304"/>
    <x v="48"/>
    <x v="2"/>
    <s v="Chennai"/>
    <n v="12.77"/>
    <d v="1900-01-25T08:09:36"/>
    <n v="251.24"/>
    <n v="2"/>
    <n v="502.48"/>
    <n v="3.6"/>
    <x v="2"/>
    <x v="1"/>
  </r>
  <r>
    <s v="TRIP02305"/>
    <x v="362"/>
    <x v="1"/>
    <s v="Chennai"/>
    <n v="3.05"/>
    <d v="1900-01-08T09:36:00"/>
    <n v="57.72"/>
    <n v="1.5"/>
    <n v="86.58"/>
    <n v="3.5"/>
    <x v="2"/>
    <x v="2"/>
  </r>
  <r>
    <s v="TRIP02306"/>
    <x v="52"/>
    <x v="4"/>
    <s v="Kolkata"/>
    <n v="16.329999999999998"/>
    <d v="1900-03-02T23:16:48"/>
    <n v="233.32"/>
    <n v="1.2"/>
    <n v="279.98"/>
    <n v="4.0999999999999996"/>
    <x v="1"/>
    <x v="3"/>
  </r>
  <r>
    <s v="TRIP02307"/>
    <x v="318"/>
    <x v="2"/>
    <s v="Chennai"/>
    <n v="29.4"/>
    <d v="1900-04-24T05:45:36"/>
    <n v="390.77"/>
    <n v="1.5"/>
    <n v="586.16"/>
    <n v="3.4"/>
    <x v="0"/>
    <x v="2"/>
  </r>
  <r>
    <s v="TRIP02308"/>
    <x v="16"/>
    <x v="0"/>
    <s v="Mumbai"/>
    <n v="7.11"/>
    <d v="1900-01-22T02:24:00"/>
    <n v="76.27"/>
    <n v="1.5"/>
    <n v="114.4"/>
    <n v="4.8"/>
    <x v="3"/>
    <x v="2"/>
  </r>
  <r>
    <s v="TRIP02309"/>
    <x v="114"/>
    <x v="3"/>
    <s v="Bangalore"/>
    <n v="3.05"/>
    <d v="1900-01-07T12:57:36"/>
    <n v="48.1"/>
    <n v="1.5"/>
    <n v="72.150000000000006"/>
    <n v="4.5999999999999996"/>
    <x v="1"/>
    <x v="0"/>
  </r>
  <r>
    <s v="TRIP02310"/>
    <x v="29"/>
    <x v="2"/>
    <s v="Bangalore"/>
    <n v="15.79"/>
    <d v="1900-02-20T16:04:48"/>
    <n v="162.05000000000001"/>
    <n v="1.5"/>
    <n v="243.08"/>
    <n v="3.9"/>
    <x v="1"/>
    <x v="1"/>
  </r>
  <r>
    <s v="TRIP02311"/>
    <x v="142"/>
    <x v="0"/>
    <s v="Delhi"/>
    <n v="8.33"/>
    <d v="1900-01-31T14:52:48"/>
    <n v="85.81"/>
    <n v="2"/>
    <n v="171.62"/>
    <n v="4.0999999999999996"/>
    <x v="1"/>
    <x v="3"/>
  </r>
  <r>
    <s v="TRIP02312"/>
    <x v="164"/>
    <x v="2"/>
    <s v="Chennai"/>
    <n v="2.42"/>
    <d v="1900-01-05T06:14:24"/>
    <n v="43.23"/>
    <n v="1.2"/>
    <n v="51.88"/>
    <n v="4.0999999999999996"/>
    <x v="3"/>
    <x v="2"/>
  </r>
  <r>
    <s v="TRIP02313"/>
    <x v="355"/>
    <x v="2"/>
    <s v="Delhi"/>
    <n v="6.71"/>
    <d v="1900-01-21T00:57:36"/>
    <n v="97.84"/>
    <n v="1.5"/>
    <n v="146.76"/>
    <n v="3.9"/>
    <x v="4"/>
    <x v="1"/>
  </r>
  <r>
    <s v="TRIP02314"/>
    <x v="326"/>
    <x v="3"/>
    <s v="Kolkata"/>
    <n v="12.48"/>
    <d v="1900-02-17T12:00:00"/>
    <n v="225.7"/>
    <n v="1"/>
    <n v="225.7"/>
    <n v="3.2"/>
    <x v="4"/>
    <x v="3"/>
  </r>
  <r>
    <s v="TRIP02315"/>
    <x v="116"/>
    <x v="3"/>
    <s v="Delhi"/>
    <n v="10.56"/>
    <d v="1900-02-02T20:38:24"/>
    <n v="185.54"/>
    <n v="1"/>
    <n v="185.54"/>
    <n v="4"/>
    <x v="2"/>
    <x v="3"/>
  </r>
  <r>
    <s v="TRIP02316"/>
    <x v="316"/>
    <x v="3"/>
    <s v="Bangalore"/>
    <n v="12.73"/>
    <d v="1900-01-30T05:16:48"/>
    <n v="129.51"/>
    <n v="1.2"/>
    <n v="155.41"/>
    <n v="4.9000000000000004"/>
    <x v="2"/>
    <x v="3"/>
  </r>
  <r>
    <s v="TRIP02317"/>
    <x v="287"/>
    <x v="1"/>
    <s v="Mumbai"/>
    <n v="6.5"/>
    <d v="1900-01-12T09:50:24"/>
    <n v="108.83"/>
    <n v="1.5"/>
    <n v="163.24"/>
    <n v="5"/>
    <x v="2"/>
    <x v="1"/>
  </r>
  <r>
    <s v="TRIP02318"/>
    <x v="33"/>
    <x v="1"/>
    <s v="Chennai"/>
    <n v="2.98"/>
    <d v="1900-01-07T10:48:00"/>
    <n v="37.130000000000003"/>
    <n v="1"/>
    <n v="37.130000000000003"/>
    <n v="3.8"/>
    <x v="3"/>
    <x v="0"/>
  </r>
  <r>
    <s v="TRIP02319"/>
    <x v="251"/>
    <x v="3"/>
    <s v="Kolkata"/>
    <n v="22"/>
    <d v="1900-03-13T03:07:12"/>
    <n v="317.07"/>
    <n v="1"/>
    <n v="317.07"/>
    <n v="4.5"/>
    <x v="2"/>
    <x v="2"/>
  </r>
  <r>
    <s v="TRIP02320"/>
    <x v="226"/>
    <x v="2"/>
    <s v="Bangalore"/>
    <n v="19.14"/>
    <d v="1900-02-08T06:14:24"/>
    <n v="231.79"/>
    <n v="1.2"/>
    <n v="278.14999999999998"/>
    <n v="4.5999999999999996"/>
    <x v="3"/>
    <x v="2"/>
  </r>
  <r>
    <s v="TRIP02321"/>
    <x v="213"/>
    <x v="2"/>
    <s v="Kolkata"/>
    <n v="19.2"/>
    <d v="1900-02-28T03:21:36"/>
    <n v="309.52999999999997"/>
    <n v="1.2"/>
    <n v="371.44"/>
    <n v="4.5"/>
    <x v="4"/>
    <x v="0"/>
  </r>
  <r>
    <s v="TRIP02322"/>
    <x v="312"/>
    <x v="0"/>
    <s v="Kolkata"/>
    <n v="23.4"/>
    <d v="1900-03-01T23:45:36"/>
    <n v="407.28"/>
    <n v="1"/>
    <n v="407.28"/>
    <n v="3.4"/>
    <x v="1"/>
    <x v="0"/>
  </r>
  <r>
    <s v="TRIP02323"/>
    <x v="132"/>
    <x v="3"/>
    <s v="Mumbai"/>
    <n v="10.86"/>
    <d v="1900-02-09T06:28:48"/>
    <n v="114.01"/>
    <n v="2"/>
    <n v="228.02"/>
    <n v="3.8"/>
    <x v="3"/>
    <x v="2"/>
  </r>
  <r>
    <s v="TRIP02324"/>
    <x v="141"/>
    <x v="1"/>
    <s v="Kolkata"/>
    <n v="1.84"/>
    <d v="1900-01-03T02:24:00"/>
    <n v="26.33"/>
    <n v="1.5"/>
    <n v="39.49"/>
    <n v="4.7"/>
    <x v="3"/>
    <x v="0"/>
  </r>
  <r>
    <s v="TRIP02325"/>
    <x v="195"/>
    <x v="0"/>
    <s v="Mumbai"/>
    <n v="25.64"/>
    <d v="1900-03-13T17:16:48"/>
    <n v="504.65"/>
    <n v="2"/>
    <n v="1009.3"/>
    <n v="3.2"/>
    <x v="3"/>
    <x v="2"/>
  </r>
  <r>
    <s v="TRIP02326"/>
    <x v="265"/>
    <x v="0"/>
    <s v="Delhi"/>
    <n v="28.04"/>
    <d v="1900-04-04T17:31:12"/>
    <n v="531.52"/>
    <n v="1.2"/>
    <n v="637.82000000000005"/>
    <n v="3.2"/>
    <x v="3"/>
    <x v="1"/>
  </r>
  <r>
    <s v="TRIP02327"/>
    <x v="36"/>
    <x v="4"/>
    <s v="Chennai"/>
    <n v="22.83"/>
    <d v="1900-03-05T01:12:00"/>
    <n v="419.46"/>
    <n v="2"/>
    <n v="838.92"/>
    <n v="3.7"/>
    <x v="2"/>
    <x v="2"/>
  </r>
  <r>
    <s v="TRIP02328"/>
    <x v="303"/>
    <x v="4"/>
    <s v="Chennai"/>
    <n v="24.88"/>
    <d v="1900-02-25T10:33:36"/>
    <n v="331.95"/>
    <n v="1.2"/>
    <n v="398.34"/>
    <n v="4.8"/>
    <x v="3"/>
    <x v="1"/>
  </r>
  <r>
    <s v="TRIP02329"/>
    <x v="175"/>
    <x v="4"/>
    <s v="Mumbai"/>
    <n v="17.8"/>
    <d v="1900-02-24T04:48:00"/>
    <n v="214.83"/>
    <n v="1.2"/>
    <n v="257.8"/>
    <n v="4.2"/>
    <x v="3"/>
    <x v="0"/>
  </r>
  <r>
    <s v="TRIP02330"/>
    <x v="210"/>
    <x v="0"/>
    <s v="Kolkata"/>
    <n v="10.220000000000001"/>
    <d v="1900-01-24T04:33:36"/>
    <n v="192.01"/>
    <n v="1.2"/>
    <n v="230.41"/>
    <n v="3.7"/>
    <x v="3"/>
    <x v="1"/>
  </r>
  <r>
    <s v="TRIP02331"/>
    <x v="175"/>
    <x v="2"/>
    <s v="Bangalore"/>
    <n v="2.0299999999999998"/>
    <d v="1900-01-06T07:55:12"/>
    <n v="32.79"/>
    <n v="1"/>
    <n v="32.79"/>
    <n v="4.2"/>
    <x v="1"/>
    <x v="3"/>
  </r>
  <r>
    <s v="TRIP02332"/>
    <x v="264"/>
    <x v="0"/>
    <s v="Mumbai"/>
    <n v="20.440000000000001"/>
    <d v="1900-02-16T00:57:36"/>
    <n v="301.24"/>
    <n v="1"/>
    <n v="301.24"/>
    <n v="3.3"/>
    <x v="0"/>
    <x v="2"/>
  </r>
  <r>
    <s v="TRIP02333"/>
    <x v="173"/>
    <x v="0"/>
    <s v="Chennai"/>
    <n v="1.43"/>
    <d v="1900-01-02T05:31:12"/>
    <n v="17.899999999999999"/>
    <n v="1"/>
    <n v="17.899999999999999"/>
    <n v="3.8"/>
    <x v="4"/>
    <x v="0"/>
  </r>
  <r>
    <s v="TRIP02334"/>
    <x v="353"/>
    <x v="1"/>
    <s v="Mumbai"/>
    <n v="5"/>
    <d v="1900-01-15T17:31:12"/>
    <n v="79.81"/>
    <n v="1"/>
    <n v="79.81"/>
    <n v="3.6"/>
    <x v="2"/>
    <x v="2"/>
  </r>
  <r>
    <s v="TRIP02335"/>
    <x v="355"/>
    <x v="1"/>
    <s v="Chennai"/>
    <n v="3.25"/>
    <d v="1900-01-08T01:12:00"/>
    <n v="37.5"/>
    <n v="1.2"/>
    <n v="45"/>
    <n v="3.8"/>
    <x v="1"/>
    <x v="0"/>
  </r>
  <r>
    <s v="TRIP02336"/>
    <x v="154"/>
    <x v="4"/>
    <s v="Delhi"/>
    <n v="8.15"/>
    <d v="1900-01-28T09:21:36"/>
    <n v="131.38"/>
    <n v="2"/>
    <n v="262.76"/>
    <n v="4.7"/>
    <x v="3"/>
    <x v="0"/>
  </r>
  <r>
    <s v="TRIP02337"/>
    <x v="94"/>
    <x v="3"/>
    <s v="Delhi"/>
    <n v="13.95"/>
    <d v="1900-02-03T14:52:48"/>
    <n v="154.06"/>
    <n v="1.5"/>
    <n v="231.09"/>
    <n v="4.8"/>
    <x v="0"/>
    <x v="1"/>
  </r>
  <r>
    <s v="TRIP02338"/>
    <x v="16"/>
    <x v="1"/>
    <s v="Chennai"/>
    <n v="25.29"/>
    <d v="1900-02-27T20:38:24"/>
    <n v="360.29"/>
    <n v="1.2"/>
    <n v="432.35"/>
    <n v="4.2"/>
    <x v="4"/>
    <x v="0"/>
  </r>
  <r>
    <s v="TRIP02339"/>
    <x v="346"/>
    <x v="2"/>
    <s v="Bangalore"/>
    <n v="24.48"/>
    <d v="1900-03-16T01:40:48"/>
    <n v="452.06"/>
    <n v="1.2"/>
    <n v="542.47"/>
    <n v="4.0999999999999996"/>
    <x v="4"/>
    <x v="3"/>
  </r>
  <r>
    <s v="TRIP02340"/>
    <x v="176"/>
    <x v="1"/>
    <s v="Chennai"/>
    <n v="13.68"/>
    <d v="1900-02-17T21:07:12"/>
    <n v="263.18"/>
    <n v="1.5"/>
    <n v="394.77"/>
    <n v="4.2"/>
    <x v="4"/>
    <x v="3"/>
  </r>
  <r>
    <s v="TRIP02341"/>
    <x v="306"/>
    <x v="4"/>
    <s v="Chennai"/>
    <n v="2.71"/>
    <d v="1900-01-09T07:55:12"/>
    <n v="32.22"/>
    <n v="1.2"/>
    <n v="38.659999999999997"/>
    <n v="4.9000000000000004"/>
    <x v="4"/>
    <x v="2"/>
  </r>
  <r>
    <s v="TRIP02342"/>
    <x v="255"/>
    <x v="0"/>
    <s v="Bangalore"/>
    <n v="29"/>
    <d v="1900-04-16T10:04:48"/>
    <n v="554.82000000000005"/>
    <n v="1"/>
    <n v="554.82000000000005"/>
    <n v="3.3"/>
    <x v="2"/>
    <x v="2"/>
  </r>
  <r>
    <s v="TRIP02343"/>
    <x v="39"/>
    <x v="2"/>
    <s v="Chennai"/>
    <n v="27.8"/>
    <d v="1900-04-18T12:00:00"/>
    <n v="417.71"/>
    <n v="1"/>
    <n v="417.71"/>
    <n v="3.3"/>
    <x v="0"/>
    <x v="3"/>
  </r>
  <r>
    <s v="TRIP02344"/>
    <x v="196"/>
    <x v="3"/>
    <s v="Kolkata"/>
    <n v="29.29"/>
    <d v="1900-04-18T16:04:48"/>
    <n v="545.33000000000004"/>
    <n v="1"/>
    <n v="545.33000000000004"/>
    <n v="4.2"/>
    <x v="3"/>
    <x v="2"/>
  </r>
  <r>
    <s v="TRIP02345"/>
    <x v="271"/>
    <x v="4"/>
    <s v="Mumbai"/>
    <n v="7.75"/>
    <d v="1900-01-24T01:26:24"/>
    <n v="116.95"/>
    <n v="1.5"/>
    <n v="175.42"/>
    <n v="4"/>
    <x v="3"/>
    <x v="1"/>
  </r>
  <r>
    <s v="TRIP02346"/>
    <x v="327"/>
    <x v="4"/>
    <s v="Chennai"/>
    <n v="19.420000000000002"/>
    <d v="1900-02-24T00:57:36"/>
    <n v="289.58"/>
    <n v="1.5"/>
    <n v="434.37"/>
    <n v="4.4000000000000004"/>
    <x v="3"/>
    <x v="3"/>
  </r>
  <r>
    <s v="TRIP02347"/>
    <x v="112"/>
    <x v="4"/>
    <s v="Bangalore"/>
    <n v="3.18"/>
    <d v="1900-01-05T19:55:12"/>
    <n v="38.03"/>
    <n v="1.2"/>
    <n v="45.64"/>
    <n v="3.7"/>
    <x v="3"/>
    <x v="0"/>
  </r>
  <r>
    <s v="TRIP02348"/>
    <x v="151"/>
    <x v="0"/>
    <s v="Chennai"/>
    <n v="15.08"/>
    <d v="1900-02-08T06:43:12"/>
    <n v="163.22"/>
    <n v="1"/>
    <n v="163.22"/>
    <n v="4.7"/>
    <x v="2"/>
    <x v="0"/>
  </r>
  <r>
    <s v="TRIP02349"/>
    <x v="244"/>
    <x v="1"/>
    <s v="Mumbai"/>
    <n v="18.829999999999998"/>
    <d v="1900-03-14T11:02:24"/>
    <n v="209.26"/>
    <n v="1.2"/>
    <n v="251.11"/>
    <n v="3.1"/>
    <x v="4"/>
    <x v="1"/>
  </r>
  <r>
    <s v="TRIP02350"/>
    <x v="218"/>
    <x v="1"/>
    <s v="Delhi"/>
    <n v="29.09"/>
    <d v="1900-04-12T01:55:12"/>
    <n v="552.19000000000005"/>
    <n v="1"/>
    <n v="552.19000000000005"/>
    <n v="4.5"/>
    <x v="1"/>
    <x v="1"/>
  </r>
  <r>
    <s v="TRIP02351"/>
    <x v="195"/>
    <x v="0"/>
    <s v="Mumbai"/>
    <n v="3.98"/>
    <d v="1900-01-07T09:07:12"/>
    <n v="73.849999999999994"/>
    <n v="1"/>
    <n v="73.849999999999994"/>
    <n v="3.3"/>
    <x v="4"/>
    <x v="2"/>
  </r>
  <r>
    <s v="TRIP02352"/>
    <x v="127"/>
    <x v="3"/>
    <s v="Delhi"/>
    <n v="15.81"/>
    <d v="1900-02-02T05:16:48"/>
    <n v="255.6"/>
    <n v="1.5"/>
    <n v="383.4"/>
    <n v="4.9000000000000004"/>
    <x v="1"/>
    <x v="2"/>
  </r>
  <r>
    <s v="TRIP02353"/>
    <x v="259"/>
    <x v="0"/>
    <s v="Chennai"/>
    <n v="19.87"/>
    <d v="1900-02-16T04:33:36"/>
    <n v="273.16000000000003"/>
    <n v="1.2"/>
    <n v="327.79"/>
    <n v="4.5999999999999996"/>
    <x v="2"/>
    <x v="1"/>
  </r>
  <r>
    <s v="TRIP02354"/>
    <x v="332"/>
    <x v="4"/>
    <s v="Delhi"/>
    <n v="10.119999999999999"/>
    <d v="1900-01-30T14:24:00"/>
    <n v="155.19"/>
    <n v="2"/>
    <n v="310.38"/>
    <n v="5"/>
    <x v="2"/>
    <x v="3"/>
  </r>
  <r>
    <s v="TRIP02355"/>
    <x v="226"/>
    <x v="3"/>
    <s v="Kolkata"/>
    <n v="12.92"/>
    <d v="1900-02-13T13:40:48"/>
    <n v="142.09"/>
    <n v="2"/>
    <n v="284.18"/>
    <n v="3.9"/>
    <x v="0"/>
    <x v="1"/>
  </r>
  <r>
    <s v="TRIP02356"/>
    <x v="158"/>
    <x v="2"/>
    <s v="Kolkata"/>
    <n v="2.14"/>
    <d v="1900-01-04T19:55:12"/>
    <n v="34.47"/>
    <n v="2"/>
    <n v="68.94"/>
    <n v="4.0999999999999996"/>
    <x v="0"/>
    <x v="3"/>
  </r>
  <r>
    <s v="TRIP02357"/>
    <x v="111"/>
    <x v="0"/>
    <s v="Mumbai"/>
    <n v="3.25"/>
    <d v="1900-01-11T13:12:00"/>
    <n v="55.48"/>
    <n v="1.5"/>
    <n v="83.22"/>
    <n v="3.2"/>
    <x v="3"/>
    <x v="1"/>
  </r>
  <r>
    <s v="TRIP02358"/>
    <x v="103"/>
    <x v="0"/>
    <s v="Bangalore"/>
    <n v="22.48"/>
    <d v="1900-03-12T00:00:00"/>
    <n v="375.79"/>
    <n v="1.5"/>
    <n v="563.69000000000005"/>
    <n v="4.3"/>
    <x v="1"/>
    <x v="1"/>
  </r>
  <r>
    <s v="TRIP02359"/>
    <x v="335"/>
    <x v="1"/>
    <s v="Delhi"/>
    <n v="22.13"/>
    <d v="1900-03-12T20:09:36"/>
    <n v="439.45"/>
    <n v="2"/>
    <n v="878.9"/>
    <n v="4.5"/>
    <x v="4"/>
    <x v="3"/>
  </r>
  <r>
    <s v="TRIP02360"/>
    <x v="10"/>
    <x v="1"/>
    <s v="Kolkata"/>
    <n v="23.62"/>
    <d v="1900-03-03T06:00:00"/>
    <n v="325.88"/>
    <n v="1"/>
    <n v="325.88"/>
    <n v="3.9"/>
    <x v="0"/>
    <x v="2"/>
  </r>
  <r>
    <s v="TRIP02361"/>
    <x v="69"/>
    <x v="4"/>
    <s v="Mumbai"/>
    <n v="19.12"/>
    <d v="1900-03-12T05:45:36"/>
    <n v="231.32"/>
    <n v="2"/>
    <n v="462.64"/>
    <n v="4.8"/>
    <x v="2"/>
    <x v="1"/>
  </r>
  <r>
    <s v="TRIP02362"/>
    <x v="263"/>
    <x v="3"/>
    <s v="Mumbai"/>
    <n v="15.39"/>
    <d v="1900-02-12T00:57:36"/>
    <n v="300.77999999999997"/>
    <n v="1"/>
    <n v="300.77999999999997"/>
    <n v="4.9000000000000004"/>
    <x v="4"/>
    <x v="2"/>
  </r>
  <r>
    <s v="TRIP02363"/>
    <x v="42"/>
    <x v="2"/>
    <s v="Mumbai"/>
    <n v="9.93"/>
    <d v="1900-01-24T14:24:00"/>
    <n v="145.83000000000001"/>
    <n v="2"/>
    <n v="291.66000000000003"/>
    <n v="3.5"/>
    <x v="2"/>
    <x v="2"/>
  </r>
  <r>
    <s v="TRIP02364"/>
    <x v="257"/>
    <x v="4"/>
    <s v="Delhi"/>
    <n v="10.51"/>
    <d v="1900-01-28T21:50:24"/>
    <n v="175.46"/>
    <n v="1.2"/>
    <n v="210.55"/>
    <n v="4.2"/>
    <x v="4"/>
    <x v="0"/>
  </r>
  <r>
    <s v="TRIP02365"/>
    <x v="51"/>
    <x v="0"/>
    <s v="Delhi"/>
    <n v="26.51"/>
    <d v="1900-04-07T11:16:48"/>
    <n v="364.53"/>
    <n v="2"/>
    <n v="729.06"/>
    <n v="3.4"/>
    <x v="3"/>
    <x v="3"/>
  </r>
  <r>
    <s v="TRIP02366"/>
    <x v="352"/>
    <x v="3"/>
    <s v="Chennai"/>
    <n v="12.58"/>
    <d v="1900-02-04T17:45:36"/>
    <n v="239.9"/>
    <n v="1.2"/>
    <n v="287.88"/>
    <n v="3.9"/>
    <x v="4"/>
    <x v="3"/>
  </r>
  <r>
    <s v="TRIP02367"/>
    <x v="27"/>
    <x v="2"/>
    <s v="Delhi"/>
    <n v="1.24"/>
    <d v="1900-01-03T01:40:48"/>
    <n v="13.25"/>
    <n v="2"/>
    <n v="26.5"/>
    <n v="4.5999999999999996"/>
    <x v="2"/>
    <x v="2"/>
  </r>
  <r>
    <s v="TRIP02368"/>
    <x v="39"/>
    <x v="0"/>
    <s v="Mumbai"/>
    <n v="21.32"/>
    <d v="1900-03-10T13:12:00"/>
    <n v="223.66"/>
    <n v="1"/>
    <n v="223.66"/>
    <n v="5"/>
    <x v="4"/>
    <x v="0"/>
  </r>
  <r>
    <s v="TRIP02369"/>
    <x v="33"/>
    <x v="4"/>
    <s v="Chennai"/>
    <n v="3.65"/>
    <d v="1900-01-07T14:24:00"/>
    <n v="61.63"/>
    <n v="1"/>
    <n v="61.63"/>
    <n v="3.4"/>
    <x v="1"/>
    <x v="1"/>
  </r>
  <r>
    <s v="TRIP02370"/>
    <x v="15"/>
    <x v="1"/>
    <s v="Mumbai"/>
    <n v="21.09"/>
    <d v="1900-02-18T14:52:48"/>
    <n v="416.16"/>
    <n v="2"/>
    <n v="832.32"/>
    <n v="3.6"/>
    <x v="4"/>
    <x v="2"/>
  </r>
  <r>
    <s v="TRIP02371"/>
    <x v="243"/>
    <x v="2"/>
    <s v="Chennai"/>
    <n v="28.42"/>
    <d v="1900-04-14T23:45:36"/>
    <n v="303.26"/>
    <n v="1"/>
    <n v="303.26"/>
    <n v="3.3"/>
    <x v="0"/>
    <x v="0"/>
  </r>
  <r>
    <s v="TRIP02372"/>
    <x v="219"/>
    <x v="4"/>
    <s v="Kolkata"/>
    <n v="1.1599999999999999"/>
    <d v="1900-01-01T10:33:36"/>
    <n v="22.23"/>
    <n v="1.5"/>
    <n v="33.340000000000003"/>
    <n v="4.7"/>
    <x v="3"/>
    <x v="0"/>
  </r>
  <r>
    <s v="TRIP02373"/>
    <x v="73"/>
    <x v="0"/>
    <s v="Bangalore"/>
    <n v="16.86"/>
    <d v="1900-03-05T22:04:48"/>
    <n v="252.34"/>
    <n v="1.2"/>
    <n v="302.81"/>
    <n v="4.5999999999999996"/>
    <x v="1"/>
    <x v="3"/>
  </r>
  <r>
    <s v="TRIP02374"/>
    <x v="273"/>
    <x v="1"/>
    <s v="Mumbai"/>
    <n v="23.92"/>
    <d v="1900-03-10T16:04:48"/>
    <n v="426.56"/>
    <n v="1.5"/>
    <n v="639.84"/>
    <n v="3.7"/>
    <x v="4"/>
    <x v="0"/>
  </r>
  <r>
    <s v="TRIP02375"/>
    <x v="127"/>
    <x v="4"/>
    <s v="Bangalore"/>
    <n v="3.26"/>
    <d v="1900-01-08T18:14:24"/>
    <n v="37.43"/>
    <n v="1"/>
    <n v="37.43"/>
    <n v="3.7"/>
    <x v="1"/>
    <x v="0"/>
  </r>
  <r>
    <s v="TRIP02376"/>
    <x v="231"/>
    <x v="2"/>
    <s v="Bangalore"/>
    <n v="25.39"/>
    <d v="1900-02-21T07:55:12"/>
    <n v="354.6"/>
    <n v="1"/>
    <n v="354.6"/>
    <n v="4.0999999999999996"/>
    <x v="2"/>
    <x v="1"/>
  </r>
  <r>
    <s v="TRIP02377"/>
    <x v="230"/>
    <x v="0"/>
    <s v="Delhi"/>
    <n v="28.13"/>
    <d v="1900-04-14T02:52:48"/>
    <n v="524.46"/>
    <n v="1.2"/>
    <n v="629.35"/>
    <n v="4.0999999999999996"/>
    <x v="2"/>
    <x v="0"/>
  </r>
  <r>
    <s v="TRIP02378"/>
    <x v="230"/>
    <x v="3"/>
    <s v="Delhi"/>
    <n v="1.43"/>
    <d v="1900-01-04T00:00:00"/>
    <n v="15.61"/>
    <n v="1.5"/>
    <n v="23.42"/>
    <n v="4"/>
    <x v="1"/>
    <x v="0"/>
  </r>
  <r>
    <s v="TRIP02379"/>
    <x v="300"/>
    <x v="1"/>
    <s v="Delhi"/>
    <n v="14.1"/>
    <d v="1900-01-27T15:21:36"/>
    <n v="257.18"/>
    <n v="2"/>
    <n v="514.36"/>
    <n v="4.9000000000000004"/>
    <x v="1"/>
    <x v="1"/>
  </r>
  <r>
    <s v="TRIP02380"/>
    <x v="153"/>
    <x v="0"/>
    <s v="Bangalore"/>
    <n v="16.690000000000001"/>
    <d v="1900-03-05T10:48:00"/>
    <n v="186.92"/>
    <n v="1.2"/>
    <n v="224.3"/>
    <n v="4.7"/>
    <x v="4"/>
    <x v="1"/>
  </r>
  <r>
    <s v="TRIP02381"/>
    <x v="193"/>
    <x v="1"/>
    <s v="Chennai"/>
    <n v="12.07"/>
    <d v="1900-02-06T06:28:48"/>
    <n v="209.67"/>
    <n v="1"/>
    <n v="209.67"/>
    <n v="4.0999999999999996"/>
    <x v="2"/>
    <x v="2"/>
  </r>
  <r>
    <s v="TRIP02382"/>
    <x v="361"/>
    <x v="4"/>
    <s v="Mumbai"/>
    <n v="16.61"/>
    <d v="1900-02-18T22:04:48"/>
    <n v="272.01"/>
    <n v="1.5"/>
    <n v="408.02"/>
    <n v="3.5"/>
    <x v="2"/>
    <x v="2"/>
  </r>
  <r>
    <s v="TRIP02383"/>
    <x v="198"/>
    <x v="1"/>
    <s v="Mumbai"/>
    <n v="6.5"/>
    <d v="1900-01-14T10:19:12"/>
    <n v="102.48"/>
    <n v="1.5"/>
    <n v="153.72"/>
    <n v="4.9000000000000004"/>
    <x v="3"/>
    <x v="1"/>
  </r>
  <r>
    <s v="TRIP02384"/>
    <x v="55"/>
    <x v="2"/>
    <s v="Delhi"/>
    <n v="4.5599999999999996"/>
    <d v="1900-01-13T06:43:12"/>
    <n v="57.92"/>
    <n v="1.2"/>
    <n v="69.5"/>
    <n v="4.9000000000000004"/>
    <x v="0"/>
    <x v="3"/>
  </r>
  <r>
    <s v="TRIP02385"/>
    <x v="82"/>
    <x v="1"/>
    <s v="Bangalore"/>
    <n v="6.18"/>
    <d v="1900-01-11T09:07:12"/>
    <n v="114.52"/>
    <n v="1"/>
    <n v="114.52"/>
    <n v="4.5999999999999996"/>
    <x v="4"/>
    <x v="0"/>
  </r>
  <r>
    <s v="TRIP02386"/>
    <x v="237"/>
    <x v="4"/>
    <s v="Mumbai"/>
    <n v="16.850000000000001"/>
    <d v="1900-02-25T07:40:48"/>
    <n v="326.16000000000003"/>
    <n v="2"/>
    <n v="652.32000000000005"/>
    <n v="3.9"/>
    <x v="1"/>
    <x v="3"/>
  </r>
  <r>
    <s v="TRIP02387"/>
    <x v="107"/>
    <x v="0"/>
    <s v="Delhi"/>
    <n v="17.55"/>
    <d v="1900-02-18T15:07:12"/>
    <n v="273.14999999999998"/>
    <n v="1.5"/>
    <n v="409.72"/>
    <n v="3.5"/>
    <x v="1"/>
    <x v="0"/>
  </r>
  <r>
    <s v="TRIP02388"/>
    <x v="359"/>
    <x v="1"/>
    <s v="Chennai"/>
    <n v="19.899999999999999"/>
    <d v="1900-02-15T07:26:24"/>
    <n v="211.54"/>
    <n v="1"/>
    <n v="211.54"/>
    <n v="4.0999999999999996"/>
    <x v="1"/>
    <x v="3"/>
  </r>
  <r>
    <s v="TRIP02389"/>
    <x v="321"/>
    <x v="1"/>
    <s v="Mumbai"/>
    <n v="11.67"/>
    <d v="1900-01-31T02:38:24"/>
    <n v="230.99"/>
    <n v="1.2"/>
    <n v="277.19"/>
    <n v="3.5"/>
    <x v="3"/>
    <x v="0"/>
  </r>
  <r>
    <s v="TRIP02390"/>
    <x v="91"/>
    <x v="0"/>
    <s v="Delhi"/>
    <n v="4.75"/>
    <d v="1900-01-13T08:24:00"/>
    <n v="54.8"/>
    <n v="1.5"/>
    <n v="82.2"/>
    <n v="3.2"/>
    <x v="1"/>
    <x v="2"/>
  </r>
  <r>
    <s v="TRIP02391"/>
    <x v="219"/>
    <x v="2"/>
    <s v="Delhi"/>
    <n v="15.73"/>
    <d v="1900-03-02T20:52:48"/>
    <n v="266.62"/>
    <n v="1.2"/>
    <n v="319.94"/>
    <n v="3.9"/>
    <x v="3"/>
    <x v="2"/>
  </r>
  <r>
    <s v="TRIP02392"/>
    <x v="198"/>
    <x v="2"/>
    <s v="Chennai"/>
    <n v="23.67"/>
    <d v="1900-02-16T01:40:48"/>
    <n v="430.05"/>
    <n v="2"/>
    <n v="860.1"/>
    <n v="4.0999999999999996"/>
    <x v="1"/>
    <x v="0"/>
  </r>
  <r>
    <s v="TRIP02393"/>
    <x v="148"/>
    <x v="2"/>
    <s v="Bangalore"/>
    <n v="7.56"/>
    <d v="1900-01-21T04:48:00"/>
    <n v="107.72"/>
    <n v="1.5"/>
    <n v="161.58000000000001"/>
    <n v="4.9000000000000004"/>
    <x v="1"/>
    <x v="1"/>
  </r>
  <r>
    <s v="TRIP02394"/>
    <x v="248"/>
    <x v="0"/>
    <s v="Delhi"/>
    <n v="23.1"/>
    <d v="1900-03-31T22:33:36"/>
    <n v="410.67"/>
    <n v="1.2"/>
    <n v="492.8"/>
    <n v="3.9"/>
    <x v="0"/>
    <x v="2"/>
  </r>
  <r>
    <s v="TRIP02395"/>
    <x v="278"/>
    <x v="3"/>
    <s v="Mumbai"/>
    <n v="7.31"/>
    <d v="1900-01-15T14:52:48"/>
    <n v="113.4"/>
    <n v="2"/>
    <n v="226.8"/>
    <n v="3.9"/>
    <x v="4"/>
    <x v="3"/>
  </r>
  <r>
    <s v="TRIP02396"/>
    <x v="50"/>
    <x v="3"/>
    <s v="Chennai"/>
    <n v="20.73"/>
    <d v="1900-02-21T13:55:12"/>
    <n v="275.77"/>
    <n v="1.5"/>
    <n v="413.66"/>
    <n v="4.0999999999999996"/>
    <x v="4"/>
    <x v="1"/>
  </r>
  <r>
    <s v="TRIP02397"/>
    <x v="241"/>
    <x v="4"/>
    <s v="Kolkata"/>
    <n v="13.49"/>
    <d v="1900-01-27T12:43:12"/>
    <n v="196.27"/>
    <n v="1.5"/>
    <n v="294.41000000000003"/>
    <n v="4.7"/>
    <x v="2"/>
    <x v="1"/>
  </r>
  <r>
    <s v="TRIP02398"/>
    <x v="98"/>
    <x v="1"/>
    <s v="Delhi"/>
    <n v="12.12"/>
    <d v="1900-01-23T14:52:48"/>
    <n v="176.69"/>
    <n v="1.5"/>
    <n v="265.02999999999997"/>
    <n v="3.4"/>
    <x v="0"/>
    <x v="2"/>
  </r>
  <r>
    <s v="TRIP02399"/>
    <x v="346"/>
    <x v="4"/>
    <s v="Chennai"/>
    <n v="15.7"/>
    <d v="1900-02-25T18:43:12"/>
    <n v="248.34"/>
    <n v="1.2"/>
    <n v="298.01"/>
    <n v="4.5999999999999996"/>
    <x v="1"/>
    <x v="2"/>
  </r>
  <r>
    <s v="TRIP02400"/>
    <x v="81"/>
    <x v="1"/>
    <s v="Kolkata"/>
    <n v="21.29"/>
    <d v="1900-02-14T13:55:12"/>
    <n v="345.13"/>
    <n v="2"/>
    <n v="690.26"/>
    <n v="5"/>
    <x v="2"/>
    <x v="3"/>
  </r>
  <r>
    <s v="TRIP02401"/>
    <x v="37"/>
    <x v="1"/>
    <s v="Chennai"/>
    <n v="19.170000000000002"/>
    <d v="1900-03-09T19:55:12"/>
    <n v="289.81"/>
    <n v="1.5"/>
    <n v="434.72"/>
    <n v="4.5999999999999996"/>
    <x v="4"/>
    <x v="3"/>
  </r>
  <r>
    <s v="TRIP02402"/>
    <x v="57"/>
    <x v="1"/>
    <s v="Bangalore"/>
    <n v="6.42"/>
    <d v="1900-01-20T06:00:00"/>
    <n v="88.32"/>
    <n v="1.5"/>
    <n v="132.47999999999999"/>
    <n v="3.4"/>
    <x v="4"/>
    <x v="2"/>
  </r>
  <r>
    <s v="TRIP02403"/>
    <x v="93"/>
    <x v="0"/>
    <s v="Mumbai"/>
    <n v="6.84"/>
    <d v="1900-01-24T12:00:00"/>
    <n v="90.38"/>
    <n v="1.2"/>
    <n v="108.46"/>
    <n v="3.5"/>
    <x v="1"/>
    <x v="0"/>
  </r>
  <r>
    <s v="TRIP02404"/>
    <x v="147"/>
    <x v="3"/>
    <s v="Kolkata"/>
    <n v="11.45"/>
    <d v="1900-02-13T12:57:36"/>
    <n v="204.15"/>
    <n v="2"/>
    <n v="408.3"/>
    <n v="5"/>
    <x v="3"/>
    <x v="0"/>
  </r>
  <r>
    <s v="TRIP02405"/>
    <x v="354"/>
    <x v="3"/>
    <s v="Mumbai"/>
    <n v="19.37"/>
    <d v="1900-03-13T05:45:36"/>
    <n v="259.89"/>
    <n v="1.2"/>
    <n v="311.87"/>
    <n v="4.3"/>
    <x v="4"/>
    <x v="2"/>
  </r>
  <r>
    <s v="TRIP02406"/>
    <x v="94"/>
    <x v="2"/>
    <s v="Delhi"/>
    <n v="8.9"/>
    <d v="1900-02-02T02:24:00"/>
    <n v="162.74"/>
    <n v="1.5"/>
    <n v="244.11"/>
    <n v="3"/>
    <x v="0"/>
    <x v="3"/>
  </r>
  <r>
    <s v="TRIP02407"/>
    <x v="265"/>
    <x v="0"/>
    <s v="Bangalore"/>
    <n v="7.84"/>
    <d v="1900-01-19T20:52:48"/>
    <n v="153.24"/>
    <n v="1"/>
    <n v="153.24"/>
    <n v="3.1"/>
    <x v="4"/>
    <x v="0"/>
  </r>
  <r>
    <s v="TRIP02408"/>
    <x v="266"/>
    <x v="0"/>
    <s v="Bangalore"/>
    <n v="12.71"/>
    <d v="1900-02-03T11:45:36"/>
    <n v="151.68"/>
    <n v="2"/>
    <n v="303.36"/>
    <n v="4.4000000000000004"/>
    <x v="4"/>
    <x v="1"/>
  </r>
  <r>
    <s v="TRIP02409"/>
    <x v="258"/>
    <x v="3"/>
    <s v="Kolkata"/>
    <n v="2.44"/>
    <d v="1900-01-08T05:16:48"/>
    <n v="40.64"/>
    <n v="1.2"/>
    <n v="48.77"/>
    <n v="4.9000000000000004"/>
    <x v="1"/>
    <x v="0"/>
  </r>
  <r>
    <s v="TRIP02410"/>
    <x v="273"/>
    <x v="1"/>
    <s v="Delhi"/>
    <n v="9.59"/>
    <d v="1900-01-26T03:21:36"/>
    <n v="172.55"/>
    <n v="1"/>
    <n v="172.55"/>
    <n v="4.4000000000000004"/>
    <x v="1"/>
    <x v="3"/>
  </r>
  <r>
    <s v="TRIP02411"/>
    <x v="45"/>
    <x v="3"/>
    <s v="Chennai"/>
    <n v="25.97"/>
    <d v="1900-03-17T04:48:00"/>
    <n v="294.62"/>
    <n v="1.5"/>
    <n v="441.93"/>
    <n v="3.2"/>
    <x v="3"/>
    <x v="0"/>
  </r>
  <r>
    <s v="TRIP02412"/>
    <x v="111"/>
    <x v="4"/>
    <s v="Delhi"/>
    <n v="16.399999999999999"/>
    <d v="1900-02-23T04:48:00"/>
    <n v="268.52999999999997"/>
    <n v="1.5"/>
    <n v="402.79"/>
    <n v="3.6"/>
    <x v="4"/>
    <x v="0"/>
  </r>
  <r>
    <s v="TRIP02413"/>
    <x v="212"/>
    <x v="4"/>
    <s v="Chennai"/>
    <n v="23.58"/>
    <d v="1900-02-26T21:21:36"/>
    <n v="395.72"/>
    <n v="1.5"/>
    <n v="593.58000000000004"/>
    <n v="4.5999999999999996"/>
    <x v="0"/>
    <x v="1"/>
  </r>
  <r>
    <s v="TRIP02414"/>
    <x v="215"/>
    <x v="3"/>
    <s v="Kolkata"/>
    <n v="27.1"/>
    <d v="1900-03-09T15:50:24"/>
    <n v="515.07000000000005"/>
    <n v="1.2"/>
    <n v="618.08000000000004"/>
    <n v="3.3"/>
    <x v="0"/>
    <x v="3"/>
  </r>
  <r>
    <s v="TRIP02415"/>
    <x v="331"/>
    <x v="0"/>
    <s v="Kolkata"/>
    <n v="16.88"/>
    <d v="1900-02-18T11:02:24"/>
    <n v="221.28"/>
    <n v="2"/>
    <n v="442.56"/>
    <n v="4.2"/>
    <x v="1"/>
    <x v="1"/>
  </r>
  <r>
    <s v="TRIP02416"/>
    <x v="244"/>
    <x v="3"/>
    <s v="Mumbai"/>
    <n v="11.71"/>
    <d v="1900-01-24T17:31:12"/>
    <n v="184.06"/>
    <n v="1.2"/>
    <n v="220.87"/>
    <n v="3.2"/>
    <x v="1"/>
    <x v="0"/>
  </r>
  <r>
    <s v="TRIP02417"/>
    <x v="321"/>
    <x v="0"/>
    <s v="Kolkata"/>
    <n v="27.54"/>
    <d v="1900-04-05T18:00:00"/>
    <n v="501.9"/>
    <n v="1.5"/>
    <n v="752.85"/>
    <n v="3.1"/>
    <x v="1"/>
    <x v="3"/>
  </r>
  <r>
    <s v="TRIP02418"/>
    <x v="296"/>
    <x v="2"/>
    <s v="Mumbai"/>
    <n v="7.05"/>
    <d v="1900-01-23T21:21:36"/>
    <n v="137.33000000000001"/>
    <n v="1.5"/>
    <n v="206"/>
    <n v="3.5"/>
    <x v="1"/>
    <x v="1"/>
  </r>
  <r>
    <s v="TRIP02419"/>
    <x v="19"/>
    <x v="2"/>
    <s v="Chennai"/>
    <n v="19.52"/>
    <d v="1900-02-22T04:04:48"/>
    <n v="278.31"/>
    <n v="1.2"/>
    <n v="333.97"/>
    <n v="4"/>
    <x v="1"/>
    <x v="0"/>
  </r>
  <r>
    <s v="TRIP02420"/>
    <x v="260"/>
    <x v="4"/>
    <s v="Kolkata"/>
    <n v="21.17"/>
    <d v="1900-02-28T21:36:00"/>
    <n v="328.6"/>
    <n v="2"/>
    <n v="657.2"/>
    <n v="4.3"/>
    <x v="3"/>
    <x v="1"/>
  </r>
  <r>
    <s v="TRIP02421"/>
    <x v="144"/>
    <x v="4"/>
    <s v="Mumbai"/>
    <n v="14.8"/>
    <d v="1900-02-11T12:43:12"/>
    <n v="205.49"/>
    <n v="1.2"/>
    <n v="246.59"/>
    <n v="3.8"/>
    <x v="0"/>
    <x v="0"/>
  </r>
  <r>
    <s v="TRIP02422"/>
    <x v="271"/>
    <x v="3"/>
    <s v="Kolkata"/>
    <n v="18.510000000000002"/>
    <d v="1900-03-10T04:04:48"/>
    <n v="345.44"/>
    <n v="2"/>
    <n v="690.88"/>
    <n v="3.3"/>
    <x v="4"/>
    <x v="3"/>
  </r>
  <r>
    <s v="TRIP02423"/>
    <x v="154"/>
    <x v="0"/>
    <s v="Kolkata"/>
    <n v="2.0099999999999998"/>
    <d v="1900-01-04T01:40:48"/>
    <n v="25.7"/>
    <n v="1.2"/>
    <n v="30.84"/>
    <n v="5"/>
    <x v="2"/>
    <x v="3"/>
  </r>
  <r>
    <s v="TRIP02424"/>
    <x v="145"/>
    <x v="0"/>
    <s v="Kolkata"/>
    <n v="24.97"/>
    <d v="1900-03-18T17:31:12"/>
    <n v="467.96"/>
    <n v="2"/>
    <n v="935.92"/>
    <n v="4.5"/>
    <x v="3"/>
    <x v="1"/>
  </r>
  <r>
    <s v="TRIP02425"/>
    <x v="7"/>
    <x v="3"/>
    <s v="Bangalore"/>
    <n v="28.28"/>
    <d v="1900-03-07T23:16:48"/>
    <n v="370.4"/>
    <n v="1.2"/>
    <n v="444.48"/>
    <n v="3.1"/>
    <x v="2"/>
    <x v="0"/>
  </r>
  <r>
    <s v="TRIP02426"/>
    <x v="133"/>
    <x v="1"/>
    <s v="Delhi"/>
    <n v="27.53"/>
    <d v="1900-03-26T17:31:12"/>
    <n v="478.52"/>
    <n v="2"/>
    <n v="957.04"/>
    <n v="3.6"/>
    <x v="1"/>
    <x v="1"/>
  </r>
  <r>
    <s v="TRIP02427"/>
    <x v="25"/>
    <x v="1"/>
    <s v="Mumbai"/>
    <n v="2.86"/>
    <d v="1900-01-07T19:12:00"/>
    <n v="49.16"/>
    <n v="1.2"/>
    <n v="58.99"/>
    <n v="3.3"/>
    <x v="4"/>
    <x v="1"/>
  </r>
  <r>
    <s v="TRIP02428"/>
    <x v="315"/>
    <x v="3"/>
    <s v="Bangalore"/>
    <n v="24.51"/>
    <d v="1900-03-09T05:02:24"/>
    <n v="428.05"/>
    <n v="1.2"/>
    <n v="513.66"/>
    <n v="5"/>
    <x v="1"/>
    <x v="0"/>
  </r>
  <r>
    <s v="TRIP02429"/>
    <x v="63"/>
    <x v="3"/>
    <s v="Chennai"/>
    <n v="23.16"/>
    <d v="1900-04-01T06:28:48"/>
    <n v="311.58999999999997"/>
    <n v="1.5"/>
    <n v="467.38"/>
    <n v="4.4000000000000004"/>
    <x v="3"/>
    <x v="0"/>
  </r>
  <r>
    <s v="TRIP02430"/>
    <x v="173"/>
    <x v="2"/>
    <s v="Mumbai"/>
    <n v="27.59"/>
    <d v="1900-03-16T22:48:00"/>
    <n v="325.52"/>
    <n v="2"/>
    <n v="651.04"/>
    <n v="3.1"/>
    <x v="2"/>
    <x v="1"/>
  </r>
  <r>
    <s v="TRIP02431"/>
    <x v="215"/>
    <x v="2"/>
    <s v="Mumbai"/>
    <n v="9.43"/>
    <d v="1900-01-22T06:28:48"/>
    <n v="163.69999999999999"/>
    <n v="1"/>
    <n v="163.69999999999999"/>
    <n v="4"/>
    <x v="0"/>
    <x v="3"/>
  </r>
  <r>
    <s v="TRIP02432"/>
    <x v="100"/>
    <x v="2"/>
    <s v="Bangalore"/>
    <n v="24.02"/>
    <d v="1900-02-28T19:55:12"/>
    <n v="385.11"/>
    <n v="2"/>
    <n v="770.22"/>
    <n v="3.9"/>
    <x v="0"/>
    <x v="2"/>
  </r>
  <r>
    <s v="TRIP02433"/>
    <x v="133"/>
    <x v="3"/>
    <s v="Chennai"/>
    <n v="11.05"/>
    <d v="1900-02-08T13:40:48"/>
    <n v="194.31"/>
    <n v="1.2"/>
    <n v="233.17"/>
    <n v="4"/>
    <x v="2"/>
    <x v="2"/>
  </r>
  <r>
    <s v="TRIP02434"/>
    <x v="165"/>
    <x v="1"/>
    <s v="Bangalore"/>
    <n v="3.08"/>
    <d v="1900-01-05T17:45:36"/>
    <n v="48.75"/>
    <n v="1"/>
    <n v="48.75"/>
    <n v="4.7"/>
    <x v="1"/>
    <x v="0"/>
  </r>
  <r>
    <s v="TRIP02435"/>
    <x v="114"/>
    <x v="3"/>
    <s v="Bangalore"/>
    <n v="22.84"/>
    <d v="1900-02-27T03:07:12"/>
    <n v="402.74"/>
    <n v="1"/>
    <n v="402.74"/>
    <n v="3.3"/>
    <x v="3"/>
    <x v="2"/>
  </r>
  <r>
    <s v="TRIP02436"/>
    <x v="76"/>
    <x v="3"/>
    <s v="Delhi"/>
    <n v="4.71"/>
    <d v="1900-01-12T13:40:48"/>
    <n v="88.91"/>
    <n v="1.2"/>
    <n v="106.69"/>
    <n v="4"/>
    <x v="2"/>
    <x v="2"/>
  </r>
  <r>
    <s v="TRIP02437"/>
    <x v="210"/>
    <x v="4"/>
    <s v="Chennai"/>
    <n v="25.54"/>
    <d v="1900-03-22T15:21:36"/>
    <n v="447.36"/>
    <n v="1.5"/>
    <n v="671.04"/>
    <n v="3.9"/>
    <x v="1"/>
    <x v="3"/>
  </r>
  <r>
    <s v="TRIP02438"/>
    <x v="144"/>
    <x v="2"/>
    <s v="Delhi"/>
    <n v="7.6"/>
    <d v="1900-01-29T05:02:24"/>
    <n v="118.55"/>
    <n v="1"/>
    <n v="118.55"/>
    <n v="4.4000000000000004"/>
    <x v="3"/>
    <x v="2"/>
  </r>
  <r>
    <s v="TRIP02439"/>
    <x v="287"/>
    <x v="0"/>
    <s v="Chennai"/>
    <n v="8.27"/>
    <d v="1900-01-17T20:24:00"/>
    <n v="114.97"/>
    <n v="2"/>
    <n v="229.94"/>
    <n v="3.3"/>
    <x v="3"/>
    <x v="0"/>
  </r>
  <r>
    <s v="TRIP02440"/>
    <x v="206"/>
    <x v="3"/>
    <s v="Chennai"/>
    <n v="4.1500000000000004"/>
    <d v="1900-01-13T12:57:36"/>
    <n v="43.4"/>
    <n v="1.2"/>
    <n v="52.08"/>
    <n v="3.3"/>
    <x v="3"/>
    <x v="1"/>
  </r>
  <r>
    <s v="TRIP02441"/>
    <x v="326"/>
    <x v="0"/>
    <s v="Mumbai"/>
    <n v="6.25"/>
    <d v="1900-01-21T11:16:48"/>
    <n v="91.06"/>
    <n v="1.2"/>
    <n v="109.27"/>
    <n v="3.8"/>
    <x v="2"/>
    <x v="2"/>
  </r>
  <r>
    <s v="TRIP02442"/>
    <x v="311"/>
    <x v="3"/>
    <s v="Delhi"/>
    <n v="5.86"/>
    <d v="1900-01-18T11:31:12"/>
    <n v="90.86"/>
    <n v="1.2"/>
    <n v="109.03"/>
    <n v="4.8"/>
    <x v="1"/>
    <x v="0"/>
  </r>
  <r>
    <s v="TRIP02443"/>
    <x v="90"/>
    <x v="4"/>
    <s v="Kolkata"/>
    <n v="3.1"/>
    <d v="1900-01-09T19:26:24"/>
    <n v="53.07"/>
    <n v="1.2"/>
    <n v="63.68"/>
    <n v="4.7"/>
    <x v="3"/>
    <x v="2"/>
  </r>
  <r>
    <s v="TRIP02444"/>
    <x v="244"/>
    <x v="1"/>
    <s v="Chennai"/>
    <n v="6"/>
    <d v="1900-01-11T06:00:00"/>
    <n v="61.89"/>
    <n v="1.5"/>
    <n v="92.84"/>
    <n v="4.9000000000000004"/>
    <x v="4"/>
    <x v="1"/>
  </r>
  <r>
    <s v="TRIP02445"/>
    <x v="142"/>
    <x v="2"/>
    <s v="Chennai"/>
    <n v="4.5"/>
    <d v="1900-01-09T23:45:36"/>
    <n v="59.73"/>
    <n v="2"/>
    <n v="119.46"/>
    <n v="3.4"/>
    <x v="2"/>
    <x v="3"/>
  </r>
  <r>
    <s v="TRIP02446"/>
    <x v="247"/>
    <x v="2"/>
    <s v="Bangalore"/>
    <n v="17.23"/>
    <d v="1900-02-26T01:26:24"/>
    <n v="338.36"/>
    <n v="1.2"/>
    <n v="406.03"/>
    <n v="3.9"/>
    <x v="1"/>
    <x v="1"/>
  </r>
  <r>
    <s v="TRIP02447"/>
    <x v="122"/>
    <x v="4"/>
    <s v="Bangalore"/>
    <n v="18.07"/>
    <d v="1900-03-09T12:00:00"/>
    <n v="315.88"/>
    <n v="2"/>
    <n v="631.76"/>
    <n v="3.1"/>
    <x v="4"/>
    <x v="1"/>
  </r>
  <r>
    <s v="TRIP02448"/>
    <x v="38"/>
    <x v="4"/>
    <s v="Delhi"/>
    <n v="6.41"/>
    <d v="1900-01-23T06:57:36"/>
    <n v="80.03"/>
    <n v="2"/>
    <n v="160.06"/>
    <n v="3.2"/>
    <x v="4"/>
    <x v="2"/>
  </r>
  <r>
    <s v="TRIP02449"/>
    <x v="258"/>
    <x v="2"/>
    <s v="Bangalore"/>
    <n v="1.82"/>
    <d v="1900-01-03T03:21:36"/>
    <n v="21.35"/>
    <n v="1.5"/>
    <n v="32.03"/>
    <n v="4.5"/>
    <x v="3"/>
    <x v="1"/>
  </r>
  <r>
    <s v="TRIP02450"/>
    <x v="183"/>
    <x v="4"/>
    <s v="Chennai"/>
    <n v="25.27"/>
    <d v="1900-03-09T09:50:24"/>
    <n v="473.71"/>
    <n v="2"/>
    <n v="947.42"/>
    <n v="4"/>
    <x v="2"/>
    <x v="1"/>
  </r>
  <r>
    <s v="TRIP02451"/>
    <x v="101"/>
    <x v="2"/>
    <s v="Bangalore"/>
    <n v="5.37"/>
    <d v="1900-01-16T09:36:00"/>
    <n v="76.25"/>
    <n v="1"/>
    <n v="76.25"/>
    <n v="3.9"/>
    <x v="4"/>
    <x v="2"/>
  </r>
  <r>
    <s v="TRIP02452"/>
    <x v="166"/>
    <x v="3"/>
    <s v="Kolkata"/>
    <n v="29.27"/>
    <d v="1900-03-13T16:33:36"/>
    <n v="383.23"/>
    <n v="1.5"/>
    <n v="574.84"/>
    <n v="3.7"/>
    <x v="3"/>
    <x v="1"/>
  </r>
  <r>
    <s v="TRIP02453"/>
    <x v="334"/>
    <x v="2"/>
    <s v="Bangalore"/>
    <n v="18.010000000000002"/>
    <d v="1900-02-26T02:24:00"/>
    <n v="327.88"/>
    <n v="1.2"/>
    <n v="393.46"/>
    <n v="3.9"/>
    <x v="0"/>
    <x v="3"/>
  </r>
  <r>
    <s v="TRIP02454"/>
    <x v="145"/>
    <x v="1"/>
    <s v="Mumbai"/>
    <n v="22.25"/>
    <d v="1900-03-11T19:55:12"/>
    <n v="268.41000000000003"/>
    <n v="2"/>
    <n v="536.82000000000005"/>
    <n v="4.4000000000000004"/>
    <x v="2"/>
    <x v="1"/>
  </r>
  <r>
    <s v="TRIP02455"/>
    <x v="311"/>
    <x v="3"/>
    <s v="Mumbai"/>
    <n v="19.21"/>
    <d v="1900-02-06T10:04:48"/>
    <n v="195.62"/>
    <n v="1"/>
    <n v="195.62"/>
    <n v="4.5999999999999996"/>
    <x v="0"/>
    <x v="3"/>
  </r>
  <r>
    <s v="TRIP02456"/>
    <x v="5"/>
    <x v="0"/>
    <s v="Kolkata"/>
    <n v="21.16"/>
    <d v="1900-02-28T12:28:48"/>
    <n v="357.83"/>
    <n v="1.2"/>
    <n v="429.4"/>
    <n v="3.6"/>
    <x v="0"/>
    <x v="0"/>
  </r>
  <r>
    <s v="TRIP02457"/>
    <x v="220"/>
    <x v="2"/>
    <s v="Delhi"/>
    <n v="5.71"/>
    <d v="1900-01-17T06:43:12"/>
    <n v="85.15"/>
    <n v="1"/>
    <n v="85.15"/>
    <n v="4.9000000000000004"/>
    <x v="0"/>
    <x v="2"/>
  </r>
  <r>
    <s v="TRIP02458"/>
    <x v="53"/>
    <x v="3"/>
    <s v="Kolkata"/>
    <n v="8.99"/>
    <d v="1900-01-23T20:09:36"/>
    <n v="123.6"/>
    <n v="1.2"/>
    <n v="148.32"/>
    <n v="4.0999999999999996"/>
    <x v="3"/>
    <x v="3"/>
  </r>
  <r>
    <s v="TRIP02459"/>
    <x v="151"/>
    <x v="4"/>
    <s v="Mumbai"/>
    <n v="21.19"/>
    <d v="1900-02-12T14:52:48"/>
    <n v="385.04"/>
    <n v="1.5"/>
    <n v="577.55999999999995"/>
    <n v="4.2"/>
    <x v="1"/>
    <x v="2"/>
  </r>
  <r>
    <s v="TRIP02460"/>
    <x v="157"/>
    <x v="4"/>
    <s v="Delhi"/>
    <n v="10.39"/>
    <d v="1900-01-29T18:43:12"/>
    <n v="165.89"/>
    <n v="2"/>
    <n v="331.78"/>
    <n v="4.2"/>
    <x v="2"/>
    <x v="1"/>
  </r>
  <r>
    <s v="TRIP02461"/>
    <x v="256"/>
    <x v="1"/>
    <s v="Bangalore"/>
    <n v="9.64"/>
    <d v="1900-01-19T08:24:00"/>
    <n v="96.64"/>
    <n v="2"/>
    <n v="193.28"/>
    <n v="3.4"/>
    <x v="4"/>
    <x v="3"/>
  </r>
  <r>
    <s v="TRIP02462"/>
    <x v="180"/>
    <x v="2"/>
    <s v="Kolkata"/>
    <n v="11.91"/>
    <d v="1900-01-27T14:09:36"/>
    <n v="168.42"/>
    <n v="2"/>
    <n v="336.84"/>
    <n v="4.0999999999999996"/>
    <x v="1"/>
    <x v="2"/>
  </r>
  <r>
    <s v="TRIP02463"/>
    <x v="172"/>
    <x v="2"/>
    <s v="Chennai"/>
    <n v="9.4499999999999993"/>
    <d v="1900-02-03T01:12:00"/>
    <n v="188.91"/>
    <n v="1.2"/>
    <n v="226.69"/>
    <n v="4.5"/>
    <x v="2"/>
    <x v="3"/>
  </r>
  <r>
    <s v="TRIP02464"/>
    <x v="280"/>
    <x v="4"/>
    <s v="Chennai"/>
    <n v="24"/>
    <d v="1900-03-16T19:40:48"/>
    <n v="264.10000000000002"/>
    <n v="2"/>
    <n v="528.20000000000005"/>
    <n v="3.3"/>
    <x v="2"/>
    <x v="1"/>
  </r>
  <r>
    <s v="TRIP02465"/>
    <x v="232"/>
    <x v="1"/>
    <s v="Delhi"/>
    <n v="19.14"/>
    <d v="1900-02-22T12:14:24"/>
    <n v="297.94"/>
    <n v="2"/>
    <n v="595.88"/>
    <n v="4.8"/>
    <x v="1"/>
    <x v="0"/>
  </r>
  <r>
    <s v="TRIP02466"/>
    <x v="337"/>
    <x v="4"/>
    <s v="Kolkata"/>
    <n v="28.83"/>
    <d v="1900-03-24T02:09:36"/>
    <n v="439.07"/>
    <n v="1"/>
    <n v="439.07"/>
    <n v="4.0999999999999996"/>
    <x v="1"/>
    <x v="3"/>
  </r>
  <r>
    <s v="TRIP02467"/>
    <x v="287"/>
    <x v="3"/>
    <s v="Bangalore"/>
    <n v="29.16"/>
    <d v="1900-04-13T04:19:12"/>
    <n v="449.87"/>
    <n v="1"/>
    <n v="449.87"/>
    <n v="4.9000000000000004"/>
    <x v="0"/>
    <x v="3"/>
  </r>
  <r>
    <s v="TRIP02468"/>
    <x v="2"/>
    <x v="1"/>
    <s v="Mumbai"/>
    <n v="14.88"/>
    <d v="1900-02-13T18:14:24"/>
    <n v="222"/>
    <n v="1.5"/>
    <n v="333"/>
    <n v="3.8"/>
    <x v="0"/>
    <x v="3"/>
  </r>
  <r>
    <s v="TRIP02469"/>
    <x v="213"/>
    <x v="2"/>
    <s v="Kolkata"/>
    <n v="4.67"/>
    <d v="1900-01-11T13:55:12"/>
    <n v="62.53"/>
    <n v="1.2"/>
    <n v="75.040000000000006"/>
    <n v="4.5999999999999996"/>
    <x v="2"/>
    <x v="0"/>
  </r>
  <r>
    <s v="TRIP02470"/>
    <x v="131"/>
    <x v="3"/>
    <s v="Delhi"/>
    <n v="19.96"/>
    <d v="1900-03-13T21:21:36"/>
    <n v="385.55"/>
    <n v="1"/>
    <n v="385.55"/>
    <n v="4"/>
    <x v="2"/>
    <x v="1"/>
  </r>
  <r>
    <s v="TRIP02471"/>
    <x v="144"/>
    <x v="1"/>
    <s v="Delhi"/>
    <n v="5.05"/>
    <d v="1900-01-17T17:16:48"/>
    <n v="70.7"/>
    <n v="1"/>
    <n v="70.7"/>
    <n v="3.4"/>
    <x v="1"/>
    <x v="0"/>
  </r>
  <r>
    <s v="TRIP02472"/>
    <x v="165"/>
    <x v="3"/>
    <s v="Chennai"/>
    <n v="20.29"/>
    <d v="1900-03-09T12:00:00"/>
    <n v="381.86"/>
    <n v="1"/>
    <n v="381.86"/>
    <n v="3.3"/>
    <x v="2"/>
    <x v="1"/>
  </r>
  <r>
    <s v="TRIP02473"/>
    <x v="178"/>
    <x v="3"/>
    <s v="Kolkata"/>
    <n v="16.28"/>
    <d v="1900-02-18T13:55:12"/>
    <n v="310.5"/>
    <n v="1"/>
    <n v="310.5"/>
    <n v="4.0999999999999996"/>
    <x v="2"/>
    <x v="1"/>
  </r>
  <r>
    <s v="TRIP02474"/>
    <x v="230"/>
    <x v="3"/>
    <s v="Kolkata"/>
    <n v="22.9"/>
    <d v="1900-03-22T14:38:24"/>
    <n v="355.63"/>
    <n v="2"/>
    <n v="711.26"/>
    <n v="4.9000000000000004"/>
    <x v="0"/>
    <x v="2"/>
  </r>
  <r>
    <s v="TRIP02475"/>
    <x v="263"/>
    <x v="0"/>
    <s v="Chennai"/>
    <n v="3.43"/>
    <d v="1900-01-08T04:33:36"/>
    <n v="44.96"/>
    <n v="2"/>
    <n v="89.92"/>
    <n v="3.3"/>
    <x v="4"/>
    <x v="3"/>
  </r>
  <r>
    <s v="TRIP02476"/>
    <x v="329"/>
    <x v="0"/>
    <s v="Mumbai"/>
    <n v="20.14"/>
    <d v="1900-03-01T03:07:12"/>
    <n v="235.11"/>
    <n v="1.2"/>
    <n v="282.13"/>
    <n v="4"/>
    <x v="1"/>
    <x v="3"/>
  </r>
  <r>
    <s v="TRIP02477"/>
    <x v="162"/>
    <x v="1"/>
    <s v="Kolkata"/>
    <n v="4.0999999999999996"/>
    <d v="1900-01-11T06:00:00"/>
    <n v="76.83"/>
    <n v="1.5"/>
    <n v="115.24"/>
    <n v="3.7"/>
    <x v="1"/>
    <x v="1"/>
  </r>
  <r>
    <s v="TRIP02478"/>
    <x v="6"/>
    <x v="2"/>
    <s v="Chennai"/>
    <n v="26.7"/>
    <d v="1900-03-07T21:36:00"/>
    <n v="277.41000000000003"/>
    <n v="2"/>
    <n v="554.82000000000005"/>
    <n v="4.8"/>
    <x v="2"/>
    <x v="3"/>
  </r>
  <r>
    <s v="TRIP02479"/>
    <x v="26"/>
    <x v="1"/>
    <s v="Kolkata"/>
    <n v="18.29"/>
    <d v="1900-02-25T14:09:36"/>
    <n v="331.62"/>
    <n v="2"/>
    <n v="663.24"/>
    <n v="4.3"/>
    <x v="3"/>
    <x v="3"/>
  </r>
  <r>
    <s v="TRIP02480"/>
    <x v="306"/>
    <x v="2"/>
    <s v="Bangalore"/>
    <n v="17.03"/>
    <d v="1900-03-07T00:28:48"/>
    <n v="339.94"/>
    <n v="1.2"/>
    <n v="407.93"/>
    <n v="4.5"/>
    <x v="2"/>
    <x v="3"/>
  </r>
  <r>
    <s v="TRIP02481"/>
    <x v="52"/>
    <x v="3"/>
    <s v="Kolkata"/>
    <n v="15.49"/>
    <d v="1900-02-10T23:45:36"/>
    <n v="249.86"/>
    <n v="1.2"/>
    <n v="299.83"/>
    <n v="4.9000000000000004"/>
    <x v="0"/>
    <x v="2"/>
  </r>
  <r>
    <s v="TRIP02482"/>
    <x v="194"/>
    <x v="4"/>
    <s v="Delhi"/>
    <n v="26.26"/>
    <d v="1900-03-03T17:31:12"/>
    <n v="374.57"/>
    <n v="1.2"/>
    <n v="449.48"/>
    <n v="3.5"/>
    <x v="2"/>
    <x v="0"/>
  </r>
  <r>
    <s v="TRIP02483"/>
    <x v="240"/>
    <x v="4"/>
    <s v="Delhi"/>
    <n v="11.39"/>
    <d v="1900-01-31T19:40:48"/>
    <n v="173.07"/>
    <n v="1.5"/>
    <n v="259.60000000000002"/>
    <n v="3.6"/>
    <x v="3"/>
    <x v="0"/>
  </r>
  <r>
    <s v="TRIP02484"/>
    <x v="172"/>
    <x v="3"/>
    <s v="Delhi"/>
    <n v="14.11"/>
    <d v="1900-02-19T06:57:36"/>
    <n v="216.41"/>
    <n v="1.2"/>
    <n v="259.69"/>
    <n v="3.1"/>
    <x v="0"/>
    <x v="0"/>
  </r>
  <r>
    <s v="TRIP02485"/>
    <x v="46"/>
    <x v="0"/>
    <s v="Mumbai"/>
    <n v="11.63"/>
    <d v="1900-02-05T17:16:48"/>
    <n v="123.85"/>
    <n v="2"/>
    <n v="247.7"/>
    <n v="3.6"/>
    <x v="1"/>
    <x v="3"/>
  </r>
  <r>
    <s v="TRIP02486"/>
    <x v="219"/>
    <x v="2"/>
    <s v="Kolkata"/>
    <n v="21.46"/>
    <d v="1900-03-17T03:07:12"/>
    <n v="360.89"/>
    <n v="2"/>
    <n v="721.78"/>
    <n v="3.5"/>
    <x v="2"/>
    <x v="3"/>
  </r>
  <r>
    <s v="TRIP02487"/>
    <x v="66"/>
    <x v="3"/>
    <s v="Delhi"/>
    <n v="25.06"/>
    <d v="1900-03-24T23:31:12"/>
    <n v="394.71"/>
    <n v="2"/>
    <n v="789.42"/>
    <n v="3.2"/>
    <x v="1"/>
    <x v="2"/>
  </r>
  <r>
    <s v="TRIP02488"/>
    <x v="183"/>
    <x v="4"/>
    <s v="Delhi"/>
    <n v="1.91"/>
    <d v="1900-01-03T06:28:48"/>
    <n v="25.06"/>
    <n v="1"/>
    <n v="25.06"/>
    <n v="3.8"/>
    <x v="0"/>
    <x v="0"/>
  </r>
  <r>
    <s v="TRIP02489"/>
    <x v="62"/>
    <x v="0"/>
    <s v="Bangalore"/>
    <n v="4.4800000000000004"/>
    <d v="1900-01-14T11:02:24"/>
    <n v="70.319999999999993"/>
    <n v="1.2"/>
    <n v="84.38"/>
    <n v="5"/>
    <x v="3"/>
    <x v="1"/>
  </r>
  <r>
    <s v="TRIP02490"/>
    <x v="298"/>
    <x v="0"/>
    <s v="Kolkata"/>
    <n v="29.32"/>
    <d v="1900-03-01T13:26:24"/>
    <n v="346.16"/>
    <n v="2"/>
    <n v="692.32"/>
    <n v="3.1"/>
    <x v="1"/>
    <x v="2"/>
  </r>
  <r>
    <s v="TRIP02491"/>
    <x v="104"/>
    <x v="2"/>
    <s v="Chennai"/>
    <n v="18.09"/>
    <d v="1900-02-24T17:16:48"/>
    <n v="356.55"/>
    <n v="1.5"/>
    <n v="534.83000000000004"/>
    <n v="3.5"/>
    <x v="1"/>
    <x v="1"/>
  </r>
  <r>
    <s v="TRIP02492"/>
    <x v="101"/>
    <x v="1"/>
    <s v="Delhi"/>
    <n v="4.29"/>
    <d v="1900-01-15T00:43:12"/>
    <n v="48.44"/>
    <n v="1"/>
    <n v="48.44"/>
    <n v="5"/>
    <x v="1"/>
    <x v="3"/>
  </r>
  <r>
    <s v="TRIP02493"/>
    <x v="158"/>
    <x v="3"/>
    <s v="Kolkata"/>
    <n v="19.350000000000001"/>
    <d v="1900-02-08T17:31:12"/>
    <n v="250.25"/>
    <n v="1.5"/>
    <n v="375.38"/>
    <n v="3.4"/>
    <x v="0"/>
    <x v="2"/>
  </r>
  <r>
    <s v="TRIP02494"/>
    <x v="229"/>
    <x v="0"/>
    <s v="Kolkata"/>
    <n v="2.89"/>
    <d v="1900-01-07T08:09:36"/>
    <n v="53.48"/>
    <n v="1.5"/>
    <n v="80.22"/>
    <n v="4.8"/>
    <x v="2"/>
    <x v="1"/>
  </r>
  <r>
    <s v="TRIP02495"/>
    <x v="306"/>
    <x v="1"/>
    <s v="Bangalore"/>
    <n v="27.09"/>
    <d v="1900-02-28T13:55:12"/>
    <n v="355.06"/>
    <n v="1.5"/>
    <n v="532.59"/>
    <n v="4.8"/>
    <x v="2"/>
    <x v="1"/>
  </r>
  <r>
    <s v="TRIP02496"/>
    <x v="131"/>
    <x v="0"/>
    <s v="Kolkata"/>
    <n v="25.14"/>
    <d v="1900-02-23T21:21:36"/>
    <n v="482.83"/>
    <n v="1"/>
    <n v="482.83"/>
    <n v="4.9000000000000004"/>
    <x v="1"/>
    <x v="3"/>
  </r>
  <r>
    <s v="TRIP02497"/>
    <x v="109"/>
    <x v="2"/>
    <s v="Delhi"/>
    <n v="1.98"/>
    <d v="1900-01-06T21:07:12"/>
    <n v="29.35"/>
    <n v="1"/>
    <n v="29.35"/>
    <n v="4.9000000000000004"/>
    <x v="3"/>
    <x v="1"/>
  </r>
  <r>
    <s v="TRIP02498"/>
    <x v="83"/>
    <x v="1"/>
    <s v="Delhi"/>
    <n v="23.9"/>
    <d v="1900-03-26T14:38:24"/>
    <n v="285.35000000000002"/>
    <n v="1.2"/>
    <n v="342.42"/>
    <n v="4.4000000000000004"/>
    <x v="3"/>
    <x v="1"/>
  </r>
  <r>
    <s v="TRIP02499"/>
    <x v="298"/>
    <x v="4"/>
    <s v="Kolkata"/>
    <n v="24.77"/>
    <d v="1900-03-20T03:21:36"/>
    <n v="494.09"/>
    <n v="1"/>
    <n v="494.09"/>
    <n v="4.0999999999999996"/>
    <x v="1"/>
    <x v="2"/>
  </r>
  <r>
    <s v="TRIP02500"/>
    <x v="147"/>
    <x v="0"/>
    <s v="Mumbai"/>
    <n v="25.55"/>
    <d v="1900-03-12T06:57:36"/>
    <n v="264.74"/>
    <n v="1"/>
    <n v="264.74"/>
    <n v="4.3"/>
    <x v="4"/>
    <x v="2"/>
  </r>
  <r>
    <s v="TRIP02501"/>
    <x v="249"/>
    <x v="0"/>
    <s v="Chennai"/>
    <n v="28.85"/>
    <d v="1900-03-13T15:07:12"/>
    <n v="359.62"/>
    <n v="1"/>
    <n v="359.62"/>
    <n v="4.2"/>
    <x v="2"/>
    <x v="3"/>
  </r>
  <r>
    <s v="TRIP02502"/>
    <x v="79"/>
    <x v="4"/>
    <s v="Mumbai"/>
    <n v="22.65"/>
    <d v="1900-03-10T16:04:48"/>
    <n v="369.51"/>
    <n v="1.5"/>
    <n v="554.26"/>
    <n v="3"/>
    <x v="1"/>
    <x v="3"/>
  </r>
  <r>
    <s v="TRIP02503"/>
    <x v="240"/>
    <x v="3"/>
    <s v="Bangalore"/>
    <n v="8.41"/>
    <d v="1900-01-30T16:48:00"/>
    <n v="93.57"/>
    <n v="1.5"/>
    <n v="140.35"/>
    <n v="3.6"/>
    <x v="2"/>
    <x v="0"/>
  </r>
  <r>
    <s v="TRIP02504"/>
    <x v="53"/>
    <x v="3"/>
    <s v="Mumbai"/>
    <n v="14.79"/>
    <d v="1900-02-06T10:33:36"/>
    <n v="195.71"/>
    <n v="1.5"/>
    <n v="293.56"/>
    <n v="4.3"/>
    <x v="0"/>
    <x v="0"/>
  </r>
  <r>
    <s v="TRIP02505"/>
    <x v="298"/>
    <x v="2"/>
    <s v="Mumbai"/>
    <n v="11.61"/>
    <d v="1900-02-08T02:09:36"/>
    <n v="169.05"/>
    <n v="2"/>
    <n v="338.1"/>
    <n v="3.9"/>
    <x v="0"/>
    <x v="0"/>
  </r>
  <r>
    <s v="TRIP02506"/>
    <x v="7"/>
    <x v="3"/>
    <s v="Mumbai"/>
    <n v="28.65"/>
    <d v="1900-04-14T09:50:24"/>
    <n v="408.55"/>
    <n v="1.5"/>
    <n v="612.83000000000004"/>
    <n v="3.3"/>
    <x v="0"/>
    <x v="3"/>
  </r>
  <r>
    <s v="TRIP02507"/>
    <x v="54"/>
    <x v="0"/>
    <s v="Mumbai"/>
    <n v="17.260000000000002"/>
    <d v="1900-03-08T09:36:00"/>
    <n v="262.06"/>
    <n v="1.2"/>
    <n v="314.47000000000003"/>
    <n v="4.8"/>
    <x v="2"/>
    <x v="2"/>
  </r>
  <r>
    <s v="TRIP02508"/>
    <x v="352"/>
    <x v="4"/>
    <s v="Chennai"/>
    <n v="17.8"/>
    <d v="1900-02-05T02:24:00"/>
    <n v="282.44"/>
    <n v="1.5"/>
    <n v="423.66"/>
    <n v="3.8"/>
    <x v="2"/>
    <x v="1"/>
  </r>
  <r>
    <s v="TRIP02509"/>
    <x v="162"/>
    <x v="0"/>
    <s v="Mumbai"/>
    <n v="24.8"/>
    <d v="1900-03-03T06:43:12"/>
    <n v="445.54"/>
    <n v="1.5"/>
    <n v="668.31"/>
    <n v="3.3"/>
    <x v="4"/>
    <x v="0"/>
  </r>
  <r>
    <s v="TRIP02510"/>
    <x v="109"/>
    <x v="2"/>
    <s v="Kolkata"/>
    <n v="29.24"/>
    <d v="1900-03-19T15:07:12"/>
    <n v="468.24"/>
    <n v="1.5"/>
    <n v="702.36"/>
    <n v="3.2"/>
    <x v="4"/>
    <x v="1"/>
  </r>
  <r>
    <s v="TRIP02511"/>
    <x v="349"/>
    <x v="1"/>
    <s v="Bangalore"/>
    <n v="15.69"/>
    <d v="1900-02-07T19:26:24"/>
    <n v="239.99"/>
    <n v="1"/>
    <n v="239.99"/>
    <n v="3.4"/>
    <x v="0"/>
    <x v="3"/>
  </r>
  <r>
    <s v="TRIP02512"/>
    <x v="183"/>
    <x v="0"/>
    <s v="Chennai"/>
    <n v="8.8800000000000008"/>
    <d v="1900-02-03T03:36:00"/>
    <n v="112.81"/>
    <n v="1.5"/>
    <n v="169.22"/>
    <n v="4.7"/>
    <x v="0"/>
    <x v="2"/>
  </r>
  <r>
    <s v="TRIP02513"/>
    <x v="215"/>
    <x v="0"/>
    <s v="Kolkata"/>
    <n v="11.33"/>
    <d v="1900-01-25T23:45:36"/>
    <n v="210.32"/>
    <n v="1.2"/>
    <n v="252.38"/>
    <n v="4.4000000000000004"/>
    <x v="0"/>
    <x v="0"/>
  </r>
  <r>
    <s v="TRIP02514"/>
    <x v="310"/>
    <x v="3"/>
    <s v="Mumbai"/>
    <n v="24.88"/>
    <d v="1900-03-07T14:09:36"/>
    <n v="273.44"/>
    <n v="2"/>
    <n v="546.88"/>
    <n v="4.4000000000000004"/>
    <x v="0"/>
    <x v="1"/>
  </r>
  <r>
    <s v="TRIP02515"/>
    <x v="219"/>
    <x v="4"/>
    <s v="Delhi"/>
    <n v="8.34"/>
    <d v="1900-01-31T22:48:00"/>
    <n v="155.33000000000001"/>
    <n v="1.5"/>
    <n v="233"/>
    <n v="4.8"/>
    <x v="4"/>
    <x v="1"/>
  </r>
  <r>
    <s v="TRIP02516"/>
    <x v="75"/>
    <x v="2"/>
    <s v="Chennai"/>
    <n v="22.9"/>
    <d v="1900-02-23T15:07:12"/>
    <n v="452.82"/>
    <n v="1"/>
    <n v="452.82"/>
    <n v="3.9"/>
    <x v="0"/>
    <x v="1"/>
  </r>
  <r>
    <s v="TRIP02517"/>
    <x v="210"/>
    <x v="0"/>
    <s v="Mumbai"/>
    <n v="13.43"/>
    <d v="1900-02-17T00:00:00"/>
    <n v="237.2"/>
    <n v="1"/>
    <n v="237.2"/>
    <n v="4.4000000000000004"/>
    <x v="4"/>
    <x v="3"/>
  </r>
  <r>
    <s v="TRIP02518"/>
    <x v="4"/>
    <x v="2"/>
    <s v="Chennai"/>
    <n v="25.23"/>
    <d v="1900-02-19T09:07:12"/>
    <n v="454.69"/>
    <n v="1"/>
    <n v="454.69"/>
    <n v="3.3"/>
    <x v="0"/>
    <x v="3"/>
  </r>
  <r>
    <s v="TRIP02519"/>
    <x v="209"/>
    <x v="4"/>
    <s v="Chennai"/>
    <n v="2.3199999999999998"/>
    <d v="1900-01-05T05:45:36"/>
    <n v="25.24"/>
    <n v="1"/>
    <n v="25.24"/>
    <n v="4.2"/>
    <x v="0"/>
    <x v="3"/>
  </r>
  <r>
    <s v="TRIP02520"/>
    <x v="156"/>
    <x v="3"/>
    <s v="Bangalore"/>
    <n v="17.440000000000001"/>
    <d v="1900-02-09T17:31:12"/>
    <n v="288.60000000000002"/>
    <n v="1.5"/>
    <n v="432.9"/>
    <n v="3.4"/>
    <x v="1"/>
    <x v="3"/>
  </r>
  <r>
    <s v="TRIP02521"/>
    <x v="231"/>
    <x v="4"/>
    <s v="Chennai"/>
    <n v="5.26"/>
    <d v="1900-01-16T19:12:00"/>
    <n v="100.54"/>
    <n v="1.5"/>
    <n v="150.81"/>
    <n v="3.2"/>
    <x v="4"/>
    <x v="3"/>
  </r>
  <r>
    <s v="TRIP02522"/>
    <x v="15"/>
    <x v="0"/>
    <s v="Mumbai"/>
    <n v="5.95"/>
    <d v="1900-01-21T05:02:24"/>
    <n v="82.96"/>
    <n v="2"/>
    <n v="165.92"/>
    <n v="3.4"/>
    <x v="0"/>
    <x v="2"/>
  </r>
  <r>
    <s v="TRIP02523"/>
    <x v="211"/>
    <x v="1"/>
    <s v="Kolkata"/>
    <n v="11.92"/>
    <d v="1900-02-05T12:28:48"/>
    <n v="122.44"/>
    <n v="1"/>
    <n v="122.44"/>
    <n v="4.3"/>
    <x v="1"/>
    <x v="3"/>
  </r>
  <r>
    <s v="TRIP02524"/>
    <x v="145"/>
    <x v="0"/>
    <s v="Chennai"/>
    <n v="20.66"/>
    <d v="1900-02-23T22:04:48"/>
    <n v="373.66"/>
    <n v="1.5"/>
    <n v="560.49"/>
    <n v="3.1"/>
    <x v="4"/>
    <x v="2"/>
  </r>
  <r>
    <s v="TRIP02525"/>
    <x v="0"/>
    <x v="0"/>
    <s v="Chennai"/>
    <n v="14.7"/>
    <d v="1900-02-07T10:04:48"/>
    <n v="287.33999999999997"/>
    <n v="1.5"/>
    <n v="431.01"/>
    <n v="3.2"/>
    <x v="4"/>
    <x v="1"/>
  </r>
  <r>
    <s v="TRIP02526"/>
    <x v="330"/>
    <x v="3"/>
    <s v="Bangalore"/>
    <n v="18.71"/>
    <d v="1900-03-04T05:02:24"/>
    <n v="329.66"/>
    <n v="1.5"/>
    <n v="494.49"/>
    <n v="4.5999999999999996"/>
    <x v="0"/>
    <x v="2"/>
  </r>
  <r>
    <s v="TRIP02527"/>
    <x v="222"/>
    <x v="2"/>
    <s v="Chennai"/>
    <n v="1.05"/>
    <d v="1900-01-01T20:09:36"/>
    <n v="13.04"/>
    <n v="1.2"/>
    <n v="15.65"/>
    <n v="3.9"/>
    <x v="2"/>
    <x v="0"/>
  </r>
  <r>
    <s v="TRIP02528"/>
    <x v="235"/>
    <x v="4"/>
    <s v="Chennai"/>
    <n v="8.66"/>
    <d v="1900-01-27T10:48:00"/>
    <n v="147.51"/>
    <n v="1.2"/>
    <n v="177.01"/>
    <n v="4.2"/>
    <x v="2"/>
    <x v="3"/>
  </r>
  <r>
    <s v="TRIP02529"/>
    <x v="260"/>
    <x v="0"/>
    <s v="Bangalore"/>
    <n v="6.96"/>
    <d v="1900-01-20T12:00:00"/>
    <n v="125.58"/>
    <n v="1.5"/>
    <n v="188.37"/>
    <n v="3.8"/>
    <x v="4"/>
    <x v="2"/>
  </r>
  <r>
    <s v="TRIP02530"/>
    <x v="304"/>
    <x v="4"/>
    <s v="Mumbai"/>
    <n v="2.7"/>
    <d v="1900-01-07T13:55:12"/>
    <n v="42.17"/>
    <n v="1.5"/>
    <n v="63.26"/>
    <n v="3.9"/>
    <x v="3"/>
    <x v="2"/>
  </r>
  <r>
    <s v="TRIP02531"/>
    <x v="144"/>
    <x v="2"/>
    <s v="Delhi"/>
    <n v="22.05"/>
    <d v="1900-03-18T22:48:00"/>
    <n v="284.18"/>
    <n v="1.2"/>
    <n v="341.02"/>
    <n v="4.5"/>
    <x v="4"/>
    <x v="0"/>
  </r>
  <r>
    <s v="TRIP02532"/>
    <x v="249"/>
    <x v="1"/>
    <s v="Bangalore"/>
    <n v="17.05"/>
    <d v="1900-03-06T20:52:48"/>
    <n v="202.36"/>
    <n v="1.2"/>
    <n v="242.83"/>
    <n v="3.1"/>
    <x v="1"/>
    <x v="1"/>
  </r>
  <r>
    <s v="TRIP02533"/>
    <x v="255"/>
    <x v="0"/>
    <s v="Delhi"/>
    <n v="26.17"/>
    <d v="1900-04-09T23:31:12"/>
    <n v="349.64"/>
    <n v="1.2"/>
    <n v="419.57"/>
    <n v="3.5"/>
    <x v="2"/>
    <x v="1"/>
  </r>
  <r>
    <s v="TRIP02534"/>
    <x v="89"/>
    <x v="1"/>
    <s v="Bangalore"/>
    <n v="12.44"/>
    <d v="1900-02-17T10:04:48"/>
    <n v="178.02"/>
    <n v="1.5"/>
    <n v="267.02999999999997"/>
    <n v="3.7"/>
    <x v="1"/>
    <x v="0"/>
  </r>
  <r>
    <s v="TRIP02535"/>
    <x v="222"/>
    <x v="3"/>
    <s v="Chennai"/>
    <n v="24.82"/>
    <d v="1900-02-21T15:50:24"/>
    <n v="326.76"/>
    <n v="1.5"/>
    <n v="490.14"/>
    <n v="4"/>
    <x v="1"/>
    <x v="0"/>
  </r>
  <r>
    <s v="TRIP02536"/>
    <x v="154"/>
    <x v="2"/>
    <s v="Mumbai"/>
    <n v="22.54"/>
    <d v="1900-03-01T03:36:00"/>
    <n v="356.53"/>
    <n v="2"/>
    <n v="713.06"/>
    <n v="4.0999999999999996"/>
    <x v="0"/>
    <x v="0"/>
  </r>
  <r>
    <s v="TRIP02537"/>
    <x v="101"/>
    <x v="4"/>
    <s v="Mumbai"/>
    <n v="15.53"/>
    <d v="1900-02-06T06:14:24"/>
    <n v="239.45"/>
    <n v="1.2"/>
    <n v="287.33999999999997"/>
    <n v="4.7"/>
    <x v="3"/>
    <x v="3"/>
  </r>
  <r>
    <s v="TRIP02538"/>
    <x v="346"/>
    <x v="4"/>
    <s v="Chennai"/>
    <n v="27.23"/>
    <d v="1900-02-27T02:52:48"/>
    <n v="331.28"/>
    <n v="1"/>
    <n v="331.28"/>
    <n v="3.4"/>
    <x v="0"/>
    <x v="3"/>
  </r>
  <r>
    <s v="TRIP02539"/>
    <x v="251"/>
    <x v="0"/>
    <s v="Chennai"/>
    <n v="3.28"/>
    <d v="1900-01-08T18:00:00"/>
    <n v="39.68"/>
    <n v="1"/>
    <n v="39.68"/>
    <n v="4.3"/>
    <x v="2"/>
    <x v="1"/>
  </r>
  <r>
    <s v="TRIP02540"/>
    <x v="283"/>
    <x v="3"/>
    <s v="Kolkata"/>
    <n v="11.45"/>
    <d v="1900-01-31T16:19:12"/>
    <n v="226.93"/>
    <n v="1.2"/>
    <n v="272.32"/>
    <n v="4.7"/>
    <x v="1"/>
    <x v="0"/>
  </r>
  <r>
    <s v="TRIP02541"/>
    <x v="245"/>
    <x v="4"/>
    <s v="Chennai"/>
    <n v="13.72"/>
    <d v="1900-02-01T20:38:24"/>
    <n v="193.71"/>
    <n v="1.5"/>
    <n v="290.56"/>
    <n v="3.5"/>
    <x v="4"/>
    <x v="2"/>
  </r>
  <r>
    <s v="TRIP02542"/>
    <x v="284"/>
    <x v="2"/>
    <s v="Kolkata"/>
    <n v="25.65"/>
    <d v="1900-03-22T05:45:36"/>
    <n v="293.87"/>
    <n v="1.2"/>
    <n v="352.64"/>
    <n v="3"/>
    <x v="0"/>
    <x v="0"/>
  </r>
  <r>
    <s v="TRIP02543"/>
    <x v="4"/>
    <x v="2"/>
    <s v="Chennai"/>
    <n v="13.56"/>
    <d v="1900-02-12T15:50:24"/>
    <n v="172.47"/>
    <n v="2"/>
    <n v="344.94"/>
    <n v="5"/>
    <x v="3"/>
    <x v="3"/>
  </r>
  <r>
    <s v="TRIP02544"/>
    <x v="45"/>
    <x v="4"/>
    <s v="Bangalore"/>
    <n v="28.2"/>
    <d v="1900-03-26T06:00:00"/>
    <n v="284.81"/>
    <n v="1.2"/>
    <n v="341.77"/>
    <n v="4.4000000000000004"/>
    <x v="3"/>
    <x v="0"/>
  </r>
  <r>
    <s v="TRIP02545"/>
    <x v="96"/>
    <x v="3"/>
    <s v="Chennai"/>
    <n v="10.84"/>
    <d v="1900-01-30T03:21:36"/>
    <n v="176.98"/>
    <n v="2"/>
    <n v="353.96"/>
    <n v="4.2"/>
    <x v="1"/>
    <x v="2"/>
  </r>
  <r>
    <s v="TRIP02546"/>
    <x v="131"/>
    <x v="4"/>
    <s v="Chennai"/>
    <n v="15.72"/>
    <d v="1900-02-09T08:38:24"/>
    <n v="313"/>
    <n v="1.5"/>
    <n v="469.5"/>
    <n v="3.6"/>
    <x v="2"/>
    <x v="2"/>
  </r>
  <r>
    <s v="TRIP02547"/>
    <x v="189"/>
    <x v="3"/>
    <s v="Mumbai"/>
    <n v="27"/>
    <d v="1900-04-08T03:21:36"/>
    <n v="282.66000000000003"/>
    <n v="1.2"/>
    <n v="339.19"/>
    <n v="3.1"/>
    <x v="4"/>
    <x v="0"/>
  </r>
  <r>
    <s v="TRIP02548"/>
    <x v="7"/>
    <x v="1"/>
    <s v="Delhi"/>
    <n v="22.66"/>
    <d v="1900-02-28T01:40:48"/>
    <n v="378.02"/>
    <n v="1"/>
    <n v="378.02"/>
    <n v="3.6"/>
    <x v="2"/>
    <x v="1"/>
  </r>
  <r>
    <s v="TRIP02549"/>
    <x v="150"/>
    <x v="3"/>
    <s v="Delhi"/>
    <n v="28.8"/>
    <d v="1900-02-26T19:55:12"/>
    <n v="500.73"/>
    <n v="2"/>
    <n v="1001.46"/>
    <n v="5"/>
    <x v="0"/>
    <x v="1"/>
  </r>
  <r>
    <s v="TRIP02550"/>
    <x v="50"/>
    <x v="4"/>
    <s v="Chennai"/>
    <n v="5.87"/>
    <d v="1900-01-14T13:55:12"/>
    <n v="68.819999999999993"/>
    <n v="2"/>
    <n v="137.63999999999999"/>
    <n v="3.8"/>
    <x v="0"/>
    <x v="3"/>
  </r>
  <r>
    <s v="TRIP02551"/>
    <x v="323"/>
    <x v="2"/>
    <s v="Chennai"/>
    <n v="28.04"/>
    <d v="1900-03-29T19:12:00"/>
    <n v="320.62"/>
    <n v="1.2"/>
    <n v="384.74"/>
    <n v="4.7"/>
    <x v="2"/>
    <x v="2"/>
  </r>
  <r>
    <s v="TRIP02552"/>
    <x v="270"/>
    <x v="1"/>
    <s v="Kolkata"/>
    <n v="19.010000000000002"/>
    <d v="1900-02-14T23:16:48"/>
    <n v="296.08"/>
    <n v="1.2"/>
    <n v="355.3"/>
    <n v="4.4000000000000004"/>
    <x v="2"/>
    <x v="1"/>
  </r>
  <r>
    <s v="TRIP02553"/>
    <x v="12"/>
    <x v="3"/>
    <s v="Kolkata"/>
    <n v="17.38"/>
    <d v="1900-02-28T17:45:36"/>
    <n v="251.08"/>
    <n v="1.5"/>
    <n v="376.62"/>
    <n v="3.2"/>
    <x v="0"/>
    <x v="3"/>
  </r>
  <r>
    <s v="TRIP02554"/>
    <x v="125"/>
    <x v="3"/>
    <s v="Delhi"/>
    <n v="2.81"/>
    <d v="1900-01-08T06:57:36"/>
    <n v="53.72"/>
    <n v="1.5"/>
    <n v="80.58"/>
    <n v="4.5"/>
    <x v="2"/>
    <x v="3"/>
  </r>
  <r>
    <s v="TRIP02555"/>
    <x v="187"/>
    <x v="4"/>
    <s v="Kolkata"/>
    <n v="10.08"/>
    <d v="1900-01-30T15:36:00"/>
    <n v="166.16"/>
    <n v="1.2"/>
    <n v="199.39"/>
    <n v="4.0999999999999996"/>
    <x v="4"/>
    <x v="3"/>
  </r>
  <r>
    <s v="TRIP02556"/>
    <x v="305"/>
    <x v="4"/>
    <s v="Bangalore"/>
    <n v="7.8"/>
    <d v="1900-01-18T16:33:36"/>
    <n v="132.91999999999999"/>
    <n v="1.2"/>
    <n v="159.5"/>
    <n v="4.9000000000000004"/>
    <x v="1"/>
    <x v="1"/>
  </r>
  <r>
    <s v="TRIP02557"/>
    <x v="126"/>
    <x v="2"/>
    <s v="Kolkata"/>
    <n v="1.58"/>
    <d v="1900-01-02T14:38:24"/>
    <n v="26.53"/>
    <n v="1"/>
    <n v="26.53"/>
    <n v="3.4"/>
    <x v="0"/>
    <x v="1"/>
  </r>
  <r>
    <s v="TRIP02558"/>
    <x v="59"/>
    <x v="1"/>
    <s v="Chennai"/>
    <n v="7.6"/>
    <d v="1900-01-15T16:48:00"/>
    <n v="108.94"/>
    <n v="1"/>
    <n v="108.94"/>
    <n v="4"/>
    <x v="4"/>
    <x v="2"/>
  </r>
  <r>
    <s v="TRIP02559"/>
    <x v="272"/>
    <x v="0"/>
    <s v="Bangalore"/>
    <n v="22.23"/>
    <d v="1900-03-14T20:09:36"/>
    <n v="284.64999999999998"/>
    <n v="1.5"/>
    <n v="426.98"/>
    <n v="4.0999999999999996"/>
    <x v="2"/>
    <x v="1"/>
  </r>
  <r>
    <s v="TRIP02560"/>
    <x v="183"/>
    <x v="3"/>
    <s v="Delhi"/>
    <n v="10.54"/>
    <d v="1900-02-01T03:07:12"/>
    <n v="131.28"/>
    <n v="1.5"/>
    <n v="196.92"/>
    <n v="3.7"/>
    <x v="0"/>
    <x v="0"/>
  </r>
  <r>
    <s v="TRIP02561"/>
    <x v="46"/>
    <x v="2"/>
    <s v="Kolkata"/>
    <n v="14.32"/>
    <d v="1900-02-16T02:24:00"/>
    <n v="236.55"/>
    <n v="1.2"/>
    <n v="283.86"/>
    <n v="4.7"/>
    <x v="4"/>
    <x v="0"/>
  </r>
  <r>
    <s v="TRIP02562"/>
    <x v="69"/>
    <x v="3"/>
    <s v="Kolkata"/>
    <n v="28.23"/>
    <d v="1900-04-09T12:28:48"/>
    <n v="542.37"/>
    <n v="1.2"/>
    <n v="650.84"/>
    <n v="3.7"/>
    <x v="0"/>
    <x v="1"/>
  </r>
  <r>
    <s v="TRIP02563"/>
    <x v="341"/>
    <x v="2"/>
    <s v="Kolkata"/>
    <n v="2.29"/>
    <d v="1900-01-04T23:45:36"/>
    <n v="38.46"/>
    <n v="1.2"/>
    <n v="46.15"/>
    <n v="4.5999999999999996"/>
    <x v="3"/>
    <x v="2"/>
  </r>
  <r>
    <s v="TRIP02564"/>
    <x v="156"/>
    <x v="2"/>
    <s v="Kolkata"/>
    <n v="16.66"/>
    <d v="1900-02-07T21:36:00"/>
    <n v="238.36"/>
    <n v="1.2"/>
    <n v="286.02999999999997"/>
    <n v="4.3"/>
    <x v="1"/>
    <x v="1"/>
  </r>
  <r>
    <s v="TRIP02565"/>
    <x v="91"/>
    <x v="0"/>
    <s v="Bangalore"/>
    <n v="8.56"/>
    <d v="1900-01-30T23:31:12"/>
    <n v="140.75"/>
    <n v="1.5"/>
    <n v="211.12"/>
    <n v="3.3"/>
    <x v="2"/>
    <x v="3"/>
  </r>
  <r>
    <s v="TRIP02566"/>
    <x v="211"/>
    <x v="4"/>
    <s v="Delhi"/>
    <n v="2.0299999999999998"/>
    <d v="1900-01-07T02:38:24"/>
    <n v="38.01"/>
    <n v="2"/>
    <n v="76.02"/>
    <n v="3.5"/>
    <x v="4"/>
    <x v="0"/>
  </r>
  <r>
    <s v="TRIP02567"/>
    <x v="80"/>
    <x v="3"/>
    <s v="Bangalore"/>
    <n v="12.78"/>
    <d v="1900-02-15T21:07:12"/>
    <n v="131.91"/>
    <n v="2"/>
    <n v="263.82"/>
    <n v="4.2"/>
    <x v="2"/>
    <x v="1"/>
  </r>
  <r>
    <s v="TRIP02568"/>
    <x v="44"/>
    <x v="2"/>
    <s v="Chennai"/>
    <n v="22.39"/>
    <d v="1900-02-12T21:36:00"/>
    <n v="364.56"/>
    <n v="1.5"/>
    <n v="546.84"/>
    <n v="4.7"/>
    <x v="1"/>
    <x v="2"/>
  </r>
  <r>
    <s v="TRIP02569"/>
    <x v="198"/>
    <x v="4"/>
    <s v="Kolkata"/>
    <n v="23.79"/>
    <d v="1900-03-14T00:43:12"/>
    <n v="441.8"/>
    <n v="1.2"/>
    <n v="530.16"/>
    <n v="4.0999999999999996"/>
    <x v="3"/>
    <x v="0"/>
  </r>
  <r>
    <s v="TRIP02570"/>
    <x v="323"/>
    <x v="0"/>
    <s v="Chennai"/>
    <n v="29.13"/>
    <d v="1900-04-04T05:16:48"/>
    <n v="513.87"/>
    <n v="2"/>
    <n v="1027.74"/>
    <n v="4.0999999999999996"/>
    <x v="2"/>
    <x v="0"/>
  </r>
  <r>
    <s v="TRIP02571"/>
    <x v="342"/>
    <x v="0"/>
    <s v="Bangalore"/>
    <n v="22.26"/>
    <d v="1900-03-03T17:16:48"/>
    <n v="321.87"/>
    <n v="1.5"/>
    <n v="482.8"/>
    <n v="4.7"/>
    <x v="2"/>
    <x v="3"/>
  </r>
  <r>
    <s v="TRIP02572"/>
    <x v="173"/>
    <x v="1"/>
    <s v="Kolkata"/>
    <n v="6.04"/>
    <d v="1900-01-11T20:24:00"/>
    <n v="80.349999999999994"/>
    <n v="1.2"/>
    <n v="96.42"/>
    <n v="4.0999999999999996"/>
    <x v="2"/>
    <x v="3"/>
  </r>
  <r>
    <s v="TRIP02573"/>
    <x v="264"/>
    <x v="1"/>
    <s v="Mumbai"/>
    <n v="2.59"/>
    <d v="1900-01-05T02:09:36"/>
    <n v="40.11"/>
    <n v="1.2"/>
    <n v="48.13"/>
    <n v="3.7"/>
    <x v="2"/>
    <x v="1"/>
  </r>
  <r>
    <s v="TRIP02574"/>
    <x v="61"/>
    <x v="4"/>
    <s v="Delhi"/>
    <n v="29.65"/>
    <d v="1900-04-07T08:52:48"/>
    <n v="404.84"/>
    <n v="1.5"/>
    <n v="607.26"/>
    <n v="3.9"/>
    <x v="3"/>
    <x v="3"/>
  </r>
  <r>
    <s v="TRIP02575"/>
    <x v="92"/>
    <x v="1"/>
    <s v="Kolkata"/>
    <n v="19.82"/>
    <d v="1900-03-14T15:07:12"/>
    <n v="234.69"/>
    <n v="1"/>
    <n v="234.69"/>
    <n v="4.9000000000000004"/>
    <x v="3"/>
    <x v="3"/>
  </r>
  <r>
    <s v="TRIP02576"/>
    <x v="278"/>
    <x v="0"/>
    <s v="Bangalore"/>
    <n v="7.23"/>
    <d v="1900-01-14T00:00:00"/>
    <n v="82.48"/>
    <n v="1.2"/>
    <n v="98.98"/>
    <n v="3.1"/>
    <x v="1"/>
    <x v="2"/>
  </r>
  <r>
    <s v="TRIP02577"/>
    <x v="206"/>
    <x v="0"/>
    <s v="Mumbai"/>
    <n v="3.25"/>
    <d v="1900-01-11T17:45:36"/>
    <n v="61.07"/>
    <n v="1.5"/>
    <n v="91.6"/>
    <n v="3.6"/>
    <x v="2"/>
    <x v="1"/>
  </r>
  <r>
    <s v="TRIP02578"/>
    <x v="156"/>
    <x v="1"/>
    <s v="Mumbai"/>
    <n v="7.38"/>
    <d v="1900-01-26T02:24:00"/>
    <n v="124.72"/>
    <n v="1.5"/>
    <n v="187.08"/>
    <n v="3.8"/>
    <x v="0"/>
    <x v="3"/>
  </r>
  <r>
    <s v="TRIP02579"/>
    <x v="208"/>
    <x v="1"/>
    <s v="Delhi"/>
    <n v="11.05"/>
    <d v="1900-02-07T05:02:24"/>
    <n v="139.5"/>
    <n v="1"/>
    <n v="139.5"/>
    <n v="4.0999999999999996"/>
    <x v="2"/>
    <x v="1"/>
  </r>
  <r>
    <s v="TRIP02580"/>
    <x v="216"/>
    <x v="1"/>
    <s v="Bangalore"/>
    <n v="28.12"/>
    <d v="1900-03-12T14:38:24"/>
    <n v="427.6"/>
    <n v="1.2"/>
    <n v="513.12"/>
    <n v="3.4"/>
    <x v="4"/>
    <x v="2"/>
  </r>
  <r>
    <s v="TRIP02581"/>
    <x v="13"/>
    <x v="0"/>
    <s v="Delhi"/>
    <n v="10.72"/>
    <d v="1900-02-06T03:07:12"/>
    <n v="198.9"/>
    <n v="1"/>
    <n v="198.9"/>
    <n v="3.8"/>
    <x v="4"/>
    <x v="0"/>
  </r>
  <r>
    <s v="TRIP02582"/>
    <x v="344"/>
    <x v="2"/>
    <s v="Kolkata"/>
    <n v="22.68"/>
    <d v="1900-03-26T18:28:48"/>
    <n v="398.02"/>
    <n v="2"/>
    <n v="796.04"/>
    <n v="4.5"/>
    <x v="1"/>
    <x v="2"/>
  </r>
  <r>
    <s v="TRIP02583"/>
    <x v="137"/>
    <x v="0"/>
    <s v="Mumbai"/>
    <n v="12.24"/>
    <d v="1900-02-06T14:09:36"/>
    <n v="224.17"/>
    <n v="1"/>
    <n v="224.17"/>
    <n v="4.3"/>
    <x v="3"/>
    <x v="1"/>
  </r>
  <r>
    <s v="TRIP02584"/>
    <x v="15"/>
    <x v="3"/>
    <s v="Kolkata"/>
    <n v="18.29"/>
    <d v="1900-03-09T06:14:24"/>
    <n v="214.35"/>
    <n v="1.5"/>
    <n v="321.52"/>
    <n v="3.1"/>
    <x v="1"/>
    <x v="0"/>
  </r>
  <r>
    <s v="TRIP02585"/>
    <x v="108"/>
    <x v="2"/>
    <s v="Delhi"/>
    <n v="1.56"/>
    <d v="1900-01-02T11:16:48"/>
    <n v="31.05"/>
    <n v="2"/>
    <n v="62.1"/>
    <n v="4.2"/>
    <x v="4"/>
    <x v="2"/>
  </r>
  <r>
    <s v="TRIP02586"/>
    <x v="17"/>
    <x v="4"/>
    <s v="Kolkata"/>
    <n v="6.29"/>
    <d v="1900-01-16T02:52:48"/>
    <n v="110.26"/>
    <n v="1.5"/>
    <n v="165.39"/>
    <n v="3.7"/>
    <x v="0"/>
    <x v="3"/>
  </r>
  <r>
    <s v="TRIP02587"/>
    <x v="143"/>
    <x v="4"/>
    <s v="Delhi"/>
    <n v="13.92"/>
    <d v="1900-01-28T06:57:36"/>
    <n v="181.01"/>
    <n v="2"/>
    <n v="362.02"/>
    <n v="3.3"/>
    <x v="2"/>
    <x v="2"/>
  </r>
  <r>
    <s v="TRIP02588"/>
    <x v="345"/>
    <x v="2"/>
    <s v="Chennai"/>
    <n v="29.99"/>
    <d v="1900-03-23T07:12:00"/>
    <n v="415.96"/>
    <n v="1"/>
    <n v="415.96"/>
    <n v="3.1"/>
    <x v="0"/>
    <x v="1"/>
  </r>
  <r>
    <s v="TRIP02589"/>
    <x v="120"/>
    <x v="2"/>
    <s v="Bangalore"/>
    <n v="26.41"/>
    <d v="1900-03-23T01:12:00"/>
    <n v="314.83999999999997"/>
    <n v="1.2"/>
    <n v="377.81"/>
    <n v="4.4000000000000004"/>
    <x v="2"/>
    <x v="2"/>
  </r>
  <r>
    <s v="TRIP02590"/>
    <x v="42"/>
    <x v="3"/>
    <s v="Mumbai"/>
    <n v="29.49"/>
    <d v="1900-04-19T00:14:24"/>
    <n v="465.84"/>
    <n v="1"/>
    <n v="465.84"/>
    <n v="5"/>
    <x v="4"/>
    <x v="3"/>
  </r>
  <r>
    <s v="TRIP02591"/>
    <x v="18"/>
    <x v="1"/>
    <s v="Kolkata"/>
    <n v="9.1"/>
    <d v="1900-01-21T14:09:36"/>
    <n v="136.27000000000001"/>
    <n v="1"/>
    <n v="136.27000000000001"/>
    <n v="4.7"/>
    <x v="2"/>
    <x v="2"/>
  </r>
  <r>
    <s v="TRIP02592"/>
    <x v="302"/>
    <x v="1"/>
    <s v="Kolkata"/>
    <n v="20.190000000000001"/>
    <d v="1900-03-08T04:19:12"/>
    <n v="377.87"/>
    <n v="2"/>
    <n v="755.74"/>
    <n v="3.8"/>
    <x v="0"/>
    <x v="1"/>
  </r>
  <r>
    <s v="TRIP02593"/>
    <x v="57"/>
    <x v="3"/>
    <s v="Chennai"/>
    <n v="23.76"/>
    <d v="1900-03-26T05:45:36"/>
    <n v="457.93"/>
    <n v="1.5"/>
    <n v="686.9"/>
    <n v="3.5"/>
    <x v="3"/>
    <x v="1"/>
  </r>
  <r>
    <s v="TRIP02594"/>
    <x v="139"/>
    <x v="1"/>
    <s v="Delhi"/>
    <n v="15.66"/>
    <d v="1900-01-31T07:55:12"/>
    <n v="257.91000000000003"/>
    <n v="1.2"/>
    <n v="309.49"/>
    <n v="4.9000000000000004"/>
    <x v="3"/>
    <x v="2"/>
  </r>
  <r>
    <s v="TRIP02595"/>
    <x v="211"/>
    <x v="3"/>
    <s v="Bangalore"/>
    <n v="24.09"/>
    <d v="1900-03-04T05:02:24"/>
    <n v="383.67"/>
    <n v="1.2"/>
    <n v="460.4"/>
    <n v="4.7"/>
    <x v="3"/>
    <x v="2"/>
  </r>
  <r>
    <s v="TRIP02596"/>
    <x v="248"/>
    <x v="4"/>
    <s v="Mumbai"/>
    <n v="22.68"/>
    <d v="1900-03-18T12:00:00"/>
    <n v="237.31"/>
    <n v="1.5"/>
    <n v="355.96"/>
    <n v="3.2"/>
    <x v="3"/>
    <x v="1"/>
  </r>
  <r>
    <s v="TRIP02597"/>
    <x v="192"/>
    <x v="4"/>
    <s v="Kolkata"/>
    <n v="29.02"/>
    <d v="1900-04-23T13:26:24"/>
    <n v="301.55"/>
    <n v="2"/>
    <n v="603.1"/>
    <n v="3.5"/>
    <x v="2"/>
    <x v="0"/>
  </r>
  <r>
    <s v="TRIP02598"/>
    <x v="150"/>
    <x v="1"/>
    <s v="Chennai"/>
    <n v="28.33"/>
    <d v="1900-04-03T16:19:12"/>
    <n v="481.96"/>
    <n v="1.5"/>
    <n v="722.94"/>
    <n v="4.7"/>
    <x v="1"/>
    <x v="0"/>
  </r>
  <r>
    <s v="TRIP02599"/>
    <x v="342"/>
    <x v="4"/>
    <s v="Bangalore"/>
    <n v="16.88"/>
    <d v="1900-02-04T13:40:48"/>
    <n v="323.29000000000002"/>
    <n v="2"/>
    <n v="646.58000000000004"/>
    <n v="3.3"/>
    <x v="2"/>
    <x v="1"/>
  </r>
  <r>
    <s v="TRIP02600"/>
    <x v="322"/>
    <x v="3"/>
    <s v="Bangalore"/>
    <n v="29.54"/>
    <d v="1900-03-10T03:07:12"/>
    <n v="550.86"/>
    <n v="1.5"/>
    <n v="826.29"/>
    <n v="4.5999999999999996"/>
    <x v="4"/>
    <x v="2"/>
  </r>
  <r>
    <s v="TRIP02601"/>
    <x v="102"/>
    <x v="0"/>
    <s v="Delhi"/>
    <n v="8.6199999999999992"/>
    <d v="1900-01-17T00:14:24"/>
    <n v="109.3"/>
    <n v="2"/>
    <n v="218.6"/>
    <n v="3.1"/>
    <x v="1"/>
    <x v="0"/>
  </r>
  <r>
    <s v="TRIP02602"/>
    <x v="101"/>
    <x v="0"/>
    <s v="Delhi"/>
    <n v="20.190000000000001"/>
    <d v="1900-03-16T04:19:12"/>
    <n v="346.72"/>
    <n v="2"/>
    <n v="693.44"/>
    <n v="4.0999999999999996"/>
    <x v="2"/>
    <x v="1"/>
  </r>
  <r>
    <s v="TRIP02603"/>
    <x v="192"/>
    <x v="0"/>
    <s v="Chennai"/>
    <n v="27.1"/>
    <d v="1900-03-13T01:40:48"/>
    <n v="301.23"/>
    <n v="2"/>
    <n v="602.46"/>
    <n v="4.5999999999999996"/>
    <x v="4"/>
    <x v="1"/>
  </r>
  <r>
    <s v="TRIP02604"/>
    <x v="217"/>
    <x v="0"/>
    <s v="Kolkata"/>
    <n v="27.01"/>
    <d v="1900-02-24T20:38:24"/>
    <n v="308.37"/>
    <n v="2"/>
    <n v="616.74"/>
    <n v="4.5"/>
    <x v="3"/>
    <x v="3"/>
  </r>
  <r>
    <s v="TRIP02605"/>
    <x v="196"/>
    <x v="4"/>
    <s v="Mumbai"/>
    <n v="1.97"/>
    <d v="1900-01-04T12:00:00"/>
    <n v="31.21"/>
    <n v="1.2"/>
    <n v="37.450000000000003"/>
    <n v="4.2"/>
    <x v="4"/>
    <x v="3"/>
  </r>
  <r>
    <s v="TRIP02606"/>
    <x v="149"/>
    <x v="2"/>
    <s v="Delhi"/>
    <n v="15.03"/>
    <d v="1900-02-22T12:43:12"/>
    <n v="293.67"/>
    <n v="1.5"/>
    <n v="440.5"/>
    <n v="3.9"/>
    <x v="1"/>
    <x v="0"/>
  </r>
  <r>
    <s v="TRIP02607"/>
    <x v="360"/>
    <x v="1"/>
    <s v="Delhi"/>
    <n v="28.25"/>
    <d v="1900-03-18T20:52:48"/>
    <n v="485.43"/>
    <n v="1.5"/>
    <n v="728.14"/>
    <n v="4.9000000000000004"/>
    <x v="1"/>
    <x v="3"/>
  </r>
  <r>
    <s v="TRIP02608"/>
    <x v="297"/>
    <x v="1"/>
    <s v="Chennai"/>
    <n v="19.95"/>
    <d v="1900-03-06T01:26:24"/>
    <n v="317.69"/>
    <n v="2"/>
    <n v="635.38"/>
    <n v="4"/>
    <x v="2"/>
    <x v="1"/>
  </r>
  <r>
    <s v="TRIP02609"/>
    <x v="11"/>
    <x v="0"/>
    <s v="Kolkata"/>
    <n v="12.61"/>
    <d v="1900-02-09T07:40:48"/>
    <n v="237.79"/>
    <n v="1.2"/>
    <n v="285.35000000000002"/>
    <n v="3.4"/>
    <x v="2"/>
    <x v="3"/>
  </r>
  <r>
    <s v="TRIP02610"/>
    <x v="33"/>
    <x v="0"/>
    <s v="Delhi"/>
    <n v="29.18"/>
    <d v="1900-03-19T07:26:24"/>
    <n v="410.06"/>
    <n v="1"/>
    <n v="410.06"/>
    <n v="3.3"/>
    <x v="3"/>
    <x v="1"/>
  </r>
  <r>
    <s v="TRIP02611"/>
    <x v="87"/>
    <x v="4"/>
    <s v="Mumbai"/>
    <n v="27.36"/>
    <d v="1900-04-08T16:19:12"/>
    <n v="539.70000000000005"/>
    <n v="1.5"/>
    <n v="809.55"/>
    <n v="4.8"/>
    <x v="3"/>
    <x v="3"/>
  </r>
  <r>
    <s v="TRIP02612"/>
    <x v="339"/>
    <x v="4"/>
    <s v="Mumbai"/>
    <n v="4.05"/>
    <d v="1900-01-12T15:21:36"/>
    <n v="65.040000000000006"/>
    <n v="1"/>
    <n v="65.040000000000006"/>
    <n v="3.1"/>
    <x v="2"/>
    <x v="2"/>
  </r>
  <r>
    <s v="TRIP02613"/>
    <x v="5"/>
    <x v="4"/>
    <s v="Bangalore"/>
    <n v="19.55"/>
    <d v="1900-03-01T09:21:36"/>
    <n v="217.57"/>
    <n v="1.2"/>
    <n v="261.08"/>
    <n v="4"/>
    <x v="0"/>
    <x v="0"/>
  </r>
  <r>
    <s v="TRIP02614"/>
    <x v="225"/>
    <x v="2"/>
    <s v="Bangalore"/>
    <n v="22.56"/>
    <d v="1900-03-25T01:12:00"/>
    <n v="356.33"/>
    <n v="1.2"/>
    <n v="427.6"/>
    <n v="3.5"/>
    <x v="4"/>
    <x v="1"/>
  </r>
  <r>
    <s v="TRIP02615"/>
    <x v="339"/>
    <x v="3"/>
    <s v="Kolkata"/>
    <n v="26.69"/>
    <d v="1900-03-09T07:12:00"/>
    <n v="466.06"/>
    <n v="1.2"/>
    <n v="559.27"/>
    <n v="3.3"/>
    <x v="2"/>
    <x v="2"/>
  </r>
  <r>
    <s v="TRIP02616"/>
    <x v="44"/>
    <x v="3"/>
    <s v="Chennai"/>
    <n v="22.65"/>
    <d v="1900-02-18T06:43:12"/>
    <n v="322.69"/>
    <n v="2"/>
    <n v="645.38"/>
    <n v="3.5"/>
    <x v="0"/>
    <x v="3"/>
  </r>
  <r>
    <s v="TRIP02617"/>
    <x v="105"/>
    <x v="1"/>
    <s v="Mumbai"/>
    <n v="5.09"/>
    <d v="1900-01-17T20:52:48"/>
    <n v="80.87"/>
    <n v="1.2"/>
    <n v="97.04"/>
    <n v="3.9"/>
    <x v="1"/>
    <x v="3"/>
  </r>
  <r>
    <s v="TRIP02618"/>
    <x v="175"/>
    <x v="1"/>
    <s v="Kolkata"/>
    <n v="15.42"/>
    <d v="1900-01-31T02:09:36"/>
    <n v="291.87"/>
    <n v="1.5"/>
    <n v="437.8"/>
    <n v="3.8"/>
    <x v="2"/>
    <x v="0"/>
  </r>
  <r>
    <s v="TRIP02619"/>
    <x v="7"/>
    <x v="4"/>
    <s v="Mumbai"/>
    <n v="4.49"/>
    <d v="1900-01-09T06:28:48"/>
    <n v="74.58"/>
    <n v="2"/>
    <n v="149.16"/>
    <n v="4.0999999999999996"/>
    <x v="0"/>
    <x v="0"/>
  </r>
  <r>
    <s v="TRIP02620"/>
    <x v="333"/>
    <x v="2"/>
    <s v="Delhi"/>
    <n v="14.04"/>
    <d v="1900-02-13T06:57:36"/>
    <n v="237.04"/>
    <n v="1"/>
    <n v="237.04"/>
    <n v="3.2"/>
    <x v="4"/>
    <x v="0"/>
  </r>
  <r>
    <s v="TRIP02621"/>
    <x v="108"/>
    <x v="1"/>
    <s v="Mumbai"/>
    <n v="19.71"/>
    <d v="1900-03-01T09:36:00"/>
    <n v="324.02"/>
    <n v="2"/>
    <n v="648.04"/>
    <n v="3.7"/>
    <x v="3"/>
    <x v="0"/>
  </r>
  <r>
    <s v="TRIP02622"/>
    <x v="106"/>
    <x v="0"/>
    <s v="Chennai"/>
    <n v="19.64"/>
    <d v="1900-02-27T16:48:00"/>
    <n v="330.3"/>
    <n v="2"/>
    <n v="660.6"/>
    <n v="3.3"/>
    <x v="3"/>
    <x v="0"/>
  </r>
  <r>
    <s v="TRIP02623"/>
    <x v="24"/>
    <x v="3"/>
    <s v="Chennai"/>
    <n v="1.04"/>
    <d v="1900-01-02T05:45:36"/>
    <n v="16.54"/>
    <n v="2"/>
    <n v="33.08"/>
    <n v="4.0999999999999996"/>
    <x v="4"/>
    <x v="2"/>
  </r>
  <r>
    <s v="TRIP02624"/>
    <x v="363"/>
    <x v="2"/>
    <s v="Mumbai"/>
    <n v="12.07"/>
    <d v="1900-01-30T20:09:36"/>
    <n v="223.64"/>
    <n v="1.5"/>
    <n v="335.46"/>
    <n v="3.5"/>
    <x v="0"/>
    <x v="2"/>
  </r>
  <r>
    <s v="TRIP02625"/>
    <x v="202"/>
    <x v="3"/>
    <s v="Kolkata"/>
    <n v="1.45"/>
    <d v="1900-01-02T12:14:24"/>
    <n v="22.02"/>
    <n v="2"/>
    <n v="44.04"/>
    <n v="3.9"/>
    <x v="4"/>
    <x v="2"/>
  </r>
  <r>
    <s v="TRIP02626"/>
    <x v="341"/>
    <x v="1"/>
    <s v="Kolkata"/>
    <n v="26.98"/>
    <d v="1900-04-09T10:48:00"/>
    <n v="314.06"/>
    <n v="1.5"/>
    <n v="471.09"/>
    <n v="4.8"/>
    <x v="2"/>
    <x v="1"/>
  </r>
  <r>
    <s v="TRIP02627"/>
    <x v="115"/>
    <x v="2"/>
    <s v="Kolkata"/>
    <n v="9.31"/>
    <d v="1900-02-04T17:16:48"/>
    <n v="145.1"/>
    <n v="1.2"/>
    <n v="174.12"/>
    <n v="4.2"/>
    <x v="1"/>
    <x v="2"/>
  </r>
  <r>
    <s v="TRIP02628"/>
    <x v="35"/>
    <x v="3"/>
    <s v="Bangalore"/>
    <n v="26.67"/>
    <d v="1900-03-19T00:57:36"/>
    <n v="452.72"/>
    <n v="1.2"/>
    <n v="543.26"/>
    <n v="4.7"/>
    <x v="4"/>
    <x v="1"/>
  </r>
  <r>
    <s v="TRIP02629"/>
    <x v="156"/>
    <x v="2"/>
    <s v="Kolkata"/>
    <n v="23.89"/>
    <d v="1900-02-24T08:24:00"/>
    <n v="375.84"/>
    <n v="1"/>
    <n v="375.84"/>
    <n v="3.9"/>
    <x v="1"/>
    <x v="0"/>
  </r>
  <r>
    <s v="TRIP02630"/>
    <x v="307"/>
    <x v="1"/>
    <s v="Kolkata"/>
    <n v="24.04"/>
    <d v="1900-03-11T15:50:24"/>
    <n v="249.97"/>
    <n v="1.2"/>
    <n v="299.95999999999998"/>
    <n v="5"/>
    <x v="3"/>
    <x v="2"/>
  </r>
  <r>
    <s v="TRIP02631"/>
    <x v="115"/>
    <x v="1"/>
    <s v="Kolkata"/>
    <n v="19.309999999999999"/>
    <d v="1900-02-09T22:19:12"/>
    <n v="375.94"/>
    <n v="1"/>
    <n v="375.94"/>
    <n v="3.7"/>
    <x v="3"/>
    <x v="2"/>
  </r>
  <r>
    <s v="TRIP02632"/>
    <x v="299"/>
    <x v="2"/>
    <s v="Delhi"/>
    <n v="4.74"/>
    <d v="1900-01-17T10:48:00"/>
    <n v="81.14"/>
    <n v="1"/>
    <n v="81.14"/>
    <n v="3.9"/>
    <x v="0"/>
    <x v="3"/>
  </r>
  <r>
    <s v="TRIP02633"/>
    <x v="284"/>
    <x v="3"/>
    <s v="Bangalore"/>
    <n v="22.97"/>
    <d v="1900-02-26T03:50:24"/>
    <n v="434.21"/>
    <n v="1.2"/>
    <n v="521.04999999999995"/>
    <n v="5"/>
    <x v="3"/>
    <x v="2"/>
  </r>
  <r>
    <s v="TRIP02634"/>
    <x v="119"/>
    <x v="0"/>
    <s v="Kolkata"/>
    <n v="28.17"/>
    <d v="1900-02-24T09:36:00"/>
    <n v="533.61"/>
    <n v="1.2"/>
    <n v="640.33000000000004"/>
    <n v="3.2"/>
    <x v="3"/>
    <x v="3"/>
  </r>
  <r>
    <s v="TRIP02635"/>
    <x v="209"/>
    <x v="3"/>
    <s v="Kolkata"/>
    <n v="7.61"/>
    <d v="1900-01-19T00:57:36"/>
    <n v="92.35"/>
    <n v="2"/>
    <n v="184.7"/>
    <n v="3.6"/>
    <x v="3"/>
    <x v="1"/>
  </r>
  <r>
    <s v="TRIP02636"/>
    <x v="328"/>
    <x v="4"/>
    <s v="Delhi"/>
    <n v="14.47"/>
    <d v="1900-02-18T14:09:36"/>
    <n v="176.77"/>
    <n v="1.2"/>
    <n v="212.12"/>
    <n v="3.3"/>
    <x v="0"/>
    <x v="1"/>
  </r>
  <r>
    <s v="TRIP02637"/>
    <x v="239"/>
    <x v="4"/>
    <s v="Bangalore"/>
    <n v="28.67"/>
    <d v="1900-04-23T03:07:12"/>
    <n v="518.26"/>
    <n v="1.2"/>
    <n v="621.91"/>
    <n v="4.3"/>
    <x v="4"/>
    <x v="1"/>
  </r>
  <r>
    <s v="TRIP02638"/>
    <x v="270"/>
    <x v="4"/>
    <s v="Chennai"/>
    <n v="10.87"/>
    <d v="1900-01-27T15:50:24"/>
    <n v="212.67"/>
    <n v="1.5"/>
    <n v="319"/>
    <n v="3.4"/>
    <x v="0"/>
    <x v="3"/>
  </r>
  <r>
    <s v="TRIP02639"/>
    <x v="4"/>
    <x v="4"/>
    <s v="Kolkata"/>
    <n v="6.39"/>
    <d v="1900-01-23T09:36:00"/>
    <n v="116.8"/>
    <n v="1.2"/>
    <n v="140.16"/>
    <n v="3.3"/>
    <x v="2"/>
    <x v="1"/>
  </r>
  <r>
    <s v="TRIP02640"/>
    <x v="323"/>
    <x v="0"/>
    <s v="Bangalore"/>
    <n v="3.35"/>
    <d v="1900-01-10T02:24:00"/>
    <n v="55.4"/>
    <n v="2"/>
    <n v="110.8"/>
    <n v="4.3"/>
    <x v="1"/>
    <x v="1"/>
  </r>
  <r>
    <s v="TRIP02641"/>
    <x v="93"/>
    <x v="3"/>
    <s v="Chennai"/>
    <n v="29.79"/>
    <d v="1900-04-09T00:00:00"/>
    <n v="515.39"/>
    <n v="2"/>
    <n v="1030.78"/>
    <n v="3.7"/>
    <x v="0"/>
    <x v="2"/>
  </r>
  <r>
    <s v="TRIP02642"/>
    <x v="92"/>
    <x v="1"/>
    <s v="Delhi"/>
    <n v="9.0299999999999994"/>
    <d v="1900-01-21T13:26:24"/>
    <n v="111.48"/>
    <n v="1.2"/>
    <n v="133.78"/>
    <n v="3.3"/>
    <x v="4"/>
    <x v="1"/>
  </r>
  <r>
    <s v="TRIP02643"/>
    <x v="211"/>
    <x v="1"/>
    <s v="Mumbai"/>
    <n v="3.22"/>
    <d v="1900-01-06T01:26:24"/>
    <n v="48.14"/>
    <n v="1.5"/>
    <n v="72.209999999999994"/>
    <n v="3"/>
    <x v="3"/>
    <x v="2"/>
  </r>
  <r>
    <s v="TRIP02644"/>
    <x v="138"/>
    <x v="3"/>
    <s v="Bangalore"/>
    <n v="28.19"/>
    <d v="1900-03-04T08:38:24"/>
    <n v="387.82"/>
    <n v="1.2"/>
    <n v="465.38"/>
    <n v="4"/>
    <x v="2"/>
    <x v="1"/>
  </r>
  <r>
    <s v="TRIP02645"/>
    <x v="296"/>
    <x v="1"/>
    <s v="Delhi"/>
    <n v="15.16"/>
    <d v="1900-01-30T03:07:12"/>
    <n v="258.93"/>
    <n v="1"/>
    <n v="258.93"/>
    <n v="4.0999999999999996"/>
    <x v="4"/>
    <x v="3"/>
  </r>
  <r>
    <s v="TRIP02646"/>
    <x v="59"/>
    <x v="2"/>
    <s v="Kolkata"/>
    <n v="26.92"/>
    <d v="1900-03-07T15:50:24"/>
    <n v="333.88"/>
    <n v="1.5"/>
    <n v="500.82"/>
    <n v="4.9000000000000004"/>
    <x v="4"/>
    <x v="0"/>
  </r>
  <r>
    <s v="TRIP02647"/>
    <x v="151"/>
    <x v="4"/>
    <s v="Delhi"/>
    <n v="4.1100000000000003"/>
    <d v="1900-01-12T22:48:00"/>
    <n v="49.62"/>
    <n v="1.5"/>
    <n v="74.430000000000007"/>
    <n v="5"/>
    <x v="3"/>
    <x v="0"/>
  </r>
  <r>
    <s v="TRIP02648"/>
    <x v="340"/>
    <x v="1"/>
    <s v="Bangalore"/>
    <n v="8.41"/>
    <d v="1900-01-20T19:40:48"/>
    <n v="148.72999999999999"/>
    <n v="1.5"/>
    <n v="223.09"/>
    <n v="3.4"/>
    <x v="0"/>
    <x v="3"/>
  </r>
  <r>
    <s v="TRIP02649"/>
    <x v="54"/>
    <x v="3"/>
    <s v="Chennai"/>
    <n v="3.46"/>
    <d v="1900-01-11T01:12:00"/>
    <n v="58.59"/>
    <n v="1.2"/>
    <n v="70.31"/>
    <n v="4.7"/>
    <x v="4"/>
    <x v="0"/>
  </r>
  <r>
    <s v="TRIP02650"/>
    <x v="120"/>
    <x v="2"/>
    <s v="Mumbai"/>
    <n v="19.239999999999998"/>
    <d v="1900-03-07T19:26:24"/>
    <n v="361.04"/>
    <n v="2"/>
    <n v="722.08"/>
    <n v="3.4"/>
    <x v="0"/>
    <x v="2"/>
  </r>
  <r>
    <s v="TRIP02651"/>
    <x v="11"/>
    <x v="3"/>
    <s v="Bangalore"/>
    <n v="17.86"/>
    <d v="1900-03-08T04:19:12"/>
    <n v="323"/>
    <n v="1.5"/>
    <n v="484.5"/>
    <n v="4.7"/>
    <x v="3"/>
    <x v="0"/>
  </r>
  <r>
    <s v="TRIP02652"/>
    <x v="228"/>
    <x v="3"/>
    <s v="Bangalore"/>
    <n v="2.06"/>
    <d v="1900-01-05T13:55:12"/>
    <n v="28.61"/>
    <n v="1.5"/>
    <n v="42.92"/>
    <n v="3.8"/>
    <x v="3"/>
    <x v="0"/>
  </r>
  <r>
    <s v="TRIP02653"/>
    <x v="191"/>
    <x v="3"/>
    <s v="Chennai"/>
    <n v="13.53"/>
    <d v="1900-02-09T08:24:00"/>
    <n v="172.24"/>
    <n v="2"/>
    <n v="344.48"/>
    <n v="3"/>
    <x v="1"/>
    <x v="3"/>
  </r>
  <r>
    <s v="TRIP02654"/>
    <x v="212"/>
    <x v="2"/>
    <s v="Bangalore"/>
    <n v="6.06"/>
    <d v="1900-01-18T06:14:24"/>
    <n v="76.010000000000005"/>
    <n v="2"/>
    <n v="152.02000000000001"/>
    <n v="3.2"/>
    <x v="1"/>
    <x v="3"/>
  </r>
  <r>
    <s v="TRIP02655"/>
    <x v="19"/>
    <x v="1"/>
    <s v="Bangalore"/>
    <n v="19.93"/>
    <d v="1900-02-12T16:48:00"/>
    <n v="234.28"/>
    <n v="1"/>
    <n v="234.28"/>
    <n v="4.3"/>
    <x v="1"/>
    <x v="2"/>
  </r>
  <r>
    <s v="TRIP02656"/>
    <x v="68"/>
    <x v="0"/>
    <s v="Delhi"/>
    <n v="12.52"/>
    <d v="1900-02-08T00:57:36"/>
    <n v="155.44"/>
    <n v="2"/>
    <n v="310.88"/>
    <n v="3.3"/>
    <x v="0"/>
    <x v="3"/>
  </r>
  <r>
    <s v="TRIP02657"/>
    <x v="77"/>
    <x v="1"/>
    <s v="Mumbai"/>
    <n v="2.0099999999999998"/>
    <d v="1900-01-04T21:36:00"/>
    <n v="28.11"/>
    <n v="1"/>
    <n v="28.11"/>
    <n v="4"/>
    <x v="2"/>
    <x v="3"/>
  </r>
  <r>
    <s v="TRIP02658"/>
    <x v="339"/>
    <x v="3"/>
    <s v="Delhi"/>
    <n v="29.79"/>
    <d v="1900-03-23T03:36:00"/>
    <n v="483.96"/>
    <n v="2"/>
    <n v="967.92"/>
    <n v="3.2"/>
    <x v="4"/>
    <x v="3"/>
  </r>
  <r>
    <s v="TRIP02659"/>
    <x v="224"/>
    <x v="0"/>
    <s v="Delhi"/>
    <n v="22.39"/>
    <d v="1900-02-18T12:28:48"/>
    <n v="338.56"/>
    <n v="1"/>
    <n v="338.56"/>
    <n v="3.8"/>
    <x v="4"/>
    <x v="0"/>
  </r>
  <r>
    <s v="TRIP02660"/>
    <x v="140"/>
    <x v="4"/>
    <s v="Delhi"/>
    <n v="13.36"/>
    <d v="1900-01-29T05:16:48"/>
    <n v="226.98"/>
    <n v="1"/>
    <n v="226.98"/>
    <n v="3.3"/>
    <x v="4"/>
    <x v="2"/>
  </r>
  <r>
    <s v="TRIP02661"/>
    <x v="331"/>
    <x v="2"/>
    <s v="Mumbai"/>
    <n v="27.74"/>
    <d v="1900-04-08T08:24:00"/>
    <n v="333.09"/>
    <n v="1"/>
    <n v="333.09"/>
    <n v="3.2"/>
    <x v="2"/>
    <x v="2"/>
  </r>
  <r>
    <s v="TRIP02662"/>
    <x v="244"/>
    <x v="2"/>
    <s v="Mumbai"/>
    <n v="26.21"/>
    <d v="1900-02-24T05:02:24"/>
    <n v="491.67"/>
    <n v="1.2"/>
    <n v="590"/>
    <n v="4"/>
    <x v="2"/>
    <x v="2"/>
  </r>
  <r>
    <s v="TRIP02663"/>
    <x v="249"/>
    <x v="3"/>
    <s v="Bangalore"/>
    <n v="9.98"/>
    <d v="1900-01-24T21:21:36"/>
    <n v="130.32"/>
    <n v="2"/>
    <n v="260.64"/>
    <n v="3.5"/>
    <x v="4"/>
    <x v="3"/>
  </r>
  <r>
    <s v="TRIP02664"/>
    <x v="96"/>
    <x v="2"/>
    <s v="Bangalore"/>
    <n v="20.420000000000002"/>
    <d v="1900-03-13T11:02:24"/>
    <n v="256.7"/>
    <n v="2"/>
    <n v="513.4"/>
    <n v="3.1"/>
    <x v="1"/>
    <x v="0"/>
  </r>
  <r>
    <s v="TRIP02665"/>
    <x v="345"/>
    <x v="2"/>
    <s v="Kolkata"/>
    <n v="23.69"/>
    <d v="1900-03-02T00:43:12"/>
    <n v="389.27"/>
    <n v="1.2"/>
    <n v="467.12"/>
    <n v="4.0999999999999996"/>
    <x v="0"/>
    <x v="2"/>
  </r>
  <r>
    <s v="TRIP02666"/>
    <x v="202"/>
    <x v="4"/>
    <s v="Delhi"/>
    <n v="2.93"/>
    <d v="1900-01-07T21:07:12"/>
    <n v="39.44"/>
    <n v="2"/>
    <n v="78.88"/>
    <n v="3.6"/>
    <x v="4"/>
    <x v="1"/>
  </r>
  <r>
    <s v="TRIP02667"/>
    <x v="20"/>
    <x v="2"/>
    <s v="Bangalore"/>
    <n v="14.52"/>
    <d v="1900-02-16T01:12:00"/>
    <n v="160.22999999999999"/>
    <n v="1"/>
    <n v="160.22999999999999"/>
    <n v="4.4000000000000004"/>
    <x v="4"/>
    <x v="2"/>
  </r>
  <r>
    <s v="TRIP02668"/>
    <x v="298"/>
    <x v="1"/>
    <s v="Bangalore"/>
    <n v="20.43"/>
    <d v="1900-02-09T09:50:24"/>
    <n v="246.1"/>
    <n v="1.2"/>
    <n v="295.32"/>
    <n v="3.9"/>
    <x v="4"/>
    <x v="0"/>
  </r>
  <r>
    <s v="TRIP02669"/>
    <x v="194"/>
    <x v="0"/>
    <s v="Bangalore"/>
    <n v="25.36"/>
    <d v="1900-03-05T12:57:36"/>
    <n v="489.71"/>
    <n v="1.2"/>
    <n v="587.65"/>
    <n v="4.5"/>
    <x v="2"/>
    <x v="1"/>
  </r>
  <r>
    <s v="TRIP02670"/>
    <x v="205"/>
    <x v="1"/>
    <s v="Kolkata"/>
    <n v="18.309999999999999"/>
    <d v="1900-02-09T02:38:24"/>
    <n v="359.45"/>
    <n v="1.5"/>
    <n v="539.16999999999996"/>
    <n v="3.3"/>
    <x v="0"/>
    <x v="2"/>
  </r>
  <r>
    <s v="TRIP02671"/>
    <x v="194"/>
    <x v="0"/>
    <s v="Mumbai"/>
    <n v="24.6"/>
    <d v="1900-03-19T15:07:12"/>
    <n v="452.18"/>
    <n v="2"/>
    <n v="904.36"/>
    <n v="3.9"/>
    <x v="3"/>
    <x v="3"/>
  </r>
  <r>
    <s v="TRIP02672"/>
    <x v="279"/>
    <x v="2"/>
    <s v="Bangalore"/>
    <n v="27.73"/>
    <d v="1900-02-25T11:16:48"/>
    <n v="514.70000000000005"/>
    <n v="1.5"/>
    <n v="772.05"/>
    <n v="4.4000000000000004"/>
    <x v="1"/>
    <x v="1"/>
  </r>
  <r>
    <s v="TRIP02673"/>
    <x v="248"/>
    <x v="2"/>
    <s v="Chennai"/>
    <n v="5.04"/>
    <d v="1900-01-14T22:19:12"/>
    <n v="95.16"/>
    <n v="1.5"/>
    <n v="142.74"/>
    <n v="4"/>
    <x v="2"/>
    <x v="3"/>
  </r>
  <r>
    <s v="TRIP02674"/>
    <x v="28"/>
    <x v="1"/>
    <s v="Kolkata"/>
    <n v="11.99"/>
    <d v="1900-02-14T09:07:12"/>
    <n v="145.44"/>
    <n v="1.2"/>
    <n v="174.53"/>
    <n v="3.1"/>
    <x v="3"/>
    <x v="0"/>
  </r>
  <r>
    <s v="TRIP02675"/>
    <x v="268"/>
    <x v="4"/>
    <s v="Mumbai"/>
    <n v="22.63"/>
    <d v="1900-03-13T14:24:00"/>
    <n v="320.39"/>
    <n v="1"/>
    <n v="320.39"/>
    <n v="3.1"/>
    <x v="1"/>
    <x v="3"/>
  </r>
  <r>
    <s v="TRIP02676"/>
    <x v="299"/>
    <x v="3"/>
    <s v="Chennai"/>
    <n v="2.79"/>
    <d v="1900-01-08T17:45:36"/>
    <n v="28.57"/>
    <n v="1.5"/>
    <n v="42.86"/>
    <n v="4.8"/>
    <x v="3"/>
    <x v="0"/>
  </r>
  <r>
    <s v="TRIP02677"/>
    <x v="351"/>
    <x v="1"/>
    <s v="Chennai"/>
    <n v="29.43"/>
    <d v="1900-04-04T03:07:12"/>
    <n v="348.29"/>
    <n v="1.5"/>
    <n v="522.44000000000005"/>
    <n v="4.2"/>
    <x v="3"/>
    <x v="2"/>
  </r>
  <r>
    <s v="TRIP02678"/>
    <x v="200"/>
    <x v="1"/>
    <s v="Delhi"/>
    <n v="13.45"/>
    <d v="1900-02-18T01:55:12"/>
    <n v="154.77000000000001"/>
    <n v="1.5"/>
    <n v="232.16"/>
    <n v="4.9000000000000004"/>
    <x v="2"/>
    <x v="0"/>
  </r>
  <r>
    <s v="TRIP02679"/>
    <x v="78"/>
    <x v="1"/>
    <s v="Delhi"/>
    <n v="7.12"/>
    <d v="1900-01-16T15:21:36"/>
    <n v="136.54"/>
    <n v="2"/>
    <n v="273.08"/>
    <n v="4.9000000000000004"/>
    <x v="3"/>
    <x v="2"/>
  </r>
  <r>
    <s v="TRIP02680"/>
    <x v="182"/>
    <x v="2"/>
    <s v="Delhi"/>
    <n v="16.440000000000001"/>
    <d v="1900-03-02T10:19:12"/>
    <n v="328.42"/>
    <n v="1.5"/>
    <n v="492.63"/>
    <n v="3.2"/>
    <x v="1"/>
    <x v="0"/>
  </r>
  <r>
    <s v="TRIP02681"/>
    <x v="169"/>
    <x v="1"/>
    <s v="Kolkata"/>
    <n v="23.83"/>
    <d v="1900-04-02T13:40:48"/>
    <n v="406.84"/>
    <n v="1"/>
    <n v="406.84"/>
    <n v="4.5"/>
    <x v="4"/>
    <x v="1"/>
  </r>
  <r>
    <s v="TRIP02682"/>
    <x v="241"/>
    <x v="1"/>
    <s v="Delhi"/>
    <n v="19.75"/>
    <d v="1900-02-21T08:24:00"/>
    <n v="251.49"/>
    <n v="1"/>
    <n v="251.49"/>
    <n v="4.5999999999999996"/>
    <x v="0"/>
    <x v="1"/>
  </r>
  <r>
    <s v="TRIP02683"/>
    <x v="62"/>
    <x v="0"/>
    <s v="Delhi"/>
    <n v="2.0099999999999998"/>
    <d v="1900-01-06T02:38:24"/>
    <n v="34.630000000000003"/>
    <n v="2"/>
    <n v="69.260000000000005"/>
    <n v="4.3"/>
    <x v="3"/>
    <x v="2"/>
  </r>
  <r>
    <s v="TRIP02684"/>
    <x v="312"/>
    <x v="2"/>
    <s v="Chennai"/>
    <n v="23.1"/>
    <d v="1900-03-10T05:45:36"/>
    <n v="278.19"/>
    <n v="1.5"/>
    <n v="417.28"/>
    <n v="3.7"/>
    <x v="3"/>
    <x v="3"/>
  </r>
  <r>
    <s v="TRIP02685"/>
    <x v="159"/>
    <x v="4"/>
    <s v="Mumbai"/>
    <n v="23.9"/>
    <d v="1900-02-25T03:07:12"/>
    <n v="382.33"/>
    <n v="1"/>
    <n v="382.33"/>
    <n v="3.1"/>
    <x v="2"/>
    <x v="0"/>
  </r>
  <r>
    <s v="TRIP02686"/>
    <x v="99"/>
    <x v="3"/>
    <s v="Chennai"/>
    <n v="6.81"/>
    <d v="1900-01-14T03:50:24"/>
    <n v="125.49"/>
    <n v="2"/>
    <n v="250.98"/>
    <n v="4.7"/>
    <x v="0"/>
    <x v="2"/>
  </r>
  <r>
    <s v="TRIP02687"/>
    <x v="165"/>
    <x v="4"/>
    <s v="Bangalore"/>
    <n v="28.84"/>
    <d v="1900-03-19T13:12:00"/>
    <n v="291.16000000000003"/>
    <n v="1.5"/>
    <n v="436.74"/>
    <n v="3.3"/>
    <x v="3"/>
    <x v="3"/>
  </r>
  <r>
    <s v="TRIP02688"/>
    <x v="197"/>
    <x v="2"/>
    <s v="Bangalore"/>
    <n v="3.25"/>
    <d v="1900-01-09T08:38:24"/>
    <n v="38.65"/>
    <n v="2"/>
    <n v="77.3"/>
    <n v="3.1"/>
    <x v="4"/>
    <x v="3"/>
  </r>
  <r>
    <s v="TRIP02689"/>
    <x v="142"/>
    <x v="4"/>
    <s v="Mumbai"/>
    <n v="13.31"/>
    <d v="1900-02-19T00:00:00"/>
    <n v="199.38"/>
    <n v="1.2"/>
    <n v="239.26"/>
    <n v="3.6"/>
    <x v="1"/>
    <x v="1"/>
  </r>
  <r>
    <s v="TRIP02690"/>
    <x v="173"/>
    <x v="3"/>
    <s v="Chennai"/>
    <n v="3.12"/>
    <d v="1900-01-05T19:12:00"/>
    <n v="51.54"/>
    <n v="1.5"/>
    <n v="77.31"/>
    <n v="3.4"/>
    <x v="3"/>
    <x v="0"/>
  </r>
  <r>
    <s v="TRIP02691"/>
    <x v="285"/>
    <x v="1"/>
    <s v="Delhi"/>
    <n v="27.57"/>
    <d v="1900-03-16T13:12:00"/>
    <n v="440.13"/>
    <n v="1"/>
    <n v="440.13"/>
    <n v="4.5999999999999996"/>
    <x v="0"/>
    <x v="3"/>
  </r>
  <r>
    <s v="TRIP02692"/>
    <x v="159"/>
    <x v="3"/>
    <s v="Kolkata"/>
    <n v="25.1"/>
    <d v="1900-04-04T23:16:48"/>
    <n v="314.83999999999997"/>
    <n v="1.2"/>
    <n v="377.81"/>
    <n v="3.7"/>
    <x v="1"/>
    <x v="2"/>
  </r>
  <r>
    <s v="TRIP02693"/>
    <x v="292"/>
    <x v="3"/>
    <s v="Mumbai"/>
    <n v="17.64"/>
    <d v="1900-02-23T14:38:24"/>
    <n v="344.37"/>
    <n v="1.2"/>
    <n v="413.24"/>
    <n v="3.3"/>
    <x v="1"/>
    <x v="2"/>
  </r>
  <r>
    <s v="TRIP02694"/>
    <x v="150"/>
    <x v="2"/>
    <s v="Bangalore"/>
    <n v="9"/>
    <d v="1900-01-23T07:26:24"/>
    <n v="109.51"/>
    <n v="2"/>
    <n v="219.02"/>
    <n v="4"/>
    <x v="2"/>
    <x v="0"/>
  </r>
  <r>
    <s v="TRIP02695"/>
    <x v="199"/>
    <x v="3"/>
    <s v="Chennai"/>
    <n v="20.059999999999999"/>
    <d v="1900-02-08T18:00:00"/>
    <n v="213.51"/>
    <n v="1"/>
    <n v="213.51"/>
    <n v="4"/>
    <x v="1"/>
    <x v="0"/>
  </r>
  <r>
    <s v="TRIP02696"/>
    <x v="71"/>
    <x v="4"/>
    <s v="Bangalore"/>
    <n v="26.76"/>
    <d v="1900-03-06T14:52:48"/>
    <n v="421.3"/>
    <n v="1.2"/>
    <n v="505.56"/>
    <n v="4.2"/>
    <x v="3"/>
    <x v="3"/>
  </r>
  <r>
    <s v="TRIP02697"/>
    <x v="338"/>
    <x v="3"/>
    <s v="Kolkata"/>
    <n v="12.86"/>
    <d v="1900-02-07T04:48:00"/>
    <n v="145.94"/>
    <n v="1"/>
    <n v="145.94"/>
    <n v="3.9"/>
    <x v="0"/>
    <x v="2"/>
  </r>
  <r>
    <s v="TRIP02698"/>
    <x v="120"/>
    <x v="0"/>
    <s v="Delhi"/>
    <n v="25.16"/>
    <d v="1900-03-30T16:33:36"/>
    <n v="276.77"/>
    <n v="2"/>
    <n v="553.54"/>
    <n v="3.2"/>
    <x v="0"/>
    <x v="0"/>
  </r>
  <r>
    <s v="TRIP02699"/>
    <x v="229"/>
    <x v="0"/>
    <s v="Bangalore"/>
    <n v="19.399999999999999"/>
    <d v="1900-03-04T21:21:36"/>
    <n v="325.89999999999998"/>
    <n v="1"/>
    <n v="325.89999999999998"/>
    <n v="3.8"/>
    <x v="3"/>
    <x v="1"/>
  </r>
  <r>
    <s v="TRIP02700"/>
    <x v="13"/>
    <x v="2"/>
    <s v="Bangalore"/>
    <n v="16.91"/>
    <d v="1900-02-08T13:40:48"/>
    <n v="172.53"/>
    <n v="1.2"/>
    <n v="207.04"/>
    <n v="4"/>
    <x v="0"/>
    <x v="1"/>
  </r>
  <r>
    <s v="TRIP02701"/>
    <x v="28"/>
    <x v="0"/>
    <s v="Kolkata"/>
    <n v="20.05"/>
    <d v="1900-02-13T23:31:12"/>
    <n v="369.11"/>
    <n v="1.2"/>
    <n v="442.93"/>
    <n v="4.9000000000000004"/>
    <x v="1"/>
    <x v="0"/>
  </r>
  <r>
    <s v="TRIP02702"/>
    <x v="237"/>
    <x v="0"/>
    <s v="Mumbai"/>
    <n v="14.04"/>
    <d v="1900-02-11T12:28:48"/>
    <n v="266.27999999999997"/>
    <n v="1.2"/>
    <n v="319.54000000000002"/>
    <n v="4.9000000000000004"/>
    <x v="4"/>
    <x v="0"/>
  </r>
  <r>
    <s v="TRIP02703"/>
    <x v="66"/>
    <x v="4"/>
    <s v="Delhi"/>
    <n v="13.93"/>
    <d v="1900-02-02T16:04:48"/>
    <n v="212.83"/>
    <n v="1"/>
    <n v="212.83"/>
    <n v="3.4"/>
    <x v="1"/>
    <x v="0"/>
  </r>
  <r>
    <s v="TRIP02704"/>
    <x v="114"/>
    <x v="3"/>
    <s v="Bangalore"/>
    <n v="18.61"/>
    <d v="1900-02-05T05:31:12"/>
    <n v="336"/>
    <n v="2"/>
    <n v="672"/>
    <n v="4.2"/>
    <x v="2"/>
    <x v="0"/>
  </r>
  <r>
    <s v="TRIP02705"/>
    <x v="247"/>
    <x v="3"/>
    <s v="Chennai"/>
    <n v="12.11"/>
    <d v="1900-02-07T11:31:12"/>
    <n v="174.63"/>
    <n v="1"/>
    <n v="174.63"/>
    <n v="4.5999999999999996"/>
    <x v="3"/>
    <x v="3"/>
  </r>
  <r>
    <s v="TRIP02706"/>
    <x v="243"/>
    <x v="0"/>
    <s v="Chennai"/>
    <n v="7.23"/>
    <d v="1900-01-16T03:50:24"/>
    <n v="105.19"/>
    <n v="1"/>
    <n v="105.19"/>
    <n v="4.2"/>
    <x v="3"/>
    <x v="3"/>
  </r>
  <r>
    <s v="TRIP02707"/>
    <x v="320"/>
    <x v="2"/>
    <s v="Kolkata"/>
    <n v="1.58"/>
    <d v="1900-01-03T20:52:48"/>
    <n v="30.91"/>
    <n v="2"/>
    <n v="61.82"/>
    <n v="4.0999999999999996"/>
    <x v="1"/>
    <x v="2"/>
  </r>
  <r>
    <s v="TRIP02708"/>
    <x v="0"/>
    <x v="2"/>
    <s v="Mumbai"/>
    <n v="29.1"/>
    <d v="1900-04-07T15:07:12"/>
    <n v="500.28"/>
    <n v="2"/>
    <n v="1000.56"/>
    <n v="4.4000000000000004"/>
    <x v="4"/>
    <x v="2"/>
  </r>
  <r>
    <s v="TRIP02709"/>
    <x v="190"/>
    <x v="4"/>
    <s v="Chennai"/>
    <n v="20.98"/>
    <d v="1900-03-19T12:28:48"/>
    <n v="356.53"/>
    <n v="2"/>
    <n v="713.06"/>
    <n v="4.7"/>
    <x v="3"/>
    <x v="3"/>
  </r>
  <r>
    <s v="TRIP02710"/>
    <x v="79"/>
    <x v="1"/>
    <s v="Chennai"/>
    <n v="23.71"/>
    <d v="1900-03-01T11:45:36"/>
    <n v="370.53"/>
    <n v="1.5"/>
    <n v="555.79"/>
    <n v="4.3"/>
    <x v="0"/>
    <x v="0"/>
  </r>
  <r>
    <s v="TRIP02711"/>
    <x v="32"/>
    <x v="1"/>
    <s v="Chennai"/>
    <n v="4.2"/>
    <d v="1900-01-14T08:52:48"/>
    <n v="67.31"/>
    <n v="2"/>
    <n v="134.62"/>
    <n v="3.2"/>
    <x v="3"/>
    <x v="0"/>
  </r>
  <r>
    <s v="TRIP02712"/>
    <x v="93"/>
    <x v="1"/>
    <s v="Delhi"/>
    <n v="9.19"/>
    <d v="1900-01-23T07:55:12"/>
    <n v="124.21"/>
    <n v="1"/>
    <n v="124.21"/>
    <n v="3.9"/>
    <x v="2"/>
    <x v="3"/>
  </r>
  <r>
    <s v="TRIP02713"/>
    <x v="189"/>
    <x v="1"/>
    <s v="Chennai"/>
    <n v="1.91"/>
    <d v="1900-01-05T08:24:00"/>
    <n v="26.19"/>
    <n v="1"/>
    <n v="26.19"/>
    <n v="4"/>
    <x v="4"/>
    <x v="0"/>
  </r>
  <r>
    <s v="TRIP02714"/>
    <x v="200"/>
    <x v="3"/>
    <s v="Kolkata"/>
    <n v="20.54"/>
    <d v="1900-03-11T00:57:36"/>
    <n v="347.24"/>
    <n v="1"/>
    <n v="347.24"/>
    <n v="3.4"/>
    <x v="2"/>
    <x v="2"/>
  </r>
  <r>
    <s v="TRIP02715"/>
    <x v="146"/>
    <x v="0"/>
    <s v="Kolkata"/>
    <n v="9.1199999999999992"/>
    <d v="1900-01-17T18:28:48"/>
    <n v="129.03"/>
    <n v="1.2"/>
    <n v="154.84"/>
    <n v="3.5"/>
    <x v="3"/>
    <x v="2"/>
  </r>
  <r>
    <s v="TRIP02716"/>
    <x v="92"/>
    <x v="0"/>
    <s v="Delhi"/>
    <n v="21.44"/>
    <d v="1900-02-24T02:52:48"/>
    <n v="282"/>
    <n v="2"/>
    <n v="564"/>
    <n v="3.5"/>
    <x v="1"/>
    <x v="2"/>
  </r>
  <r>
    <s v="TRIP02717"/>
    <x v="183"/>
    <x v="1"/>
    <s v="Bangalore"/>
    <n v="26.72"/>
    <d v="1900-04-01T13:12:00"/>
    <n v="417.08"/>
    <n v="1"/>
    <n v="417.08"/>
    <n v="3.9"/>
    <x v="4"/>
    <x v="3"/>
  </r>
  <r>
    <s v="TRIP02718"/>
    <x v="297"/>
    <x v="1"/>
    <s v="Mumbai"/>
    <n v="16.100000000000001"/>
    <d v="1900-02-19T05:02:24"/>
    <n v="170.67"/>
    <n v="1.5"/>
    <n v="256"/>
    <n v="3.3"/>
    <x v="3"/>
    <x v="2"/>
  </r>
  <r>
    <s v="TRIP02719"/>
    <x v="66"/>
    <x v="0"/>
    <s v="Mumbai"/>
    <n v="27.87"/>
    <d v="1900-02-24T06:57:36"/>
    <n v="347.69"/>
    <n v="1.2"/>
    <n v="417.23"/>
    <n v="3.3"/>
    <x v="2"/>
    <x v="1"/>
  </r>
  <r>
    <s v="TRIP02720"/>
    <x v="208"/>
    <x v="1"/>
    <s v="Bangalore"/>
    <n v="25.14"/>
    <d v="1900-04-03T13:26:24"/>
    <n v="403.96"/>
    <n v="1.2"/>
    <n v="484.75"/>
    <n v="4.3"/>
    <x v="0"/>
    <x v="2"/>
  </r>
  <r>
    <s v="TRIP02721"/>
    <x v="268"/>
    <x v="4"/>
    <s v="Chennai"/>
    <n v="4.1100000000000003"/>
    <d v="1900-01-07T23:31:12"/>
    <n v="70.39"/>
    <n v="1"/>
    <n v="70.39"/>
    <n v="4.8"/>
    <x v="1"/>
    <x v="3"/>
  </r>
  <r>
    <s v="TRIP02722"/>
    <x v="351"/>
    <x v="1"/>
    <s v="Bangalore"/>
    <n v="14.71"/>
    <d v="1900-02-06T13:26:24"/>
    <n v="275.14"/>
    <n v="2"/>
    <n v="550.28"/>
    <n v="3.3"/>
    <x v="0"/>
    <x v="2"/>
  </r>
  <r>
    <s v="TRIP02723"/>
    <x v="327"/>
    <x v="0"/>
    <s v="Bangalore"/>
    <n v="23.45"/>
    <d v="1900-02-16T07:55:12"/>
    <n v="392.31"/>
    <n v="1.5"/>
    <n v="588.46"/>
    <n v="5"/>
    <x v="1"/>
    <x v="2"/>
  </r>
  <r>
    <s v="TRIP02724"/>
    <x v="122"/>
    <x v="1"/>
    <s v="Bangalore"/>
    <n v="5.08"/>
    <d v="1900-01-14T10:48:00"/>
    <n v="92.92"/>
    <n v="1.5"/>
    <n v="139.38"/>
    <n v="3.5"/>
    <x v="2"/>
    <x v="1"/>
  </r>
  <r>
    <s v="TRIP02725"/>
    <x v="215"/>
    <x v="3"/>
    <s v="Kolkata"/>
    <n v="18.47"/>
    <d v="1900-03-13T02:24:00"/>
    <n v="252.13"/>
    <n v="1.2"/>
    <n v="302.56"/>
    <n v="4.0999999999999996"/>
    <x v="0"/>
    <x v="2"/>
  </r>
  <r>
    <s v="TRIP02726"/>
    <x v="260"/>
    <x v="0"/>
    <s v="Mumbai"/>
    <n v="23.99"/>
    <d v="1900-02-27T03:50:24"/>
    <n v="462.96"/>
    <n v="2"/>
    <n v="925.92"/>
    <n v="4.3"/>
    <x v="4"/>
    <x v="3"/>
  </r>
  <r>
    <s v="TRIP02727"/>
    <x v="179"/>
    <x v="2"/>
    <s v="Bangalore"/>
    <n v="4.7300000000000004"/>
    <d v="1900-01-13T03:36:00"/>
    <n v="69.099999999999994"/>
    <n v="1.2"/>
    <n v="82.92"/>
    <n v="3.2"/>
    <x v="0"/>
    <x v="3"/>
  </r>
  <r>
    <s v="TRIP02728"/>
    <x v="247"/>
    <x v="1"/>
    <s v="Bangalore"/>
    <n v="19.7"/>
    <d v="1900-03-03T16:19:12"/>
    <n v="243.02"/>
    <n v="1"/>
    <n v="243.02"/>
    <n v="4.0999999999999996"/>
    <x v="0"/>
    <x v="3"/>
  </r>
  <r>
    <s v="TRIP02729"/>
    <x v="356"/>
    <x v="2"/>
    <s v="Delhi"/>
    <n v="26.76"/>
    <d v="1900-04-03T13:12:00"/>
    <n v="484.88"/>
    <n v="1.2"/>
    <n v="581.86"/>
    <n v="3.7"/>
    <x v="2"/>
    <x v="1"/>
  </r>
  <r>
    <s v="TRIP02730"/>
    <x v="136"/>
    <x v="0"/>
    <s v="Mumbai"/>
    <n v="14.28"/>
    <d v="1900-02-21T06:14:24"/>
    <n v="275.02999999999997"/>
    <n v="1"/>
    <n v="275.02999999999997"/>
    <n v="3.1"/>
    <x v="4"/>
    <x v="1"/>
  </r>
  <r>
    <s v="TRIP02731"/>
    <x v="33"/>
    <x v="4"/>
    <s v="Bangalore"/>
    <n v="28.8"/>
    <d v="1900-03-13T13:26:24"/>
    <n v="539.53"/>
    <n v="1.2"/>
    <n v="647.44000000000005"/>
    <n v="4"/>
    <x v="2"/>
    <x v="2"/>
  </r>
  <r>
    <s v="TRIP02732"/>
    <x v="288"/>
    <x v="2"/>
    <s v="Mumbai"/>
    <n v="3.33"/>
    <d v="1900-01-06T16:48:00"/>
    <n v="41.62"/>
    <n v="1"/>
    <n v="41.62"/>
    <n v="4.0999999999999996"/>
    <x v="0"/>
    <x v="0"/>
  </r>
  <r>
    <s v="TRIP02733"/>
    <x v="97"/>
    <x v="2"/>
    <s v="Kolkata"/>
    <n v="29.61"/>
    <d v="1900-03-25T08:52:48"/>
    <n v="449.53"/>
    <n v="1.5"/>
    <n v="674.3"/>
    <n v="4.7"/>
    <x v="4"/>
    <x v="3"/>
  </r>
  <r>
    <s v="TRIP02734"/>
    <x v="212"/>
    <x v="0"/>
    <s v="Kolkata"/>
    <n v="16.010000000000002"/>
    <d v="1900-01-31T07:12:00"/>
    <n v="160.38"/>
    <n v="1.2"/>
    <n v="192.46"/>
    <n v="3.6"/>
    <x v="4"/>
    <x v="0"/>
  </r>
  <r>
    <s v="TRIP02735"/>
    <x v="304"/>
    <x v="1"/>
    <s v="Delhi"/>
    <n v="6.94"/>
    <d v="1900-01-25T07:12:00"/>
    <n v="133.85"/>
    <n v="1.5"/>
    <n v="200.77"/>
    <n v="4.2"/>
    <x v="1"/>
    <x v="0"/>
  </r>
  <r>
    <s v="TRIP02736"/>
    <x v="208"/>
    <x v="3"/>
    <s v="Mumbai"/>
    <n v="25.29"/>
    <d v="1900-04-04T06:00:00"/>
    <n v="370.79"/>
    <n v="2"/>
    <n v="741.58"/>
    <n v="4.8"/>
    <x v="2"/>
    <x v="2"/>
  </r>
  <r>
    <s v="TRIP02737"/>
    <x v="310"/>
    <x v="3"/>
    <s v="Delhi"/>
    <n v="26.59"/>
    <d v="1900-03-06T04:19:12"/>
    <n v="291.32"/>
    <n v="2"/>
    <n v="582.64"/>
    <n v="3.1"/>
    <x v="0"/>
    <x v="3"/>
  </r>
  <r>
    <s v="TRIP02738"/>
    <x v="192"/>
    <x v="0"/>
    <s v="Kolkata"/>
    <n v="6.09"/>
    <d v="1900-01-17T10:19:12"/>
    <n v="86.81"/>
    <n v="1.5"/>
    <n v="130.22"/>
    <n v="4.7"/>
    <x v="3"/>
    <x v="2"/>
  </r>
  <r>
    <s v="TRIP02739"/>
    <x v="57"/>
    <x v="1"/>
    <s v="Chennai"/>
    <n v="24.7"/>
    <d v="1900-04-03T15:36:00"/>
    <n v="320.57"/>
    <n v="2"/>
    <n v="641.14"/>
    <n v="3.6"/>
    <x v="3"/>
    <x v="1"/>
  </r>
  <r>
    <s v="TRIP02740"/>
    <x v="193"/>
    <x v="4"/>
    <s v="Kolkata"/>
    <n v="4.2300000000000004"/>
    <d v="1900-01-15T02:09:36"/>
    <n v="65.180000000000007"/>
    <n v="1"/>
    <n v="65.180000000000007"/>
    <n v="4.5"/>
    <x v="0"/>
    <x v="3"/>
  </r>
  <r>
    <s v="TRIP02741"/>
    <x v="256"/>
    <x v="2"/>
    <s v="Chennai"/>
    <n v="5.82"/>
    <d v="1900-01-20T08:38:24"/>
    <n v="79.069999999999993"/>
    <n v="1"/>
    <n v="79.069999999999993"/>
    <n v="3.6"/>
    <x v="2"/>
    <x v="0"/>
  </r>
  <r>
    <s v="TRIP02742"/>
    <x v="270"/>
    <x v="1"/>
    <s v="Delhi"/>
    <n v="12.19"/>
    <d v="1900-02-11T03:50:24"/>
    <n v="222.01"/>
    <n v="1"/>
    <n v="222.01"/>
    <n v="3.4"/>
    <x v="4"/>
    <x v="0"/>
  </r>
  <r>
    <s v="TRIP02743"/>
    <x v="90"/>
    <x v="3"/>
    <s v="Delhi"/>
    <n v="16.61"/>
    <d v="1900-02-25T21:21:36"/>
    <n v="207.18"/>
    <n v="1"/>
    <n v="207.18"/>
    <n v="4.8"/>
    <x v="4"/>
    <x v="0"/>
  </r>
  <r>
    <s v="TRIP02744"/>
    <x v="144"/>
    <x v="1"/>
    <s v="Bangalore"/>
    <n v="1.8"/>
    <d v="1900-01-03T02:24:00"/>
    <n v="28.27"/>
    <n v="1.2"/>
    <n v="33.92"/>
    <n v="4.4000000000000004"/>
    <x v="0"/>
    <x v="0"/>
  </r>
  <r>
    <s v="TRIP02745"/>
    <x v="258"/>
    <x v="4"/>
    <s v="Kolkata"/>
    <n v="25.94"/>
    <d v="1900-04-01T05:31:12"/>
    <n v="323.01"/>
    <n v="1.5"/>
    <n v="484.52"/>
    <n v="3.1"/>
    <x v="1"/>
    <x v="1"/>
  </r>
  <r>
    <s v="TRIP02746"/>
    <x v="265"/>
    <x v="2"/>
    <s v="Kolkata"/>
    <n v="7.3"/>
    <d v="1900-01-14T13:12:00"/>
    <n v="129.96"/>
    <n v="1.5"/>
    <n v="194.94"/>
    <n v="3.5"/>
    <x v="0"/>
    <x v="1"/>
  </r>
  <r>
    <s v="TRIP02747"/>
    <x v="158"/>
    <x v="4"/>
    <s v="Bangalore"/>
    <n v="1.1299999999999999"/>
    <d v="1900-01-02T09:21:36"/>
    <n v="19.260000000000002"/>
    <n v="1.5"/>
    <n v="28.89"/>
    <n v="3.9"/>
    <x v="1"/>
    <x v="0"/>
  </r>
  <r>
    <s v="TRIP02748"/>
    <x v="234"/>
    <x v="3"/>
    <s v="Chennai"/>
    <n v="3.44"/>
    <d v="1900-01-07T03:07:12"/>
    <n v="50.77"/>
    <n v="1"/>
    <n v="50.77"/>
    <n v="4.8"/>
    <x v="3"/>
    <x v="1"/>
  </r>
  <r>
    <s v="TRIP02749"/>
    <x v="47"/>
    <x v="0"/>
    <s v="Bangalore"/>
    <n v="6.37"/>
    <d v="1900-01-14T08:09:36"/>
    <n v="78.91"/>
    <n v="2"/>
    <n v="157.82"/>
    <n v="4.5999999999999996"/>
    <x v="2"/>
    <x v="3"/>
  </r>
  <r>
    <s v="TRIP02750"/>
    <x v="287"/>
    <x v="2"/>
    <s v="Chennai"/>
    <n v="19.96"/>
    <d v="1900-02-25T09:50:24"/>
    <n v="354.48"/>
    <n v="1.5"/>
    <n v="531.72"/>
    <n v="4.4000000000000004"/>
    <x v="4"/>
    <x v="3"/>
  </r>
  <r>
    <s v="TRIP02751"/>
    <x v="192"/>
    <x v="2"/>
    <s v="Delhi"/>
    <n v="2.42"/>
    <d v="1900-01-08T02:09:36"/>
    <n v="26.13"/>
    <n v="1"/>
    <n v="26.13"/>
    <n v="4.5999999999999996"/>
    <x v="3"/>
    <x v="3"/>
  </r>
  <r>
    <s v="TRIP02752"/>
    <x v="147"/>
    <x v="4"/>
    <s v="Delhi"/>
    <n v="19.22"/>
    <d v="1900-02-28T19:55:12"/>
    <n v="381.88"/>
    <n v="1.2"/>
    <n v="458.26"/>
    <n v="3.2"/>
    <x v="1"/>
    <x v="1"/>
  </r>
  <r>
    <s v="TRIP02753"/>
    <x v="109"/>
    <x v="1"/>
    <s v="Mumbai"/>
    <n v="9.61"/>
    <d v="1900-01-21T03:36:00"/>
    <n v="109.37"/>
    <n v="1"/>
    <n v="109.37"/>
    <n v="4.5"/>
    <x v="3"/>
    <x v="3"/>
  </r>
  <r>
    <s v="TRIP02754"/>
    <x v="270"/>
    <x v="0"/>
    <s v="Chennai"/>
    <n v="26.76"/>
    <d v="1900-04-05T20:09:36"/>
    <n v="477.78"/>
    <n v="1.2"/>
    <n v="573.34"/>
    <n v="5"/>
    <x v="2"/>
    <x v="2"/>
  </r>
  <r>
    <s v="TRIP02755"/>
    <x v="150"/>
    <x v="0"/>
    <s v="Mumbai"/>
    <n v="15.28"/>
    <d v="1900-02-26T00:28:48"/>
    <n v="181.9"/>
    <n v="1.5"/>
    <n v="272.85000000000002"/>
    <n v="3.3"/>
    <x v="0"/>
    <x v="2"/>
  </r>
  <r>
    <s v="TRIP02756"/>
    <x v="183"/>
    <x v="2"/>
    <s v="Mumbai"/>
    <n v="2.2999999999999998"/>
    <d v="1900-01-04T06:57:36"/>
    <n v="32.74"/>
    <n v="1.5"/>
    <n v="49.11"/>
    <n v="4.7"/>
    <x v="1"/>
    <x v="3"/>
  </r>
  <r>
    <s v="TRIP02757"/>
    <x v="68"/>
    <x v="4"/>
    <s v="Kolkata"/>
    <n v="4.74"/>
    <d v="1900-01-12T19:26:24"/>
    <n v="60.28"/>
    <n v="1.5"/>
    <n v="90.42"/>
    <n v="3.1"/>
    <x v="2"/>
    <x v="2"/>
  </r>
  <r>
    <s v="TRIP02758"/>
    <x v="235"/>
    <x v="3"/>
    <s v="Bangalore"/>
    <n v="13.42"/>
    <d v="1900-02-21T05:31:12"/>
    <n v="178.33"/>
    <n v="1"/>
    <n v="178.33"/>
    <n v="3"/>
    <x v="2"/>
    <x v="1"/>
  </r>
  <r>
    <s v="TRIP02759"/>
    <x v="71"/>
    <x v="0"/>
    <s v="Kolkata"/>
    <n v="28.61"/>
    <d v="1900-04-11T10:19:12"/>
    <n v="474.81"/>
    <n v="2"/>
    <n v="949.62"/>
    <n v="4.9000000000000004"/>
    <x v="3"/>
    <x v="1"/>
  </r>
  <r>
    <s v="TRIP02760"/>
    <x v="281"/>
    <x v="3"/>
    <s v="Kolkata"/>
    <n v="14.42"/>
    <d v="1900-02-25T08:52:48"/>
    <n v="255.18"/>
    <n v="2"/>
    <n v="510.36"/>
    <n v="3.8"/>
    <x v="4"/>
    <x v="0"/>
  </r>
  <r>
    <s v="TRIP02761"/>
    <x v="276"/>
    <x v="0"/>
    <s v="Delhi"/>
    <n v="26.37"/>
    <d v="1900-03-30T00:00:00"/>
    <n v="464.24"/>
    <n v="1.5"/>
    <n v="696.36"/>
    <n v="4.5999999999999996"/>
    <x v="4"/>
    <x v="1"/>
  </r>
  <r>
    <s v="TRIP02762"/>
    <x v="184"/>
    <x v="1"/>
    <s v="Chennai"/>
    <n v="24.93"/>
    <d v="1900-03-31T22:33:36"/>
    <n v="417.08"/>
    <n v="2"/>
    <n v="834.16"/>
    <n v="4"/>
    <x v="2"/>
    <x v="2"/>
  </r>
  <r>
    <s v="TRIP02763"/>
    <x v="288"/>
    <x v="4"/>
    <s v="Chennai"/>
    <n v="28.13"/>
    <d v="1900-03-29T05:45:36"/>
    <n v="365.17"/>
    <n v="1.5"/>
    <n v="547.76"/>
    <n v="3.7"/>
    <x v="3"/>
    <x v="3"/>
  </r>
  <r>
    <s v="TRIP02764"/>
    <x v="310"/>
    <x v="3"/>
    <s v="Chennai"/>
    <n v="25.26"/>
    <d v="1900-03-31T16:04:48"/>
    <n v="415.55"/>
    <n v="1"/>
    <n v="415.55"/>
    <n v="4.5"/>
    <x v="1"/>
    <x v="1"/>
  </r>
  <r>
    <s v="TRIP02765"/>
    <x v="116"/>
    <x v="2"/>
    <s v="Kolkata"/>
    <n v="1.25"/>
    <d v="1900-01-03T13:55:12"/>
    <n v="13.59"/>
    <n v="1.5"/>
    <n v="20.38"/>
    <n v="4.5"/>
    <x v="4"/>
    <x v="3"/>
  </r>
  <r>
    <s v="TRIP02766"/>
    <x v="202"/>
    <x v="4"/>
    <s v="Chennai"/>
    <n v="16.27"/>
    <d v="1900-03-02T16:48:00"/>
    <n v="167.84"/>
    <n v="2"/>
    <n v="335.68"/>
    <n v="3.5"/>
    <x v="1"/>
    <x v="2"/>
  </r>
  <r>
    <s v="TRIP02767"/>
    <x v="305"/>
    <x v="3"/>
    <s v="Bangalore"/>
    <n v="2.11"/>
    <d v="1900-01-05T00:43:12"/>
    <n v="22.43"/>
    <n v="1.2"/>
    <n v="26.92"/>
    <n v="3.4"/>
    <x v="1"/>
    <x v="1"/>
  </r>
  <r>
    <s v="TRIP02768"/>
    <x v="316"/>
    <x v="3"/>
    <s v="Kolkata"/>
    <n v="1.84"/>
    <d v="1900-01-02T19:55:12"/>
    <n v="29.67"/>
    <n v="2"/>
    <n v="59.34"/>
    <n v="4.4000000000000004"/>
    <x v="0"/>
    <x v="2"/>
  </r>
  <r>
    <s v="TRIP02769"/>
    <x v="14"/>
    <x v="3"/>
    <s v="Chennai"/>
    <n v="17.079999999999998"/>
    <d v="1900-03-01T11:31:12"/>
    <n v="275.07"/>
    <n v="1.5"/>
    <n v="412.6"/>
    <n v="3.9"/>
    <x v="3"/>
    <x v="0"/>
  </r>
  <r>
    <s v="TRIP02770"/>
    <x v="5"/>
    <x v="1"/>
    <s v="Delhi"/>
    <n v="16.8"/>
    <d v="1900-02-04T09:07:12"/>
    <n v="307.06"/>
    <n v="1.5"/>
    <n v="460.59"/>
    <n v="3.4"/>
    <x v="0"/>
    <x v="3"/>
  </r>
  <r>
    <s v="TRIP02771"/>
    <x v="54"/>
    <x v="0"/>
    <s v="Chennai"/>
    <n v="16.61"/>
    <d v="1900-02-23T12:57:36"/>
    <n v="182.62"/>
    <n v="1"/>
    <n v="182.62"/>
    <n v="3.4"/>
    <x v="2"/>
    <x v="3"/>
  </r>
  <r>
    <s v="TRIP02772"/>
    <x v="294"/>
    <x v="4"/>
    <s v="Mumbai"/>
    <n v="21.5"/>
    <d v="1900-02-12T17:31:12"/>
    <n v="332.52"/>
    <n v="1"/>
    <n v="332.52"/>
    <n v="4"/>
    <x v="0"/>
    <x v="2"/>
  </r>
  <r>
    <s v="TRIP02773"/>
    <x v="91"/>
    <x v="4"/>
    <s v="Bangalore"/>
    <n v="27.02"/>
    <d v="1900-02-23T04:19:12"/>
    <n v="502.21"/>
    <n v="1.2"/>
    <n v="602.65"/>
    <n v="3.1"/>
    <x v="3"/>
    <x v="1"/>
  </r>
  <r>
    <s v="TRIP02774"/>
    <x v="275"/>
    <x v="1"/>
    <s v="Mumbai"/>
    <n v="21.87"/>
    <d v="1900-03-03T01:55:12"/>
    <n v="362"/>
    <n v="1"/>
    <n v="362"/>
    <n v="4.5999999999999996"/>
    <x v="3"/>
    <x v="3"/>
  </r>
  <r>
    <s v="TRIP02775"/>
    <x v="156"/>
    <x v="2"/>
    <s v="Delhi"/>
    <n v="8.2100000000000009"/>
    <d v="1900-01-29T03:36:00"/>
    <n v="119.77"/>
    <n v="1.2"/>
    <n v="143.72"/>
    <n v="3.8"/>
    <x v="0"/>
    <x v="1"/>
  </r>
  <r>
    <s v="TRIP02776"/>
    <x v="230"/>
    <x v="2"/>
    <s v="Kolkata"/>
    <n v="24.92"/>
    <d v="1900-04-08T09:21:36"/>
    <n v="291.11"/>
    <n v="1.5"/>
    <n v="436.66"/>
    <n v="4.8"/>
    <x v="1"/>
    <x v="2"/>
  </r>
  <r>
    <s v="TRIP02777"/>
    <x v="158"/>
    <x v="4"/>
    <s v="Bangalore"/>
    <n v="14.72"/>
    <d v="1900-02-26T00:43:12"/>
    <n v="202.01"/>
    <n v="1"/>
    <n v="202.01"/>
    <n v="3.8"/>
    <x v="4"/>
    <x v="1"/>
  </r>
  <r>
    <s v="TRIP02778"/>
    <x v="94"/>
    <x v="0"/>
    <s v="Delhi"/>
    <n v="4.32"/>
    <d v="1900-01-14T00:57:36"/>
    <n v="76.47"/>
    <n v="1.2"/>
    <n v="91.76"/>
    <n v="3.7"/>
    <x v="1"/>
    <x v="2"/>
  </r>
  <r>
    <s v="TRIP02779"/>
    <x v="287"/>
    <x v="1"/>
    <s v="Kolkata"/>
    <n v="8.06"/>
    <d v="1900-01-15T18:28:48"/>
    <n v="160.03"/>
    <n v="1"/>
    <n v="160.03"/>
    <n v="4.7"/>
    <x v="4"/>
    <x v="2"/>
  </r>
  <r>
    <s v="TRIP02780"/>
    <x v="363"/>
    <x v="0"/>
    <s v="Bangalore"/>
    <n v="27.27"/>
    <d v="1900-03-26T10:48:00"/>
    <n v="331.3"/>
    <n v="1"/>
    <n v="331.3"/>
    <n v="4.3"/>
    <x v="4"/>
    <x v="0"/>
  </r>
  <r>
    <s v="TRIP02781"/>
    <x v="340"/>
    <x v="1"/>
    <s v="Mumbai"/>
    <n v="16.78"/>
    <d v="1900-02-18T20:24:00"/>
    <n v="283.83999999999997"/>
    <n v="1"/>
    <n v="283.83999999999997"/>
    <n v="4.8"/>
    <x v="4"/>
    <x v="3"/>
  </r>
  <r>
    <s v="TRIP02782"/>
    <x v="283"/>
    <x v="2"/>
    <s v="Chennai"/>
    <n v="5.04"/>
    <d v="1900-01-13T07:12:00"/>
    <n v="94.82"/>
    <n v="1"/>
    <n v="94.82"/>
    <n v="4.0999999999999996"/>
    <x v="0"/>
    <x v="2"/>
  </r>
  <r>
    <s v="TRIP02783"/>
    <x v="306"/>
    <x v="4"/>
    <s v="Bangalore"/>
    <n v="20.5"/>
    <d v="1900-03-21T10:48:00"/>
    <n v="391.92"/>
    <n v="1"/>
    <n v="391.92"/>
    <n v="4.7"/>
    <x v="3"/>
    <x v="1"/>
  </r>
  <r>
    <s v="TRIP02784"/>
    <x v="128"/>
    <x v="3"/>
    <s v="Kolkata"/>
    <n v="7.94"/>
    <d v="1900-01-17T20:24:00"/>
    <n v="107.62"/>
    <n v="1.2"/>
    <n v="129.13999999999999"/>
    <n v="3.4"/>
    <x v="3"/>
    <x v="2"/>
  </r>
  <r>
    <s v="TRIP02785"/>
    <x v="192"/>
    <x v="2"/>
    <s v="Chennai"/>
    <n v="18.89"/>
    <d v="1900-02-17T19:40:48"/>
    <n v="316.82"/>
    <n v="1.5"/>
    <n v="475.23"/>
    <n v="3.9"/>
    <x v="0"/>
    <x v="2"/>
  </r>
  <r>
    <s v="TRIP02786"/>
    <x v="42"/>
    <x v="2"/>
    <s v="Delhi"/>
    <n v="22.8"/>
    <d v="1900-03-19T20:52:48"/>
    <n v="303.39999999999998"/>
    <n v="1"/>
    <n v="303.39999999999998"/>
    <n v="3.1"/>
    <x v="0"/>
    <x v="0"/>
  </r>
  <r>
    <s v="TRIP02787"/>
    <x v="154"/>
    <x v="1"/>
    <s v="Bangalore"/>
    <n v="9.18"/>
    <d v="1900-01-30T00:28:48"/>
    <n v="175.03"/>
    <n v="1.5"/>
    <n v="262.54000000000002"/>
    <n v="3.7"/>
    <x v="1"/>
    <x v="2"/>
  </r>
  <r>
    <s v="TRIP02788"/>
    <x v="192"/>
    <x v="0"/>
    <s v="Kolkata"/>
    <n v="29.71"/>
    <d v="1900-03-18T13:55:12"/>
    <n v="547.54"/>
    <n v="1.2"/>
    <n v="657.05"/>
    <n v="3.2"/>
    <x v="4"/>
    <x v="0"/>
  </r>
  <r>
    <s v="TRIP02789"/>
    <x v="136"/>
    <x v="2"/>
    <s v="Chennai"/>
    <n v="11.97"/>
    <d v="1900-02-12T12:00:00"/>
    <n v="146.13"/>
    <n v="1.5"/>
    <n v="219.2"/>
    <n v="3.9"/>
    <x v="4"/>
    <x v="0"/>
  </r>
  <r>
    <s v="TRIP02790"/>
    <x v="124"/>
    <x v="4"/>
    <s v="Delhi"/>
    <n v="28.21"/>
    <d v="1900-02-25T03:07:12"/>
    <n v="487.31"/>
    <n v="2"/>
    <n v="974.62"/>
    <n v="4.8"/>
    <x v="1"/>
    <x v="2"/>
  </r>
  <r>
    <s v="TRIP02791"/>
    <x v="147"/>
    <x v="1"/>
    <s v="Kolkata"/>
    <n v="13.38"/>
    <d v="1900-02-08T12:57:36"/>
    <n v="211.72"/>
    <n v="2"/>
    <n v="423.44"/>
    <n v="4.7"/>
    <x v="1"/>
    <x v="3"/>
  </r>
  <r>
    <s v="TRIP02792"/>
    <x v="218"/>
    <x v="2"/>
    <s v="Mumbai"/>
    <n v="21.84"/>
    <d v="1900-03-02T21:50:24"/>
    <n v="249.51"/>
    <n v="1.2"/>
    <n v="299.41000000000003"/>
    <n v="4"/>
    <x v="3"/>
    <x v="0"/>
  </r>
  <r>
    <s v="TRIP02793"/>
    <x v="285"/>
    <x v="0"/>
    <s v="Delhi"/>
    <n v="19.510000000000002"/>
    <d v="1900-03-01T23:16:48"/>
    <n v="239.86"/>
    <n v="2"/>
    <n v="479.72"/>
    <n v="4.7"/>
    <x v="2"/>
    <x v="0"/>
  </r>
  <r>
    <s v="TRIP02794"/>
    <x v="311"/>
    <x v="0"/>
    <s v="Kolkata"/>
    <n v="18.350000000000001"/>
    <d v="1900-02-11T10:33:36"/>
    <n v="235.78"/>
    <n v="1.2"/>
    <n v="282.94"/>
    <n v="3.7"/>
    <x v="1"/>
    <x v="3"/>
  </r>
  <r>
    <s v="TRIP02795"/>
    <x v="60"/>
    <x v="1"/>
    <s v="Chennai"/>
    <n v="20.71"/>
    <d v="1900-03-12T16:04:48"/>
    <n v="243.11"/>
    <n v="1.5"/>
    <n v="364.66"/>
    <n v="3.6"/>
    <x v="3"/>
    <x v="3"/>
  </r>
  <r>
    <s v="TRIP02796"/>
    <x v="78"/>
    <x v="2"/>
    <s v="Delhi"/>
    <n v="29.08"/>
    <d v="1900-04-05T07:40:48"/>
    <n v="576.85"/>
    <n v="1.2"/>
    <n v="692.22"/>
    <n v="3.8"/>
    <x v="1"/>
    <x v="0"/>
  </r>
  <r>
    <s v="TRIP02797"/>
    <x v="312"/>
    <x v="1"/>
    <s v="Mumbai"/>
    <n v="12.65"/>
    <d v="1900-02-04T21:36:00"/>
    <n v="233.85"/>
    <n v="1.5"/>
    <n v="350.78"/>
    <n v="3.9"/>
    <x v="0"/>
    <x v="3"/>
  </r>
  <r>
    <s v="TRIP02798"/>
    <x v="66"/>
    <x v="2"/>
    <s v="Delhi"/>
    <n v="11.07"/>
    <d v="1900-01-25T06:43:12"/>
    <n v="149.19999999999999"/>
    <n v="1.5"/>
    <n v="223.8"/>
    <n v="4.8"/>
    <x v="1"/>
    <x v="3"/>
  </r>
  <r>
    <s v="TRIP02799"/>
    <x v="96"/>
    <x v="1"/>
    <s v="Bangalore"/>
    <n v="13.38"/>
    <d v="1900-02-05T02:38:24"/>
    <n v="236.24"/>
    <n v="2"/>
    <n v="472.48"/>
    <n v="4.0999999999999996"/>
    <x v="4"/>
    <x v="3"/>
  </r>
  <r>
    <s v="TRIP02800"/>
    <x v="100"/>
    <x v="2"/>
    <s v="Delhi"/>
    <n v="10.92"/>
    <d v="1900-01-28T03:50:24"/>
    <n v="216.82"/>
    <n v="2"/>
    <n v="433.64"/>
    <n v="3.3"/>
    <x v="2"/>
    <x v="0"/>
  </r>
  <r>
    <s v="TRIP02801"/>
    <x v="337"/>
    <x v="0"/>
    <s v="Delhi"/>
    <n v="14.98"/>
    <d v="1900-01-30T05:31:12"/>
    <n v="219.09"/>
    <n v="1.2"/>
    <n v="262.91000000000003"/>
    <n v="5"/>
    <x v="3"/>
    <x v="0"/>
  </r>
  <r>
    <s v="TRIP02802"/>
    <x v="151"/>
    <x v="3"/>
    <s v="Mumbai"/>
    <n v="2.3199999999999998"/>
    <d v="1900-01-05T14:24:00"/>
    <n v="43.14"/>
    <n v="1.2"/>
    <n v="51.77"/>
    <n v="3.2"/>
    <x v="0"/>
    <x v="3"/>
  </r>
  <r>
    <s v="TRIP02803"/>
    <x v="227"/>
    <x v="1"/>
    <s v="Mumbai"/>
    <n v="18.190000000000001"/>
    <d v="1900-03-10T06:14:24"/>
    <n v="341.25"/>
    <n v="1.5"/>
    <n v="511.88"/>
    <n v="4"/>
    <x v="3"/>
    <x v="2"/>
  </r>
  <r>
    <s v="TRIP02804"/>
    <x v="190"/>
    <x v="1"/>
    <s v="Mumbai"/>
    <n v="7.18"/>
    <d v="1900-01-15T00:57:36"/>
    <n v="101.63"/>
    <n v="2"/>
    <n v="203.26"/>
    <n v="5"/>
    <x v="2"/>
    <x v="1"/>
  </r>
  <r>
    <s v="TRIP02805"/>
    <x v="161"/>
    <x v="3"/>
    <s v="Delhi"/>
    <n v="9.77"/>
    <d v="1900-02-04T08:24:00"/>
    <n v="99.38"/>
    <n v="1"/>
    <n v="99.38"/>
    <n v="4.5"/>
    <x v="2"/>
    <x v="3"/>
  </r>
  <r>
    <s v="TRIP02806"/>
    <x v="342"/>
    <x v="3"/>
    <s v="Chennai"/>
    <n v="15.81"/>
    <d v="1900-02-05T08:38:24"/>
    <n v="310.54000000000002"/>
    <n v="1.5"/>
    <n v="465.81"/>
    <n v="4.4000000000000004"/>
    <x v="2"/>
    <x v="2"/>
  </r>
  <r>
    <s v="TRIP02807"/>
    <x v="216"/>
    <x v="0"/>
    <s v="Mumbai"/>
    <n v="1.26"/>
    <d v="1900-01-02T17:45:36"/>
    <n v="23.15"/>
    <n v="2"/>
    <n v="46.3"/>
    <n v="4.0999999999999996"/>
    <x v="0"/>
    <x v="0"/>
  </r>
  <r>
    <s v="TRIP02808"/>
    <x v="264"/>
    <x v="3"/>
    <s v="Kolkata"/>
    <n v="2.93"/>
    <d v="1900-01-10T02:52:48"/>
    <n v="38.47"/>
    <n v="1.5"/>
    <n v="57.7"/>
    <n v="3.7"/>
    <x v="4"/>
    <x v="0"/>
  </r>
  <r>
    <s v="TRIP02809"/>
    <x v="165"/>
    <x v="0"/>
    <s v="Chennai"/>
    <n v="5.08"/>
    <d v="1900-01-13T16:04:48"/>
    <n v="67.33"/>
    <n v="2"/>
    <n v="134.66"/>
    <n v="3.7"/>
    <x v="4"/>
    <x v="1"/>
  </r>
  <r>
    <s v="TRIP02810"/>
    <x v="107"/>
    <x v="3"/>
    <s v="Chennai"/>
    <n v="20.02"/>
    <d v="1900-02-12T20:09:36"/>
    <n v="376.23"/>
    <n v="2"/>
    <n v="752.46"/>
    <n v="4.3"/>
    <x v="3"/>
    <x v="0"/>
  </r>
  <r>
    <s v="TRIP02811"/>
    <x v="166"/>
    <x v="0"/>
    <s v="Bangalore"/>
    <n v="21.13"/>
    <d v="1900-03-07T17:31:12"/>
    <n v="250.29"/>
    <n v="1.5"/>
    <n v="375.44"/>
    <n v="4.7"/>
    <x v="1"/>
    <x v="3"/>
  </r>
  <r>
    <s v="TRIP02812"/>
    <x v="188"/>
    <x v="3"/>
    <s v="Delhi"/>
    <n v="8.11"/>
    <d v="1900-01-27T09:50:24"/>
    <n v="82.53"/>
    <n v="1.5"/>
    <n v="123.8"/>
    <n v="4.5"/>
    <x v="4"/>
    <x v="1"/>
  </r>
  <r>
    <s v="TRIP02813"/>
    <x v="298"/>
    <x v="2"/>
    <s v="Delhi"/>
    <n v="26.58"/>
    <d v="1900-04-12T16:33:36"/>
    <n v="456.24"/>
    <n v="1.5"/>
    <n v="684.36"/>
    <n v="4.2"/>
    <x v="4"/>
    <x v="1"/>
  </r>
  <r>
    <s v="TRIP02814"/>
    <x v="187"/>
    <x v="4"/>
    <s v="Mumbai"/>
    <n v="13.01"/>
    <d v="1900-02-01T19:12:00"/>
    <n v="253.78"/>
    <n v="1"/>
    <n v="253.78"/>
    <n v="3.7"/>
    <x v="0"/>
    <x v="3"/>
  </r>
  <r>
    <s v="TRIP02815"/>
    <x v="116"/>
    <x v="3"/>
    <s v="Bangalore"/>
    <n v="21.97"/>
    <d v="1900-02-13T05:16:48"/>
    <n v="224.77"/>
    <n v="1.5"/>
    <n v="337.16"/>
    <n v="3.4"/>
    <x v="1"/>
    <x v="1"/>
  </r>
  <r>
    <s v="TRIP02816"/>
    <x v="235"/>
    <x v="0"/>
    <s v="Mumbai"/>
    <n v="13.85"/>
    <d v="1900-02-04T01:40:48"/>
    <n v="275.14999999999998"/>
    <n v="2"/>
    <n v="550.29999999999995"/>
    <n v="4.0999999999999996"/>
    <x v="0"/>
    <x v="1"/>
  </r>
  <r>
    <s v="TRIP02817"/>
    <x v="340"/>
    <x v="3"/>
    <s v="Mumbai"/>
    <n v="16.62"/>
    <d v="1900-02-06T02:09:36"/>
    <n v="258.11"/>
    <n v="1.2"/>
    <n v="309.73"/>
    <n v="4.7"/>
    <x v="0"/>
    <x v="0"/>
  </r>
  <r>
    <s v="TRIP02818"/>
    <x v="351"/>
    <x v="2"/>
    <s v="Kolkata"/>
    <n v="15.46"/>
    <d v="1900-02-26T00:00:00"/>
    <n v="171.38"/>
    <n v="1"/>
    <n v="171.38"/>
    <n v="3.2"/>
    <x v="1"/>
    <x v="3"/>
  </r>
  <r>
    <s v="TRIP02819"/>
    <x v="176"/>
    <x v="0"/>
    <s v="Mumbai"/>
    <n v="17.09"/>
    <d v="1900-02-28T19:55:12"/>
    <n v="190.87"/>
    <n v="1.5"/>
    <n v="286.3"/>
    <n v="4"/>
    <x v="1"/>
    <x v="1"/>
  </r>
  <r>
    <s v="TRIP02820"/>
    <x v="330"/>
    <x v="3"/>
    <s v="Kolkata"/>
    <n v="20.8"/>
    <d v="1900-02-22T09:21:36"/>
    <n v="324.35000000000002"/>
    <n v="1.2"/>
    <n v="389.22"/>
    <n v="3.3"/>
    <x v="2"/>
    <x v="0"/>
  </r>
  <r>
    <s v="TRIP02821"/>
    <x v="126"/>
    <x v="3"/>
    <s v="Bangalore"/>
    <n v="2.41"/>
    <d v="1900-01-07T01:55:12"/>
    <n v="43.06"/>
    <n v="1.5"/>
    <n v="64.59"/>
    <n v="4.7"/>
    <x v="1"/>
    <x v="3"/>
  </r>
  <r>
    <s v="TRIP02822"/>
    <x v="249"/>
    <x v="2"/>
    <s v="Bangalore"/>
    <n v="12.37"/>
    <d v="1900-02-13T14:52:48"/>
    <n v="223.51"/>
    <n v="1"/>
    <n v="223.51"/>
    <n v="3.6"/>
    <x v="4"/>
    <x v="2"/>
  </r>
  <r>
    <s v="TRIP02823"/>
    <x v="305"/>
    <x v="1"/>
    <s v="Delhi"/>
    <n v="9.24"/>
    <d v="1900-01-19T18:28:48"/>
    <n v="177.58"/>
    <n v="2"/>
    <n v="355.16"/>
    <n v="5"/>
    <x v="3"/>
    <x v="1"/>
  </r>
  <r>
    <s v="TRIP02824"/>
    <x v="350"/>
    <x v="1"/>
    <s v="Delhi"/>
    <n v="17.95"/>
    <d v="1900-02-17T04:04:48"/>
    <n v="242.78"/>
    <n v="1"/>
    <n v="242.78"/>
    <n v="4"/>
    <x v="4"/>
    <x v="0"/>
  </r>
  <r>
    <s v="TRIP02825"/>
    <x v="118"/>
    <x v="3"/>
    <s v="Chennai"/>
    <n v="8.4"/>
    <d v="1900-01-22T12:14:24"/>
    <n v="151.84"/>
    <n v="1.2"/>
    <n v="182.21"/>
    <n v="3.8"/>
    <x v="4"/>
    <x v="1"/>
  </r>
  <r>
    <s v="TRIP02826"/>
    <x v="237"/>
    <x v="4"/>
    <s v="Delhi"/>
    <n v="23.68"/>
    <d v="1900-03-12T14:09:36"/>
    <n v="384.76"/>
    <n v="2"/>
    <n v="769.52"/>
    <n v="3.3"/>
    <x v="2"/>
    <x v="3"/>
  </r>
  <r>
    <s v="TRIP02827"/>
    <x v="298"/>
    <x v="0"/>
    <s v="Delhi"/>
    <n v="2.92"/>
    <d v="1900-01-10T10:19:12"/>
    <n v="52.36"/>
    <n v="1"/>
    <n v="52.36"/>
    <n v="4.2"/>
    <x v="0"/>
    <x v="1"/>
  </r>
  <r>
    <s v="TRIP02828"/>
    <x v="16"/>
    <x v="3"/>
    <s v="Delhi"/>
    <n v="11.02"/>
    <d v="1900-01-29T05:45:36"/>
    <n v="177.39"/>
    <n v="2"/>
    <n v="354.78"/>
    <n v="4.7"/>
    <x v="3"/>
    <x v="1"/>
  </r>
  <r>
    <s v="TRIP02829"/>
    <x v="242"/>
    <x v="4"/>
    <s v="Mumbai"/>
    <n v="5.43"/>
    <d v="1900-01-11T00:43:12"/>
    <n v="83.34"/>
    <n v="1.2"/>
    <n v="100.01"/>
    <n v="4.9000000000000004"/>
    <x v="3"/>
    <x v="3"/>
  </r>
  <r>
    <s v="TRIP02830"/>
    <x v="276"/>
    <x v="0"/>
    <s v="Chennai"/>
    <n v="28.96"/>
    <d v="1900-03-31T02:52:48"/>
    <n v="333.34"/>
    <n v="1.5"/>
    <n v="500.01"/>
    <n v="3"/>
    <x v="4"/>
    <x v="2"/>
  </r>
  <r>
    <s v="TRIP02831"/>
    <x v="324"/>
    <x v="0"/>
    <s v="Chennai"/>
    <n v="16.170000000000002"/>
    <d v="1900-02-06T10:04:48"/>
    <n v="178.33"/>
    <n v="1.2"/>
    <n v="214"/>
    <n v="4.8"/>
    <x v="1"/>
    <x v="0"/>
  </r>
  <r>
    <s v="TRIP02832"/>
    <x v="146"/>
    <x v="3"/>
    <s v="Delhi"/>
    <n v="20.02"/>
    <d v="1900-03-17T02:09:36"/>
    <n v="249.8"/>
    <n v="1.5"/>
    <n v="374.7"/>
    <n v="3.9"/>
    <x v="1"/>
    <x v="3"/>
  </r>
  <r>
    <s v="TRIP02833"/>
    <x v="28"/>
    <x v="1"/>
    <s v="Chennai"/>
    <n v="16.98"/>
    <d v="1900-02-05T13:12:00"/>
    <n v="338.14"/>
    <n v="1.5"/>
    <n v="507.21"/>
    <n v="3.8"/>
    <x v="0"/>
    <x v="0"/>
  </r>
  <r>
    <s v="TRIP02834"/>
    <x v="327"/>
    <x v="0"/>
    <s v="Kolkata"/>
    <n v="16.28"/>
    <d v="1900-02-18T01:12:00"/>
    <n v="234.4"/>
    <n v="1.2"/>
    <n v="281.27999999999997"/>
    <n v="3.3"/>
    <x v="2"/>
    <x v="1"/>
  </r>
  <r>
    <s v="TRIP02835"/>
    <x v="76"/>
    <x v="4"/>
    <s v="Kolkata"/>
    <n v="18.68"/>
    <d v="1900-03-04T09:36:00"/>
    <n v="191.47"/>
    <n v="1.5"/>
    <n v="287.2"/>
    <n v="4.4000000000000004"/>
    <x v="1"/>
    <x v="2"/>
  </r>
  <r>
    <s v="TRIP02836"/>
    <x v="28"/>
    <x v="1"/>
    <s v="Delhi"/>
    <n v="1.5"/>
    <d v="1900-01-03T05:16:48"/>
    <n v="28.89"/>
    <n v="1.5"/>
    <n v="43.34"/>
    <n v="4"/>
    <x v="2"/>
    <x v="3"/>
  </r>
  <r>
    <s v="TRIP02837"/>
    <x v="115"/>
    <x v="3"/>
    <s v="Delhi"/>
    <n v="29.46"/>
    <d v="1900-03-10T15:50:24"/>
    <n v="313.82"/>
    <n v="1.5"/>
    <n v="470.73"/>
    <n v="4.0999999999999996"/>
    <x v="4"/>
    <x v="2"/>
  </r>
  <r>
    <s v="TRIP02838"/>
    <x v="245"/>
    <x v="0"/>
    <s v="Mumbai"/>
    <n v="14.69"/>
    <d v="1900-02-12T11:45:36"/>
    <n v="269.68"/>
    <n v="1.2"/>
    <n v="323.62"/>
    <n v="4.7"/>
    <x v="4"/>
    <x v="0"/>
  </r>
  <r>
    <s v="TRIP02839"/>
    <x v="27"/>
    <x v="2"/>
    <s v="Delhi"/>
    <n v="1.49"/>
    <d v="1900-01-03T09:50:24"/>
    <n v="27.7"/>
    <n v="1.2"/>
    <n v="33.24"/>
    <n v="4.9000000000000004"/>
    <x v="3"/>
    <x v="1"/>
  </r>
  <r>
    <s v="TRIP02840"/>
    <x v="24"/>
    <x v="0"/>
    <s v="Mumbai"/>
    <n v="26.51"/>
    <d v="1900-03-23T18:28:48"/>
    <n v="382.96"/>
    <n v="1"/>
    <n v="382.96"/>
    <n v="4.9000000000000004"/>
    <x v="0"/>
    <x v="3"/>
  </r>
  <r>
    <s v="TRIP02841"/>
    <x v="238"/>
    <x v="4"/>
    <s v="Mumbai"/>
    <n v="16.190000000000001"/>
    <d v="1900-02-17T18:28:48"/>
    <n v="211.91"/>
    <n v="1"/>
    <n v="211.91"/>
    <n v="3.7"/>
    <x v="1"/>
    <x v="0"/>
  </r>
  <r>
    <s v="TRIP02842"/>
    <x v="14"/>
    <x v="3"/>
    <s v="Mumbai"/>
    <n v="12.67"/>
    <d v="1900-01-29T02:24:00"/>
    <n v="195.23"/>
    <n v="1"/>
    <n v="195.23"/>
    <n v="3.6"/>
    <x v="4"/>
    <x v="3"/>
  </r>
  <r>
    <s v="TRIP02843"/>
    <x v="353"/>
    <x v="4"/>
    <s v="Mumbai"/>
    <n v="12.32"/>
    <d v="1900-02-15T01:12:00"/>
    <n v="150.99"/>
    <n v="1"/>
    <n v="150.99"/>
    <n v="4.5999999999999996"/>
    <x v="4"/>
    <x v="1"/>
  </r>
  <r>
    <s v="TRIP02844"/>
    <x v="107"/>
    <x v="2"/>
    <s v="Delhi"/>
    <n v="5.08"/>
    <d v="1900-01-09T21:07:12"/>
    <n v="79.13"/>
    <n v="1.2"/>
    <n v="94.96"/>
    <n v="4.2"/>
    <x v="4"/>
    <x v="1"/>
  </r>
  <r>
    <s v="TRIP02845"/>
    <x v="56"/>
    <x v="1"/>
    <s v="Kolkata"/>
    <n v="29.15"/>
    <d v="1900-03-13T03:36:00"/>
    <n v="433.11"/>
    <n v="1.5"/>
    <n v="649.66"/>
    <n v="3.1"/>
    <x v="4"/>
    <x v="3"/>
  </r>
  <r>
    <s v="TRIP02846"/>
    <x v="141"/>
    <x v="4"/>
    <s v="Bangalore"/>
    <n v="18.11"/>
    <d v="1900-02-20T06:43:12"/>
    <n v="262"/>
    <n v="2"/>
    <n v="524"/>
    <n v="4.5"/>
    <x v="2"/>
    <x v="3"/>
  </r>
  <r>
    <s v="TRIP02847"/>
    <x v="196"/>
    <x v="4"/>
    <s v="Mumbai"/>
    <n v="15.45"/>
    <d v="1900-02-24T09:07:12"/>
    <n v="280.62"/>
    <n v="1"/>
    <n v="280.62"/>
    <n v="3.6"/>
    <x v="0"/>
    <x v="2"/>
  </r>
  <r>
    <s v="TRIP02848"/>
    <x v="148"/>
    <x v="1"/>
    <s v="Delhi"/>
    <n v="7.13"/>
    <d v="1900-01-20T03:21:36"/>
    <n v="105.87"/>
    <n v="1.2"/>
    <n v="127.04"/>
    <n v="4.3"/>
    <x v="4"/>
    <x v="2"/>
  </r>
  <r>
    <s v="TRIP02849"/>
    <x v="55"/>
    <x v="1"/>
    <s v="Bangalore"/>
    <n v="28.01"/>
    <d v="1900-03-21T06:28:48"/>
    <n v="467.71"/>
    <n v="1.5"/>
    <n v="701.56"/>
    <n v="3.9"/>
    <x v="4"/>
    <x v="3"/>
  </r>
  <r>
    <s v="TRIP02850"/>
    <x v="297"/>
    <x v="1"/>
    <s v="Bangalore"/>
    <n v="27.99"/>
    <d v="1900-04-06T05:45:36"/>
    <n v="437.88"/>
    <n v="1.5"/>
    <n v="656.82"/>
    <n v="3.4"/>
    <x v="2"/>
    <x v="2"/>
  </r>
  <r>
    <s v="TRIP02851"/>
    <x v="263"/>
    <x v="4"/>
    <s v="Kolkata"/>
    <n v="19.77"/>
    <d v="1900-02-17T06:43:12"/>
    <n v="275.76"/>
    <n v="1"/>
    <n v="275.76"/>
    <n v="4.5999999999999996"/>
    <x v="2"/>
    <x v="0"/>
  </r>
  <r>
    <s v="TRIP02852"/>
    <x v="320"/>
    <x v="3"/>
    <s v="Delhi"/>
    <n v="10.15"/>
    <d v="1900-01-23T16:04:48"/>
    <n v="161.76"/>
    <n v="2"/>
    <n v="323.52"/>
    <n v="4.7"/>
    <x v="0"/>
    <x v="3"/>
  </r>
  <r>
    <s v="TRIP02853"/>
    <x v="173"/>
    <x v="3"/>
    <s v="Chennai"/>
    <n v="22.73"/>
    <d v="1900-02-22T09:07:12"/>
    <n v="333.75"/>
    <n v="1.2"/>
    <n v="400.5"/>
    <n v="4.3"/>
    <x v="4"/>
    <x v="0"/>
  </r>
  <r>
    <s v="TRIP02854"/>
    <x v="80"/>
    <x v="3"/>
    <s v="Delhi"/>
    <n v="20.82"/>
    <d v="1900-03-06T02:52:48"/>
    <n v="383.58"/>
    <n v="1.5"/>
    <n v="575.37"/>
    <n v="3.8"/>
    <x v="2"/>
    <x v="3"/>
  </r>
  <r>
    <s v="TRIP02855"/>
    <x v="146"/>
    <x v="4"/>
    <s v="Kolkata"/>
    <n v="4.57"/>
    <d v="1900-01-14T10:48:00"/>
    <n v="79.150000000000006"/>
    <n v="2"/>
    <n v="158.30000000000001"/>
    <n v="4.8"/>
    <x v="2"/>
    <x v="3"/>
  </r>
  <r>
    <s v="TRIP02856"/>
    <x v="160"/>
    <x v="0"/>
    <s v="Bangalore"/>
    <n v="13.03"/>
    <d v="1900-01-28T06:57:36"/>
    <n v="185.01"/>
    <n v="2"/>
    <n v="370.02"/>
    <n v="4.0999999999999996"/>
    <x v="2"/>
    <x v="2"/>
  </r>
  <r>
    <s v="TRIP02857"/>
    <x v="278"/>
    <x v="4"/>
    <s v="Mumbai"/>
    <n v="12.15"/>
    <d v="1900-02-10T05:45:36"/>
    <n v="215.57"/>
    <n v="1.5"/>
    <n v="323.36"/>
    <n v="4.5999999999999996"/>
    <x v="0"/>
    <x v="0"/>
  </r>
  <r>
    <s v="TRIP02858"/>
    <x v="229"/>
    <x v="1"/>
    <s v="Chennai"/>
    <n v="28"/>
    <d v="1900-04-03T10:19:12"/>
    <n v="289.57"/>
    <n v="2"/>
    <n v="579.14"/>
    <n v="3.7"/>
    <x v="4"/>
    <x v="3"/>
  </r>
  <r>
    <s v="TRIP02859"/>
    <x v="262"/>
    <x v="1"/>
    <s v="Chennai"/>
    <n v="17.8"/>
    <d v="1900-02-20T05:02:24"/>
    <n v="252.73"/>
    <n v="1.5"/>
    <n v="379.1"/>
    <n v="3.2"/>
    <x v="2"/>
    <x v="3"/>
  </r>
  <r>
    <s v="TRIP02860"/>
    <x v="325"/>
    <x v="1"/>
    <s v="Chennai"/>
    <n v="3.18"/>
    <d v="1900-01-11T09:07:12"/>
    <n v="61.07"/>
    <n v="1"/>
    <n v="61.07"/>
    <n v="4.0999999999999996"/>
    <x v="0"/>
    <x v="0"/>
  </r>
  <r>
    <s v="TRIP02861"/>
    <x v="328"/>
    <x v="1"/>
    <s v="Mumbai"/>
    <n v="3.19"/>
    <d v="1900-01-05T19:40:48"/>
    <n v="49.04"/>
    <n v="1.2"/>
    <n v="58.85"/>
    <n v="4.2"/>
    <x v="0"/>
    <x v="1"/>
  </r>
  <r>
    <s v="TRIP02862"/>
    <x v="12"/>
    <x v="0"/>
    <s v="Delhi"/>
    <n v="13.27"/>
    <d v="1900-01-29T04:19:12"/>
    <n v="154"/>
    <n v="2"/>
    <n v="308"/>
    <n v="3.4"/>
    <x v="3"/>
    <x v="1"/>
  </r>
  <r>
    <s v="TRIP02863"/>
    <x v="86"/>
    <x v="3"/>
    <s v="Chennai"/>
    <n v="21.75"/>
    <d v="1900-03-18T16:33:36"/>
    <n v="315.93"/>
    <n v="2"/>
    <n v="631.86"/>
    <n v="3.6"/>
    <x v="3"/>
    <x v="3"/>
  </r>
  <r>
    <s v="TRIP02864"/>
    <x v="262"/>
    <x v="4"/>
    <s v="Bangalore"/>
    <n v="3.01"/>
    <d v="1900-01-06T13:40:48"/>
    <n v="46.47"/>
    <n v="1.5"/>
    <n v="69.7"/>
    <n v="4.8"/>
    <x v="1"/>
    <x v="1"/>
  </r>
  <r>
    <s v="TRIP02865"/>
    <x v="335"/>
    <x v="2"/>
    <s v="Mumbai"/>
    <n v="8.14"/>
    <d v="1900-01-26T04:19:12"/>
    <n v="107.75"/>
    <n v="1"/>
    <n v="107.75"/>
    <n v="4"/>
    <x v="2"/>
    <x v="2"/>
  </r>
  <r>
    <s v="TRIP02866"/>
    <x v="300"/>
    <x v="4"/>
    <s v="Kolkata"/>
    <n v="18.079999999999998"/>
    <d v="1900-02-25T00:00:00"/>
    <n v="192.68"/>
    <n v="1.5"/>
    <n v="289.02"/>
    <n v="4"/>
    <x v="0"/>
    <x v="3"/>
  </r>
  <r>
    <s v="TRIP02867"/>
    <x v="41"/>
    <x v="0"/>
    <s v="Chennai"/>
    <n v="1.53"/>
    <d v="1900-01-02T19:55:12"/>
    <n v="18.809999999999999"/>
    <n v="2"/>
    <n v="37.619999999999997"/>
    <n v="3.9"/>
    <x v="3"/>
    <x v="1"/>
  </r>
  <r>
    <s v="TRIP02868"/>
    <x v="363"/>
    <x v="0"/>
    <s v="Bangalore"/>
    <n v="15.57"/>
    <d v="1900-02-16T14:52:48"/>
    <n v="208.29"/>
    <n v="1"/>
    <n v="208.29"/>
    <n v="4.3"/>
    <x v="0"/>
    <x v="0"/>
  </r>
  <r>
    <s v="TRIP02869"/>
    <x v="159"/>
    <x v="1"/>
    <s v="Bangalore"/>
    <n v="23.43"/>
    <d v="1900-03-26T04:04:48"/>
    <n v="320.26"/>
    <n v="2"/>
    <n v="640.52"/>
    <n v="3.5"/>
    <x v="2"/>
    <x v="2"/>
  </r>
  <r>
    <s v="TRIP02870"/>
    <x v="86"/>
    <x v="1"/>
    <s v="Mumbai"/>
    <n v="6.83"/>
    <d v="1900-01-14T08:38:24"/>
    <n v="91.87"/>
    <n v="1.2"/>
    <n v="110.24"/>
    <n v="4.8"/>
    <x v="3"/>
    <x v="1"/>
  </r>
  <r>
    <s v="TRIP02871"/>
    <x v="38"/>
    <x v="0"/>
    <s v="Delhi"/>
    <n v="2.4300000000000002"/>
    <d v="1900-01-06T00:00:00"/>
    <n v="35.29"/>
    <n v="1"/>
    <n v="35.29"/>
    <n v="3.8"/>
    <x v="0"/>
    <x v="0"/>
  </r>
  <r>
    <s v="TRIP02872"/>
    <x v="110"/>
    <x v="4"/>
    <s v="Chennai"/>
    <n v="5.35"/>
    <d v="1900-01-18T02:09:36"/>
    <n v="71.290000000000006"/>
    <n v="1"/>
    <n v="71.290000000000006"/>
    <n v="4.7"/>
    <x v="0"/>
    <x v="1"/>
  </r>
  <r>
    <s v="TRIP02873"/>
    <x v="95"/>
    <x v="4"/>
    <s v="Mumbai"/>
    <n v="26.78"/>
    <d v="1900-04-07T07:40:48"/>
    <n v="430.71"/>
    <n v="1.2"/>
    <n v="516.85"/>
    <n v="3.5"/>
    <x v="1"/>
    <x v="0"/>
  </r>
  <r>
    <s v="TRIP02874"/>
    <x v="264"/>
    <x v="2"/>
    <s v="Bangalore"/>
    <n v="23.29"/>
    <d v="1900-03-27T11:02:24"/>
    <n v="257.07"/>
    <n v="1"/>
    <n v="257.07"/>
    <n v="3.3"/>
    <x v="0"/>
    <x v="2"/>
  </r>
  <r>
    <s v="TRIP02875"/>
    <x v="312"/>
    <x v="2"/>
    <s v="Kolkata"/>
    <n v="13.52"/>
    <d v="1900-02-04T00:28:48"/>
    <n v="190.81"/>
    <n v="1"/>
    <n v="190.81"/>
    <n v="3.5"/>
    <x v="4"/>
    <x v="0"/>
  </r>
  <r>
    <s v="TRIP02876"/>
    <x v="15"/>
    <x v="2"/>
    <s v="Mumbai"/>
    <n v="15.3"/>
    <d v="1900-02-04T23:31:12"/>
    <n v="177.92"/>
    <n v="1.2"/>
    <n v="213.5"/>
    <n v="4.8"/>
    <x v="1"/>
    <x v="0"/>
  </r>
  <r>
    <s v="TRIP02877"/>
    <x v="106"/>
    <x v="4"/>
    <s v="Bangalore"/>
    <n v="6.95"/>
    <d v="1900-01-22T13:40:48"/>
    <n v="121.01"/>
    <n v="1.5"/>
    <n v="181.52"/>
    <n v="3.9"/>
    <x v="1"/>
    <x v="1"/>
  </r>
  <r>
    <s v="TRIP02878"/>
    <x v="73"/>
    <x v="4"/>
    <s v="Delhi"/>
    <n v="29.72"/>
    <d v="1900-03-21T16:33:36"/>
    <n v="523.30999999999995"/>
    <n v="2"/>
    <n v="1046.6199999999999"/>
    <n v="3.3"/>
    <x v="1"/>
    <x v="0"/>
  </r>
  <r>
    <s v="TRIP02879"/>
    <x v="29"/>
    <x v="3"/>
    <s v="Delhi"/>
    <n v="23.3"/>
    <d v="1900-03-17T17:16:48"/>
    <n v="432.16"/>
    <n v="1"/>
    <n v="432.16"/>
    <n v="4"/>
    <x v="2"/>
    <x v="1"/>
  </r>
  <r>
    <s v="TRIP02880"/>
    <x v="349"/>
    <x v="1"/>
    <s v="Mumbai"/>
    <n v="7.89"/>
    <d v="1900-01-21T01:40:48"/>
    <n v="138.72999999999999"/>
    <n v="1.5"/>
    <n v="208.09"/>
    <n v="4.0999999999999996"/>
    <x v="1"/>
    <x v="3"/>
  </r>
  <r>
    <s v="TRIP02881"/>
    <x v="57"/>
    <x v="3"/>
    <s v="Mumbai"/>
    <n v="24.1"/>
    <d v="1900-03-07T07:26:24"/>
    <n v="278.04000000000002"/>
    <n v="1.2"/>
    <n v="333.65"/>
    <n v="4.5"/>
    <x v="1"/>
    <x v="3"/>
  </r>
  <r>
    <s v="TRIP02882"/>
    <x v="48"/>
    <x v="4"/>
    <s v="Kolkata"/>
    <n v="27.7"/>
    <d v="1900-03-19T21:07:12"/>
    <n v="482.75"/>
    <n v="2"/>
    <n v="965.5"/>
    <n v="3.5"/>
    <x v="2"/>
    <x v="0"/>
  </r>
  <r>
    <s v="TRIP02883"/>
    <x v="243"/>
    <x v="4"/>
    <s v="Mumbai"/>
    <n v="20.46"/>
    <d v="1900-03-20T02:52:48"/>
    <n v="362.07"/>
    <n v="1.5"/>
    <n v="543.1"/>
    <n v="3.3"/>
    <x v="4"/>
    <x v="1"/>
  </r>
  <r>
    <s v="TRIP02884"/>
    <x v="30"/>
    <x v="2"/>
    <s v="Chennai"/>
    <n v="14.59"/>
    <d v="1900-02-22T11:45:36"/>
    <n v="269.73"/>
    <n v="1.5"/>
    <n v="404.6"/>
    <n v="4.7"/>
    <x v="0"/>
    <x v="2"/>
  </r>
  <r>
    <s v="TRIP02885"/>
    <x v="255"/>
    <x v="1"/>
    <s v="Delhi"/>
    <n v="6.59"/>
    <d v="1900-01-21T06:00:00"/>
    <n v="83.85"/>
    <n v="1"/>
    <n v="83.85"/>
    <n v="3.4"/>
    <x v="3"/>
    <x v="0"/>
  </r>
  <r>
    <s v="TRIP02886"/>
    <x v="92"/>
    <x v="0"/>
    <s v="Delhi"/>
    <n v="23.42"/>
    <d v="1900-02-19T12:28:48"/>
    <n v="440.57"/>
    <n v="1.5"/>
    <n v="660.86"/>
    <n v="3.5"/>
    <x v="1"/>
    <x v="0"/>
  </r>
  <r>
    <s v="TRIP02887"/>
    <x v="63"/>
    <x v="0"/>
    <s v="Kolkata"/>
    <n v="15.14"/>
    <d v="1900-02-09T08:52:48"/>
    <n v="249.12"/>
    <n v="1"/>
    <n v="249.12"/>
    <n v="4.4000000000000004"/>
    <x v="4"/>
    <x v="0"/>
  </r>
  <r>
    <s v="TRIP02888"/>
    <x v="286"/>
    <x v="3"/>
    <s v="Kolkata"/>
    <n v="27.65"/>
    <d v="1900-03-28T23:31:12"/>
    <n v="499.72"/>
    <n v="2"/>
    <n v="999.44"/>
    <n v="3.2"/>
    <x v="2"/>
    <x v="3"/>
  </r>
  <r>
    <s v="TRIP02889"/>
    <x v="3"/>
    <x v="0"/>
    <s v="Delhi"/>
    <n v="26.46"/>
    <d v="1900-04-13T10:19:12"/>
    <n v="344.65"/>
    <n v="1.5"/>
    <n v="516.97"/>
    <n v="3.3"/>
    <x v="3"/>
    <x v="1"/>
  </r>
  <r>
    <s v="TRIP02890"/>
    <x v="76"/>
    <x v="1"/>
    <s v="Kolkata"/>
    <n v="6.47"/>
    <d v="1900-01-20T20:38:24"/>
    <n v="68.959999999999994"/>
    <n v="1.2"/>
    <n v="82.75"/>
    <n v="3.9"/>
    <x v="4"/>
    <x v="0"/>
  </r>
  <r>
    <s v="TRIP02891"/>
    <x v="346"/>
    <x v="3"/>
    <s v="Delhi"/>
    <n v="19.28"/>
    <d v="1900-02-27T08:52:48"/>
    <n v="202.88"/>
    <n v="1.5"/>
    <n v="304.32"/>
    <n v="3.9"/>
    <x v="2"/>
    <x v="2"/>
  </r>
  <r>
    <s v="TRIP02892"/>
    <x v="210"/>
    <x v="3"/>
    <s v="Delhi"/>
    <n v="5.0599999999999996"/>
    <d v="1900-01-15T21:50:24"/>
    <n v="62.56"/>
    <n v="1"/>
    <n v="62.56"/>
    <n v="3"/>
    <x v="4"/>
    <x v="3"/>
  </r>
  <r>
    <s v="TRIP02893"/>
    <x v="288"/>
    <x v="2"/>
    <s v="Delhi"/>
    <n v="5.4"/>
    <d v="1900-01-10T18:57:36"/>
    <n v="66.95"/>
    <n v="1.2"/>
    <n v="80.34"/>
    <n v="4.5999999999999996"/>
    <x v="4"/>
    <x v="2"/>
  </r>
  <r>
    <s v="TRIP02894"/>
    <x v="276"/>
    <x v="4"/>
    <s v="Chennai"/>
    <n v="1.84"/>
    <d v="1900-01-04T22:48:00"/>
    <n v="20.99"/>
    <n v="1"/>
    <n v="20.99"/>
    <n v="3.8"/>
    <x v="2"/>
    <x v="2"/>
  </r>
  <r>
    <s v="TRIP02895"/>
    <x v="21"/>
    <x v="3"/>
    <s v="Mumbai"/>
    <n v="7.54"/>
    <d v="1900-01-23T08:24:00"/>
    <n v="77.510000000000005"/>
    <n v="1.5"/>
    <n v="116.27"/>
    <n v="3.4"/>
    <x v="2"/>
    <x v="0"/>
  </r>
  <r>
    <s v="TRIP02896"/>
    <x v="137"/>
    <x v="0"/>
    <s v="Kolkata"/>
    <n v="2.25"/>
    <d v="1900-01-05T00:57:36"/>
    <n v="24.23"/>
    <n v="1"/>
    <n v="24.23"/>
    <n v="4.8"/>
    <x v="1"/>
    <x v="1"/>
  </r>
  <r>
    <s v="TRIP02897"/>
    <x v="315"/>
    <x v="4"/>
    <s v="Delhi"/>
    <n v="14.63"/>
    <d v="1900-02-08T11:45:36"/>
    <n v="163.72999999999999"/>
    <n v="2"/>
    <n v="327.45999999999998"/>
    <n v="3.4"/>
    <x v="3"/>
    <x v="2"/>
  </r>
  <r>
    <s v="TRIP02898"/>
    <x v="252"/>
    <x v="4"/>
    <s v="Delhi"/>
    <n v="24.42"/>
    <d v="1900-02-23T10:48:00"/>
    <n v="389.59"/>
    <n v="2"/>
    <n v="779.18"/>
    <n v="4.2"/>
    <x v="4"/>
    <x v="0"/>
  </r>
  <r>
    <s v="TRIP02899"/>
    <x v="17"/>
    <x v="1"/>
    <s v="Mumbai"/>
    <n v="3.21"/>
    <d v="1900-01-09T15:07:12"/>
    <n v="47.78"/>
    <n v="2"/>
    <n v="95.56"/>
    <n v="4"/>
    <x v="1"/>
    <x v="1"/>
  </r>
  <r>
    <s v="TRIP02900"/>
    <x v="134"/>
    <x v="2"/>
    <s v="Chennai"/>
    <n v="28.71"/>
    <d v="1900-04-15T14:38:24"/>
    <n v="529.37"/>
    <n v="1.2"/>
    <n v="635.24"/>
    <n v="3.9"/>
    <x v="2"/>
    <x v="1"/>
  </r>
  <r>
    <s v="TRIP02901"/>
    <x v="15"/>
    <x v="0"/>
    <s v="Delhi"/>
    <n v="12.61"/>
    <d v="1900-01-28T07:55:12"/>
    <n v="228.51"/>
    <n v="1.2"/>
    <n v="274.20999999999998"/>
    <n v="4.8"/>
    <x v="4"/>
    <x v="3"/>
  </r>
  <r>
    <s v="TRIP02902"/>
    <x v="173"/>
    <x v="3"/>
    <s v="Chennai"/>
    <n v="13.15"/>
    <d v="1900-02-09T15:07:12"/>
    <n v="150.84"/>
    <n v="1.2"/>
    <n v="181.01"/>
    <n v="3.1"/>
    <x v="0"/>
    <x v="3"/>
  </r>
  <r>
    <s v="TRIP02903"/>
    <x v="226"/>
    <x v="1"/>
    <s v="Chennai"/>
    <n v="27.2"/>
    <d v="1900-02-22T20:38:24"/>
    <n v="330.94"/>
    <n v="2"/>
    <n v="661.88"/>
    <n v="3.8"/>
    <x v="0"/>
    <x v="2"/>
  </r>
  <r>
    <s v="TRIP02904"/>
    <x v="338"/>
    <x v="1"/>
    <s v="Mumbai"/>
    <n v="26.94"/>
    <d v="1900-02-24T23:02:24"/>
    <n v="430.22"/>
    <n v="1"/>
    <n v="430.22"/>
    <n v="3.8"/>
    <x v="4"/>
    <x v="1"/>
  </r>
  <r>
    <s v="TRIP02905"/>
    <x v="29"/>
    <x v="0"/>
    <s v="Chennai"/>
    <n v="15.89"/>
    <d v="1900-02-19T03:36:00"/>
    <n v="189.3"/>
    <n v="1"/>
    <n v="189.3"/>
    <n v="4.3"/>
    <x v="1"/>
    <x v="0"/>
  </r>
  <r>
    <s v="TRIP02906"/>
    <x v="199"/>
    <x v="2"/>
    <s v="Kolkata"/>
    <n v="14.58"/>
    <d v="1900-02-22T04:19:12"/>
    <n v="195.72"/>
    <n v="1.5"/>
    <n v="293.58"/>
    <n v="4"/>
    <x v="2"/>
    <x v="3"/>
  </r>
  <r>
    <s v="TRIP02907"/>
    <x v="143"/>
    <x v="1"/>
    <s v="Kolkata"/>
    <n v="1.84"/>
    <d v="1900-01-05T12:28:48"/>
    <n v="20.43"/>
    <n v="1"/>
    <n v="20.43"/>
    <n v="3.8"/>
    <x v="3"/>
    <x v="3"/>
  </r>
  <r>
    <s v="TRIP02908"/>
    <x v="297"/>
    <x v="1"/>
    <s v="Delhi"/>
    <n v="8.81"/>
    <d v="1900-01-31T01:26:24"/>
    <n v="150.71"/>
    <n v="2"/>
    <n v="301.42"/>
    <n v="3.2"/>
    <x v="1"/>
    <x v="3"/>
  </r>
  <r>
    <s v="TRIP02909"/>
    <x v="115"/>
    <x v="0"/>
    <s v="Kolkata"/>
    <n v="13.13"/>
    <d v="1900-02-12T14:38:24"/>
    <n v="262.52999999999997"/>
    <n v="1"/>
    <n v="262.52999999999997"/>
    <n v="3.1"/>
    <x v="3"/>
    <x v="3"/>
  </r>
  <r>
    <s v="TRIP02910"/>
    <x v="159"/>
    <x v="2"/>
    <s v="Delhi"/>
    <n v="11.83"/>
    <d v="1900-01-24T12:00:00"/>
    <n v="188.88"/>
    <n v="1.2"/>
    <n v="226.66"/>
    <n v="4.9000000000000004"/>
    <x v="4"/>
    <x v="3"/>
  </r>
  <r>
    <s v="TRIP02911"/>
    <x v="52"/>
    <x v="4"/>
    <s v="Delhi"/>
    <n v="22.54"/>
    <d v="1900-03-07T04:04:48"/>
    <n v="322.37"/>
    <n v="1"/>
    <n v="322.37"/>
    <n v="4.2"/>
    <x v="4"/>
    <x v="2"/>
  </r>
  <r>
    <s v="TRIP02912"/>
    <x v="194"/>
    <x v="1"/>
    <s v="Kolkata"/>
    <n v="29.07"/>
    <d v="1900-04-06T18:14:24"/>
    <n v="382.33"/>
    <n v="1.2"/>
    <n v="458.8"/>
    <n v="3.9"/>
    <x v="0"/>
    <x v="3"/>
  </r>
  <r>
    <s v="TRIP02913"/>
    <x v="272"/>
    <x v="0"/>
    <s v="Bangalore"/>
    <n v="9.66"/>
    <d v="1900-01-21T09:21:36"/>
    <n v="101.17"/>
    <n v="2"/>
    <n v="202.34"/>
    <n v="4.7"/>
    <x v="3"/>
    <x v="1"/>
  </r>
  <r>
    <s v="TRIP02914"/>
    <x v="315"/>
    <x v="1"/>
    <s v="Mumbai"/>
    <n v="23.8"/>
    <d v="1900-02-23T15:50:24"/>
    <n v="263.83999999999997"/>
    <n v="2"/>
    <n v="527.67999999999995"/>
    <n v="4.5999999999999996"/>
    <x v="2"/>
    <x v="3"/>
  </r>
  <r>
    <s v="TRIP02915"/>
    <x v="39"/>
    <x v="1"/>
    <s v="Kolkata"/>
    <n v="28.59"/>
    <d v="1900-04-07T00:28:48"/>
    <n v="379.32"/>
    <n v="2"/>
    <n v="758.64"/>
    <n v="4.5"/>
    <x v="4"/>
    <x v="1"/>
  </r>
  <r>
    <s v="TRIP02916"/>
    <x v="1"/>
    <x v="2"/>
    <s v="Bangalore"/>
    <n v="3.3"/>
    <d v="1900-01-06T09:07:12"/>
    <n v="38.799999999999997"/>
    <n v="1.5"/>
    <n v="58.2"/>
    <n v="4"/>
    <x v="4"/>
    <x v="3"/>
  </r>
  <r>
    <s v="TRIP02917"/>
    <x v="105"/>
    <x v="1"/>
    <s v="Kolkata"/>
    <n v="7.1"/>
    <d v="1900-01-14T10:48:00"/>
    <n v="82.06"/>
    <n v="1.2"/>
    <n v="98.47"/>
    <n v="3.4"/>
    <x v="2"/>
    <x v="0"/>
  </r>
  <r>
    <s v="TRIP02918"/>
    <x v="41"/>
    <x v="1"/>
    <s v="Mumbai"/>
    <n v="3.13"/>
    <d v="1900-01-07T00:57:36"/>
    <n v="38.909999999999997"/>
    <n v="1"/>
    <n v="38.909999999999997"/>
    <n v="4.5999999999999996"/>
    <x v="1"/>
    <x v="0"/>
  </r>
  <r>
    <s v="TRIP02919"/>
    <x v="40"/>
    <x v="1"/>
    <s v="Chennai"/>
    <n v="17.329999999999998"/>
    <d v="1900-02-14T20:38:24"/>
    <n v="278.33"/>
    <n v="2"/>
    <n v="556.66"/>
    <n v="4.3"/>
    <x v="4"/>
    <x v="1"/>
  </r>
  <r>
    <s v="TRIP02920"/>
    <x v="210"/>
    <x v="2"/>
    <s v="Delhi"/>
    <n v="1.5"/>
    <d v="1900-01-03T05:16:48"/>
    <n v="18.420000000000002"/>
    <n v="2"/>
    <n v="36.840000000000003"/>
    <n v="3.8"/>
    <x v="0"/>
    <x v="0"/>
  </r>
  <r>
    <s v="TRIP02921"/>
    <x v="287"/>
    <x v="3"/>
    <s v="Kolkata"/>
    <n v="29.86"/>
    <d v="1900-03-10T08:09:36"/>
    <n v="461.76"/>
    <n v="2"/>
    <n v="923.52"/>
    <n v="4.8"/>
    <x v="2"/>
    <x v="0"/>
  </r>
  <r>
    <s v="TRIP02922"/>
    <x v="255"/>
    <x v="3"/>
    <s v="Kolkata"/>
    <n v="2.69"/>
    <d v="1900-01-07T05:02:24"/>
    <n v="41.41"/>
    <n v="2"/>
    <n v="82.82"/>
    <n v="3.6"/>
    <x v="4"/>
    <x v="0"/>
  </r>
  <r>
    <s v="TRIP02923"/>
    <x v="45"/>
    <x v="3"/>
    <s v="Delhi"/>
    <n v="7.97"/>
    <d v="1900-01-21T10:04:48"/>
    <n v="148.71"/>
    <n v="1.2"/>
    <n v="178.45"/>
    <n v="3.8"/>
    <x v="4"/>
    <x v="3"/>
  </r>
  <r>
    <s v="TRIP02924"/>
    <x v="35"/>
    <x v="0"/>
    <s v="Chennai"/>
    <n v="28.82"/>
    <d v="1900-02-25T23:31:12"/>
    <n v="301.95"/>
    <n v="2"/>
    <n v="603.9"/>
    <n v="4.8"/>
    <x v="0"/>
    <x v="1"/>
  </r>
  <r>
    <s v="TRIP02925"/>
    <x v="333"/>
    <x v="3"/>
    <s v="Bangalore"/>
    <n v="25.07"/>
    <d v="1900-04-03T21:36:00"/>
    <n v="297.54000000000002"/>
    <n v="2"/>
    <n v="595.08000000000004"/>
    <n v="4.0999999999999996"/>
    <x v="2"/>
    <x v="2"/>
  </r>
  <r>
    <s v="TRIP02926"/>
    <x v="319"/>
    <x v="3"/>
    <s v="Bangalore"/>
    <n v="14.45"/>
    <d v="1900-01-30T21:21:36"/>
    <n v="210.65"/>
    <n v="1.2"/>
    <n v="252.78"/>
    <n v="5"/>
    <x v="1"/>
    <x v="2"/>
  </r>
  <r>
    <s v="TRIP02927"/>
    <x v="108"/>
    <x v="1"/>
    <s v="Chennai"/>
    <n v="13.72"/>
    <d v="1900-01-26T22:04:48"/>
    <n v="273.58"/>
    <n v="1.2"/>
    <n v="328.3"/>
    <n v="4.5999999999999996"/>
    <x v="3"/>
    <x v="1"/>
  </r>
  <r>
    <s v="TRIP02928"/>
    <x v="38"/>
    <x v="1"/>
    <s v="Kolkata"/>
    <n v="28.68"/>
    <d v="1900-03-06T07:12:00"/>
    <n v="341.07"/>
    <n v="2"/>
    <n v="682.14"/>
    <n v="4.5999999999999996"/>
    <x v="4"/>
    <x v="3"/>
  </r>
  <r>
    <s v="TRIP02929"/>
    <x v="321"/>
    <x v="1"/>
    <s v="Delhi"/>
    <n v="24.18"/>
    <d v="1900-03-01T11:45:36"/>
    <n v="249.82"/>
    <n v="1.2"/>
    <n v="299.77999999999997"/>
    <n v="4.2"/>
    <x v="1"/>
    <x v="1"/>
  </r>
  <r>
    <s v="TRIP02930"/>
    <x v="197"/>
    <x v="0"/>
    <s v="Bangalore"/>
    <n v="22.98"/>
    <d v="1900-03-15T10:19:12"/>
    <n v="442.04"/>
    <n v="1.5"/>
    <n v="663.06"/>
    <n v="3.7"/>
    <x v="3"/>
    <x v="0"/>
  </r>
  <r>
    <s v="TRIP02931"/>
    <x v="278"/>
    <x v="1"/>
    <s v="Bangalore"/>
    <n v="19.61"/>
    <d v="1900-03-05T11:02:24"/>
    <n v="359.31"/>
    <n v="2"/>
    <n v="718.62"/>
    <n v="4.7"/>
    <x v="2"/>
    <x v="0"/>
  </r>
  <r>
    <s v="TRIP02932"/>
    <x v="230"/>
    <x v="0"/>
    <s v="Bangalore"/>
    <n v="19.46"/>
    <d v="1900-02-18T12:28:48"/>
    <n v="230.13"/>
    <n v="1.2"/>
    <n v="276.16000000000003"/>
    <n v="4.5"/>
    <x v="0"/>
    <x v="1"/>
  </r>
  <r>
    <s v="TRIP02933"/>
    <x v="249"/>
    <x v="3"/>
    <s v="Bangalore"/>
    <n v="12.87"/>
    <d v="1900-02-03T22:19:12"/>
    <n v="251.51"/>
    <n v="1.5"/>
    <n v="377.26"/>
    <n v="4.5"/>
    <x v="0"/>
    <x v="0"/>
  </r>
  <r>
    <s v="TRIP02934"/>
    <x v="109"/>
    <x v="3"/>
    <s v="Kolkata"/>
    <n v="15.09"/>
    <d v="1900-02-10T11:16:48"/>
    <n v="249.07"/>
    <n v="1.5"/>
    <n v="373.6"/>
    <n v="3.4"/>
    <x v="3"/>
    <x v="1"/>
  </r>
  <r>
    <s v="TRIP02935"/>
    <x v="129"/>
    <x v="0"/>
    <s v="Delhi"/>
    <n v="28.15"/>
    <d v="1900-04-13T00:57:36"/>
    <n v="540.55999999999995"/>
    <n v="1.5"/>
    <n v="810.84"/>
    <n v="4.0999999999999996"/>
    <x v="2"/>
    <x v="3"/>
  </r>
  <r>
    <s v="TRIP02936"/>
    <x v="289"/>
    <x v="3"/>
    <s v="Bangalore"/>
    <n v="22.52"/>
    <d v="1900-03-16T09:21:36"/>
    <n v="425.78"/>
    <n v="1.5"/>
    <n v="638.66999999999996"/>
    <n v="4.9000000000000004"/>
    <x v="1"/>
    <x v="2"/>
  </r>
  <r>
    <s v="TRIP02937"/>
    <x v="101"/>
    <x v="0"/>
    <s v="Chennai"/>
    <n v="19.8"/>
    <d v="1900-02-23T03:21:36"/>
    <n v="375.07"/>
    <n v="1.2"/>
    <n v="450.08"/>
    <n v="3.7"/>
    <x v="0"/>
    <x v="2"/>
  </r>
  <r>
    <s v="TRIP02938"/>
    <x v="309"/>
    <x v="0"/>
    <s v="Mumbai"/>
    <n v="21.06"/>
    <d v="1900-02-12T20:52:48"/>
    <n v="413.45"/>
    <n v="1.5"/>
    <n v="620.16999999999996"/>
    <n v="3.8"/>
    <x v="0"/>
    <x v="3"/>
  </r>
  <r>
    <s v="TRIP02939"/>
    <x v="120"/>
    <x v="0"/>
    <s v="Delhi"/>
    <n v="10.23"/>
    <d v="1900-02-01T09:50:24"/>
    <n v="202.92"/>
    <n v="1"/>
    <n v="202.92"/>
    <n v="4.3"/>
    <x v="2"/>
    <x v="1"/>
  </r>
  <r>
    <s v="TRIP02940"/>
    <x v="321"/>
    <x v="4"/>
    <s v="Delhi"/>
    <n v="28.01"/>
    <d v="1900-04-12T15:50:24"/>
    <n v="299.06"/>
    <n v="1"/>
    <n v="299.06"/>
    <n v="4.0999999999999996"/>
    <x v="1"/>
    <x v="3"/>
  </r>
  <r>
    <s v="TRIP02941"/>
    <x v="95"/>
    <x v="1"/>
    <s v="Kolkata"/>
    <n v="16.579999999999998"/>
    <d v="1900-02-10T09:50:24"/>
    <n v="213.71"/>
    <n v="2"/>
    <n v="427.42"/>
    <n v="3"/>
    <x v="0"/>
    <x v="2"/>
  </r>
  <r>
    <s v="TRIP02942"/>
    <x v="3"/>
    <x v="2"/>
    <s v="Chennai"/>
    <n v="12.05"/>
    <d v="1900-02-01T22:04:48"/>
    <n v="178.96"/>
    <n v="1"/>
    <n v="178.96"/>
    <n v="4.5"/>
    <x v="4"/>
    <x v="3"/>
  </r>
  <r>
    <s v="TRIP02943"/>
    <x v="268"/>
    <x v="2"/>
    <s v="Kolkata"/>
    <n v="7.18"/>
    <d v="1900-01-26T01:40:48"/>
    <n v="142.24"/>
    <n v="2"/>
    <n v="284.48"/>
    <n v="4.3"/>
    <x v="0"/>
    <x v="3"/>
  </r>
  <r>
    <s v="TRIP02944"/>
    <x v="264"/>
    <x v="2"/>
    <s v="Delhi"/>
    <n v="29.31"/>
    <d v="1900-03-27T05:45:36"/>
    <n v="310"/>
    <n v="1"/>
    <n v="310"/>
    <n v="3.4"/>
    <x v="1"/>
    <x v="2"/>
  </r>
  <r>
    <s v="TRIP02945"/>
    <x v="256"/>
    <x v="1"/>
    <s v="Mumbai"/>
    <n v="21.28"/>
    <d v="1900-03-04T21:50:24"/>
    <n v="390.43"/>
    <n v="1.5"/>
    <n v="585.64"/>
    <n v="3"/>
    <x v="1"/>
    <x v="3"/>
  </r>
  <r>
    <s v="TRIP02946"/>
    <x v="300"/>
    <x v="4"/>
    <s v="Delhi"/>
    <n v="14.62"/>
    <d v="1900-01-30T11:31:12"/>
    <n v="249.4"/>
    <n v="1.2"/>
    <n v="299.27999999999997"/>
    <n v="3.1"/>
    <x v="3"/>
    <x v="3"/>
  </r>
  <r>
    <s v="TRIP02947"/>
    <x v="49"/>
    <x v="3"/>
    <s v="Bangalore"/>
    <n v="29.67"/>
    <d v="1900-02-28T15:50:24"/>
    <n v="346.27"/>
    <n v="1.2"/>
    <n v="415.52"/>
    <n v="3.5"/>
    <x v="0"/>
    <x v="2"/>
  </r>
  <r>
    <s v="TRIP02948"/>
    <x v="91"/>
    <x v="3"/>
    <s v="Kolkata"/>
    <n v="14.07"/>
    <d v="1900-01-29T08:38:24"/>
    <n v="234.92"/>
    <n v="1.2"/>
    <n v="281.89999999999998"/>
    <n v="4.8"/>
    <x v="0"/>
    <x v="2"/>
  </r>
  <r>
    <s v="TRIP02949"/>
    <x v="328"/>
    <x v="0"/>
    <s v="Mumbai"/>
    <n v="29.4"/>
    <d v="1900-03-30T01:55:12"/>
    <n v="356.94"/>
    <n v="1.5"/>
    <n v="535.41"/>
    <n v="3.8"/>
    <x v="0"/>
    <x v="2"/>
  </r>
  <r>
    <s v="TRIP02950"/>
    <x v="258"/>
    <x v="0"/>
    <s v="Chennai"/>
    <n v="26.73"/>
    <d v="1900-02-24T02:09:36"/>
    <n v="303.76"/>
    <n v="1.2"/>
    <n v="364.51"/>
    <n v="5"/>
    <x v="4"/>
    <x v="0"/>
  </r>
  <r>
    <s v="TRIP02951"/>
    <x v="89"/>
    <x v="2"/>
    <s v="Delhi"/>
    <n v="1.31"/>
    <d v="1900-01-03T21:07:12"/>
    <n v="19.010000000000002"/>
    <n v="1.2"/>
    <n v="22.81"/>
    <n v="4.5999999999999996"/>
    <x v="2"/>
    <x v="1"/>
  </r>
  <r>
    <s v="TRIP02952"/>
    <x v="119"/>
    <x v="4"/>
    <s v="Mumbai"/>
    <n v="6.42"/>
    <d v="1900-01-19T20:38:24"/>
    <n v="107.81"/>
    <n v="1.5"/>
    <n v="161.72"/>
    <n v="4.7"/>
    <x v="2"/>
    <x v="2"/>
  </r>
  <r>
    <s v="TRIP02953"/>
    <x v="331"/>
    <x v="0"/>
    <s v="Delhi"/>
    <n v="12.53"/>
    <d v="1900-02-03T16:04:48"/>
    <n v="241.33"/>
    <n v="2"/>
    <n v="482.66"/>
    <n v="3.4"/>
    <x v="0"/>
    <x v="1"/>
  </r>
  <r>
    <s v="TRIP02954"/>
    <x v="105"/>
    <x v="0"/>
    <s v="Delhi"/>
    <n v="21.51"/>
    <d v="1900-03-22T16:48:00"/>
    <n v="368.5"/>
    <n v="1"/>
    <n v="368.5"/>
    <n v="4.9000000000000004"/>
    <x v="0"/>
    <x v="0"/>
  </r>
  <r>
    <s v="TRIP02955"/>
    <x v="160"/>
    <x v="3"/>
    <s v="Kolkata"/>
    <n v="7.71"/>
    <d v="1900-01-18T07:12:00"/>
    <n v="113.07"/>
    <n v="1"/>
    <n v="113.07"/>
    <n v="4.3"/>
    <x v="4"/>
    <x v="0"/>
  </r>
  <r>
    <s v="TRIP02956"/>
    <x v="267"/>
    <x v="3"/>
    <s v="Delhi"/>
    <n v="10.26"/>
    <d v="1900-01-22T11:31:12"/>
    <n v="159.34"/>
    <n v="2"/>
    <n v="318.68"/>
    <n v="3.9"/>
    <x v="2"/>
    <x v="1"/>
  </r>
  <r>
    <s v="TRIP02957"/>
    <x v="350"/>
    <x v="1"/>
    <s v="Kolkata"/>
    <n v="24.26"/>
    <d v="1900-03-14T05:02:24"/>
    <n v="408.65"/>
    <n v="1.5"/>
    <n v="612.97"/>
    <n v="3.2"/>
    <x v="4"/>
    <x v="3"/>
  </r>
  <r>
    <s v="TRIP02958"/>
    <x v="223"/>
    <x v="1"/>
    <s v="Delhi"/>
    <n v="25.5"/>
    <d v="1900-02-28T23:31:12"/>
    <n v="492.73"/>
    <n v="1"/>
    <n v="492.73"/>
    <n v="3.9"/>
    <x v="3"/>
    <x v="3"/>
  </r>
  <r>
    <s v="TRIP02959"/>
    <x v="335"/>
    <x v="4"/>
    <s v="Bangalore"/>
    <n v="9.26"/>
    <d v="1900-01-23T09:50:24"/>
    <n v="121.31"/>
    <n v="1.5"/>
    <n v="181.96"/>
    <n v="3.2"/>
    <x v="2"/>
    <x v="3"/>
  </r>
  <r>
    <s v="TRIP02960"/>
    <x v="10"/>
    <x v="1"/>
    <s v="Bangalore"/>
    <n v="26.61"/>
    <d v="1900-03-09T13:55:12"/>
    <n v="450.24"/>
    <n v="1.5"/>
    <n v="675.36"/>
    <n v="3.7"/>
    <x v="2"/>
    <x v="2"/>
  </r>
  <r>
    <s v="TRIP02961"/>
    <x v="198"/>
    <x v="0"/>
    <s v="Mumbai"/>
    <n v="12.61"/>
    <d v="1900-01-27T12:14:24"/>
    <n v="170.22"/>
    <n v="1.2"/>
    <n v="204.26"/>
    <n v="4.4000000000000004"/>
    <x v="1"/>
    <x v="2"/>
  </r>
  <r>
    <s v="TRIP02962"/>
    <x v="280"/>
    <x v="4"/>
    <s v="Bangalore"/>
    <n v="13.92"/>
    <d v="1900-01-29T09:36:00"/>
    <n v="225.39"/>
    <n v="1.5"/>
    <n v="338.08"/>
    <n v="4.2"/>
    <x v="2"/>
    <x v="2"/>
  </r>
  <r>
    <s v="TRIP02963"/>
    <x v="300"/>
    <x v="2"/>
    <s v="Mumbai"/>
    <n v="20.260000000000002"/>
    <d v="1900-03-17T11:31:12"/>
    <n v="295.92"/>
    <n v="1"/>
    <n v="295.92"/>
    <n v="5"/>
    <x v="1"/>
    <x v="0"/>
  </r>
  <r>
    <s v="TRIP02964"/>
    <x v="317"/>
    <x v="3"/>
    <s v="Delhi"/>
    <n v="22.02"/>
    <d v="1900-03-03T15:36:00"/>
    <n v="233.49"/>
    <n v="2"/>
    <n v="466.98"/>
    <n v="4.0999999999999996"/>
    <x v="4"/>
    <x v="3"/>
  </r>
  <r>
    <s v="TRIP02965"/>
    <x v="19"/>
    <x v="1"/>
    <s v="Delhi"/>
    <n v="21.32"/>
    <d v="1900-02-11T14:52:48"/>
    <n v="397.04"/>
    <n v="1.2"/>
    <n v="476.45"/>
    <n v="4.2"/>
    <x v="2"/>
    <x v="0"/>
  </r>
  <r>
    <s v="TRIP02966"/>
    <x v="93"/>
    <x v="1"/>
    <s v="Kolkata"/>
    <n v="18.32"/>
    <d v="1900-02-21T09:36:00"/>
    <n v="245.63"/>
    <n v="1.2"/>
    <n v="294.76"/>
    <n v="4.9000000000000004"/>
    <x v="0"/>
    <x v="3"/>
  </r>
  <r>
    <s v="TRIP02967"/>
    <x v="352"/>
    <x v="4"/>
    <s v="Chennai"/>
    <n v="13.71"/>
    <d v="1900-02-05T06:14:24"/>
    <n v="214.73"/>
    <n v="1.2"/>
    <n v="257.68"/>
    <n v="4"/>
    <x v="4"/>
    <x v="1"/>
  </r>
  <r>
    <s v="TRIP02968"/>
    <x v="184"/>
    <x v="1"/>
    <s v="Mumbai"/>
    <n v="15.53"/>
    <d v="1900-02-05T02:09:36"/>
    <n v="229.39"/>
    <n v="1"/>
    <n v="229.39"/>
    <n v="3.4"/>
    <x v="3"/>
    <x v="3"/>
  </r>
  <r>
    <s v="TRIP02969"/>
    <x v="45"/>
    <x v="4"/>
    <s v="Bangalore"/>
    <n v="20.71"/>
    <d v="1900-03-04T02:52:48"/>
    <n v="242.22"/>
    <n v="1"/>
    <n v="242.22"/>
    <n v="3.8"/>
    <x v="2"/>
    <x v="0"/>
  </r>
  <r>
    <s v="TRIP02970"/>
    <x v="178"/>
    <x v="2"/>
    <s v="Bangalore"/>
    <n v="9.52"/>
    <d v="1900-02-02T19:26:24"/>
    <n v="155.99"/>
    <n v="1.5"/>
    <n v="233.98"/>
    <n v="3.7"/>
    <x v="3"/>
    <x v="0"/>
  </r>
  <r>
    <s v="TRIP02971"/>
    <x v="167"/>
    <x v="3"/>
    <s v="Kolkata"/>
    <n v="22.48"/>
    <d v="1900-03-22T13:40:48"/>
    <n v="237.11"/>
    <n v="1.2"/>
    <n v="284.52999999999997"/>
    <n v="3.2"/>
    <x v="1"/>
    <x v="0"/>
  </r>
  <r>
    <s v="TRIP02972"/>
    <x v="240"/>
    <x v="0"/>
    <s v="Bangalore"/>
    <n v="3.02"/>
    <d v="1900-01-08T02:38:24"/>
    <n v="32.69"/>
    <n v="2"/>
    <n v="65.38"/>
    <n v="3.7"/>
    <x v="2"/>
    <x v="2"/>
  </r>
  <r>
    <s v="TRIP02973"/>
    <x v="107"/>
    <x v="1"/>
    <s v="Delhi"/>
    <n v="20.5"/>
    <d v="1900-03-01T00:57:36"/>
    <n v="223.3"/>
    <n v="1.2"/>
    <n v="267.95999999999998"/>
    <n v="4.2"/>
    <x v="4"/>
    <x v="1"/>
  </r>
  <r>
    <s v="TRIP02974"/>
    <x v="234"/>
    <x v="2"/>
    <s v="Kolkata"/>
    <n v="6.53"/>
    <d v="1900-01-12T03:36:00"/>
    <n v="77.14"/>
    <n v="2"/>
    <n v="154.28"/>
    <n v="3.2"/>
    <x v="4"/>
    <x v="2"/>
  </r>
  <r>
    <s v="TRIP02975"/>
    <x v="231"/>
    <x v="1"/>
    <s v="Bangalore"/>
    <n v="27.66"/>
    <d v="1900-03-25T05:02:24"/>
    <n v="471.77"/>
    <n v="1.5"/>
    <n v="707.66"/>
    <n v="4.0999999999999996"/>
    <x v="0"/>
    <x v="1"/>
  </r>
  <r>
    <s v="TRIP02976"/>
    <x v="118"/>
    <x v="4"/>
    <s v="Kolkata"/>
    <n v="12.31"/>
    <d v="1900-02-12T13:26:24"/>
    <n v="173.28"/>
    <n v="1.5"/>
    <n v="259.92"/>
    <n v="4.2"/>
    <x v="4"/>
    <x v="3"/>
  </r>
  <r>
    <s v="TRIP02977"/>
    <x v="146"/>
    <x v="2"/>
    <s v="Kolkata"/>
    <n v="25.83"/>
    <d v="1900-04-10T06:43:12"/>
    <n v="436.12"/>
    <n v="1.5"/>
    <n v="654.17999999999995"/>
    <n v="4.2"/>
    <x v="4"/>
    <x v="3"/>
  </r>
  <r>
    <s v="TRIP02978"/>
    <x v="110"/>
    <x v="2"/>
    <s v="Bangalore"/>
    <n v="20.22"/>
    <d v="1900-03-14T13:55:12"/>
    <n v="357.06"/>
    <n v="1"/>
    <n v="357.06"/>
    <n v="4.0999999999999996"/>
    <x v="4"/>
    <x v="2"/>
  </r>
  <r>
    <s v="TRIP02979"/>
    <x v="359"/>
    <x v="3"/>
    <s v="Mumbai"/>
    <n v="6.4"/>
    <d v="1900-01-15T12:57:36"/>
    <n v="113.8"/>
    <n v="1"/>
    <n v="113.8"/>
    <n v="4.3"/>
    <x v="2"/>
    <x v="0"/>
  </r>
  <r>
    <s v="TRIP02980"/>
    <x v="251"/>
    <x v="3"/>
    <s v="Kolkata"/>
    <n v="14.49"/>
    <d v="1900-01-30T11:45:36"/>
    <n v="153.15"/>
    <n v="1"/>
    <n v="153.15"/>
    <n v="4.5999999999999996"/>
    <x v="4"/>
    <x v="1"/>
  </r>
  <r>
    <s v="TRIP02981"/>
    <x v="182"/>
    <x v="4"/>
    <s v="Chennai"/>
    <n v="29.75"/>
    <d v="1900-04-17T01:40:48"/>
    <n v="508.12"/>
    <n v="1"/>
    <n v="508.12"/>
    <n v="4.7"/>
    <x v="3"/>
    <x v="1"/>
  </r>
  <r>
    <s v="TRIP02982"/>
    <x v="172"/>
    <x v="4"/>
    <s v="Delhi"/>
    <n v="4.78"/>
    <d v="1900-01-16T04:19:12"/>
    <n v="81.73"/>
    <n v="1.5"/>
    <n v="122.6"/>
    <n v="5"/>
    <x v="1"/>
    <x v="2"/>
  </r>
  <r>
    <s v="TRIP02983"/>
    <x v="108"/>
    <x v="2"/>
    <s v="Delhi"/>
    <n v="3.54"/>
    <d v="1900-01-10T17:16:48"/>
    <n v="67.66"/>
    <n v="1"/>
    <n v="67.66"/>
    <n v="3.4"/>
    <x v="0"/>
    <x v="0"/>
  </r>
  <r>
    <s v="TRIP02984"/>
    <x v="195"/>
    <x v="2"/>
    <s v="Delhi"/>
    <n v="16.850000000000001"/>
    <d v="1900-03-04T16:48:00"/>
    <n v="335.62"/>
    <n v="1.2"/>
    <n v="402.74"/>
    <n v="3.8"/>
    <x v="0"/>
    <x v="3"/>
  </r>
  <r>
    <s v="TRIP02985"/>
    <x v="128"/>
    <x v="2"/>
    <s v="Chennai"/>
    <n v="2.41"/>
    <d v="1900-01-07T09:50:24"/>
    <n v="42.08"/>
    <n v="1"/>
    <n v="42.08"/>
    <n v="4.9000000000000004"/>
    <x v="2"/>
    <x v="1"/>
  </r>
  <r>
    <s v="TRIP02986"/>
    <x v="98"/>
    <x v="0"/>
    <s v="Bangalore"/>
    <n v="8.07"/>
    <d v="1900-01-15T12:00:00"/>
    <n v="145.96"/>
    <n v="1.2"/>
    <n v="175.15"/>
    <n v="3.8"/>
    <x v="1"/>
    <x v="2"/>
  </r>
  <r>
    <s v="TRIP02987"/>
    <x v="10"/>
    <x v="4"/>
    <s v="Bangalore"/>
    <n v="11.12"/>
    <d v="1900-02-08T03:21:36"/>
    <n v="213.36"/>
    <n v="2"/>
    <n v="426.72"/>
    <n v="4.5"/>
    <x v="3"/>
    <x v="2"/>
  </r>
  <r>
    <s v="TRIP02988"/>
    <x v="240"/>
    <x v="2"/>
    <s v="Bangalore"/>
    <n v="6.88"/>
    <d v="1900-01-16T23:02:24"/>
    <n v="102.84"/>
    <n v="1.5"/>
    <n v="154.26"/>
    <n v="3.4"/>
    <x v="4"/>
    <x v="1"/>
  </r>
  <r>
    <s v="TRIP02989"/>
    <x v="9"/>
    <x v="4"/>
    <s v="Chennai"/>
    <n v="18.149999999999999"/>
    <d v="1900-02-08T16:48:00"/>
    <n v="214.9"/>
    <n v="1.5"/>
    <n v="322.35000000000002"/>
    <n v="3.3"/>
    <x v="4"/>
    <x v="2"/>
  </r>
  <r>
    <s v="TRIP02990"/>
    <x v="97"/>
    <x v="1"/>
    <s v="Chennai"/>
    <n v="22.3"/>
    <d v="1900-02-15T19:55:12"/>
    <n v="422.65"/>
    <n v="1.5"/>
    <n v="633.97"/>
    <n v="3.4"/>
    <x v="4"/>
    <x v="2"/>
  </r>
  <r>
    <s v="TRIP02991"/>
    <x v="291"/>
    <x v="3"/>
    <s v="Chennai"/>
    <n v="28.83"/>
    <d v="1900-03-03T10:19:12"/>
    <n v="427.34"/>
    <n v="2"/>
    <n v="854.68"/>
    <n v="4.5999999999999996"/>
    <x v="4"/>
    <x v="2"/>
  </r>
  <r>
    <s v="TRIP02992"/>
    <x v="286"/>
    <x v="0"/>
    <s v="Kolkata"/>
    <n v="8.32"/>
    <d v="1900-01-30T19:12:00"/>
    <n v="116.35"/>
    <n v="1.2"/>
    <n v="139.62"/>
    <n v="4.0999999999999996"/>
    <x v="4"/>
    <x v="0"/>
  </r>
  <r>
    <s v="TRIP02993"/>
    <x v="228"/>
    <x v="0"/>
    <s v="Chennai"/>
    <n v="29.53"/>
    <d v="1900-03-28T19:40:48"/>
    <n v="429.89"/>
    <n v="2"/>
    <n v="859.78"/>
    <n v="3.2"/>
    <x v="3"/>
    <x v="3"/>
  </r>
  <r>
    <s v="TRIP02994"/>
    <x v="240"/>
    <x v="1"/>
    <s v="Chennai"/>
    <n v="20.05"/>
    <d v="1900-03-04T13:40:48"/>
    <n v="342.53"/>
    <n v="1"/>
    <n v="342.53"/>
    <n v="4.2"/>
    <x v="1"/>
    <x v="0"/>
  </r>
  <r>
    <s v="TRIP02995"/>
    <x v="192"/>
    <x v="2"/>
    <s v="Chennai"/>
    <n v="9.44"/>
    <d v="1900-01-20T07:55:12"/>
    <n v="173.98"/>
    <n v="2"/>
    <n v="347.96"/>
    <n v="4.3"/>
    <x v="1"/>
    <x v="2"/>
  </r>
  <r>
    <s v="TRIP02996"/>
    <x v="330"/>
    <x v="3"/>
    <s v="Chennai"/>
    <n v="10.9"/>
    <d v="1900-02-10T20:52:48"/>
    <n v="173.76"/>
    <n v="1"/>
    <n v="173.76"/>
    <n v="3.1"/>
    <x v="4"/>
    <x v="3"/>
  </r>
  <r>
    <s v="TRIP02997"/>
    <x v="75"/>
    <x v="4"/>
    <s v="Kolkata"/>
    <n v="21.48"/>
    <d v="1900-02-16T13:40:48"/>
    <n v="352.05"/>
    <n v="1.5"/>
    <n v="528.08000000000004"/>
    <n v="4.0999999999999996"/>
    <x v="1"/>
    <x v="1"/>
  </r>
  <r>
    <s v="TRIP02998"/>
    <x v="234"/>
    <x v="2"/>
    <s v="Mumbai"/>
    <n v="8.83"/>
    <d v="1900-01-22T21:21:36"/>
    <n v="165.27"/>
    <n v="1"/>
    <n v="165.27"/>
    <n v="4.0999999999999996"/>
    <x v="0"/>
    <x v="3"/>
  </r>
  <r>
    <s v="TRIP02999"/>
    <x v="131"/>
    <x v="4"/>
    <s v="Bangalore"/>
    <n v="21.38"/>
    <d v="1900-03-25T12:28:48"/>
    <n v="306.87"/>
    <n v="1.2"/>
    <n v="368.24"/>
    <n v="3.5"/>
    <x v="2"/>
    <x v="0"/>
  </r>
  <r>
    <s v="TRIP03000"/>
    <x v="77"/>
    <x v="2"/>
    <s v="Kolkata"/>
    <n v="14.43"/>
    <d v="1900-02-06T05:02:24"/>
    <n v="232.14"/>
    <n v="1"/>
    <n v="232.14"/>
    <n v="4.2"/>
    <x v="1"/>
    <x v="2"/>
  </r>
  <r>
    <s v="TRIP03001"/>
    <x v="288"/>
    <x v="0"/>
    <s v="Delhi"/>
    <n v="4.1500000000000004"/>
    <d v="1900-01-10T20:38:24"/>
    <n v="60.79"/>
    <n v="1"/>
    <n v="60.79"/>
    <n v="4"/>
    <x v="2"/>
    <x v="3"/>
  </r>
  <r>
    <s v="TRIP03002"/>
    <x v="117"/>
    <x v="1"/>
    <s v="Chennai"/>
    <n v="25.97"/>
    <d v="1900-03-05T02:38:24"/>
    <n v="424.2"/>
    <n v="1.5"/>
    <n v="636.29999999999995"/>
    <n v="4.7"/>
    <x v="2"/>
    <x v="3"/>
  </r>
  <r>
    <s v="TRIP03003"/>
    <x v="87"/>
    <x v="3"/>
    <s v="Bangalore"/>
    <n v="27.08"/>
    <d v="1900-03-03T03:36:00"/>
    <n v="450.39"/>
    <n v="2"/>
    <n v="900.78"/>
    <n v="3.6"/>
    <x v="1"/>
    <x v="3"/>
  </r>
  <r>
    <s v="TRIP03004"/>
    <x v="220"/>
    <x v="1"/>
    <s v="Delhi"/>
    <n v="28.24"/>
    <d v="1900-04-11T04:33:36"/>
    <n v="514.14"/>
    <n v="1.5"/>
    <n v="771.21"/>
    <n v="3.5"/>
    <x v="4"/>
    <x v="0"/>
  </r>
  <r>
    <s v="TRIP03005"/>
    <x v="315"/>
    <x v="0"/>
    <s v="Delhi"/>
    <n v="1.75"/>
    <d v="1900-01-03T07:55:12"/>
    <n v="31.05"/>
    <n v="1.5"/>
    <n v="46.58"/>
    <n v="3.4"/>
    <x v="0"/>
    <x v="2"/>
  </r>
  <r>
    <s v="TRIP03006"/>
    <x v="177"/>
    <x v="4"/>
    <s v="Chennai"/>
    <n v="8.31"/>
    <d v="1900-01-22T04:33:36"/>
    <n v="164.8"/>
    <n v="1"/>
    <n v="164.8"/>
    <n v="3.7"/>
    <x v="4"/>
    <x v="2"/>
  </r>
  <r>
    <s v="TRIP03007"/>
    <x v="75"/>
    <x v="3"/>
    <s v="Kolkata"/>
    <n v="9.73"/>
    <d v="1900-01-20T14:09:36"/>
    <n v="144.97"/>
    <n v="1.2"/>
    <n v="173.96"/>
    <n v="3.9"/>
    <x v="2"/>
    <x v="3"/>
  </r>
  <r>
    <s v="TRIP03008"/>
    <x v="23"/>
    <x v="4"/>
    <s v="Kolkata"/>
    <n v="24.71"/>
    <d v="1900-03-16T07:40:48"/>
    <n v="255.06"/>
    <n v="1.2"/>
    <n v="306.07"/>
    <n v="3.9"/>
    <x v="3"/>
    <x v="2"/>
  </r>
  <r>
    <s v="TRIP03009"/>
    <x v="340"/>
    <x v="2"/>
    <s v="Mumbai"/>
    <n v="18.87"/>
    <d v="1900-03-03T14:09:36"/>
    <n v="226.02"/>
    <n v="1"/>
    <n v="226.02"/>
    <n v="4.0999999999999996"/>
    <x v="2"/>
    <x v="0"/>
  </r>
  <r>
    <s v="TRIP03010"/>
    <x v="60"/>
    <x v="1"/>
    <s v="Bangalore"/>
    <n v="24.58"/>
    <d v="1900-03-04T03:50:24"/>
    <n v="390"/>
    <n v="1.2"/>
    <n v="468"/>
    <n v="4.7"/>
    <x v="0"/>
    <x v="0"/>
  </r>
  <r>
    <s v="TRIP03011"/>
    <x v="109"/>
    <x v="3"/>
    <s v="Bangalore"/>
    <n v="24.78"/>
    <d v="1900-02-18T00:43:12"/>
    <n v="248.7"/>
    <n v="1.2"/>
    <n v="298.44"/>
    <n v="5"/>
    <x v="1"/>
    <x v="1"/>
  </r>
  <r>
    <s v="TRIP03012"/>
    <x v="121"/>
    <x v="2"/>
    <s v="Kolkata"/>
    <n v="23.88"/>
    <d v="1900-04-01T04:19:12"/>
    <n v="266.95999999999998"/>
    <n v="1"/>
    <n v="266.95999999999998"/>
    <n v="4.2"/>
    <x v="4"/>
    <x v="1"/>
  </r>
  <r>
    <s v="TRIP03013"/>
    <x v="313"/>
    <x v="1"/>
    <s v="Delhi"/>
    <n v="20.78"/>
    <d v="1900-03-03T14:38:24"/>
    <n v="225.09"/>
    <n v="1.5"/>
    <n v="337.64"/>
    <n v="4.2"/>
    <x v="4"/>
    <x v="3"/>
  </r>
  <r>
    <s v="TRIP03014"/>
    <x v="42"/>
    <x v="0"/>
    <s v="Bangalore"/>
    <n v="25.72"/>
    <d v="1900-03-27T20:09:36"/>
    <n v="417.15"/>
    <n v="1"/>
    <n v="417.15"/>
    <n v="4"/>
    <x v="3"/>
    <x v="2"/>
  </r>
  <r>
    <s v="TRIP03015"/>
    <x v="36"/>
    <x v="0"/>
    <s v="Delhi"/>
    <n v="12.86"/>
    <d v="1900-01-25T10:48:00"/>
    <n v="155.74"/>
    <n v="1.5"/>
    <n v="233.61"/>
    <n v="3.2"/>
    <x v="4"/>
    <x v="3"/>
  </r>
  <r>
    <s v="TRIP03016"/>
    <x v="312"/>
    <x v="3"/>
    <s v="Chennai"/>
    <n v="2.2799999999999998"/>
    <d v="1900-01-06T06:00:00"/>
    <n v="35.33"/>
    <n v="1"/>
    <n v="35.33"/>
    <n v="3.5"/>
    <x v="3"/>
    <x v="2"/>
  </r>
  <r>
    <s v="TRIP03017"/>
    <x v="311"/>
    <x v="0"/>
    <s v="Delhi"/>
    <n v="3.88"/>
    <d v="1900-01-13T09:21:36"/>
    <n v="38.81"/>
    <n v="2"/>
    <n v="77.62"/>
    <n v="3.1"/>
    <x v="1"/>
    <x v="2"/>
  </r>
  <r>
    <s v="TRIP03018"/>
    <x v="151"/>
    <x v="1"/>
    <s v="Delhi"/>
    <n v="22.98"/>
    <d v="1900-03-02T13:55:12"/>
    <n v="399.44"/>
    <n v="1.2"/>
    <n v="479.33"/>
    <n v="4.4000000000000004"/>
    <x v="0"/>
    <x v="1"/>
  </r>
  <r>
    <s v="TRIP03019"/>
    <x v="188"/>
    <x v="1"/>
    <s v="Mumbai"/>
    <n v="2.48"/>
    <d v="1900-01-06T08:09:36"/>
    <n v="42.73"/>
    <n v="1.5"/>
    <n v="64.099999999999994"/>
    <n v="3.1"/>
    <x v="1"/>
    <x v="2"/>
  </r>
  <r>
    <s v="TRIP03020"/>
    <x v="278"/>
    <x v="2"/>
    <s v="Bangalore"/>
    <n v="6.33"/>
    <d v="1900-01-16T05:02:24"/>
    <n v="87.57"/>
    <n v="1.2"/>
    <n v="105.08"/>
    <n v="4"/>
    <x v="3"/>
    <x v="2"/>
  </r>
  <r>
    <s v="TRIP03021"/>
    <x v="217"/>
    <x v="1"/>
    <s v="Bangalore"/>
    <n v="17.559999999999999"/>
    <d v="1900-02-04T11:45:36"/>
    <n v="307.42"/>
    <n v="1.2"/>
    <n v="368.9"/>
    <n v="3.9"/>
    <x v="1"/>
    <x v="3"/>
  </r>
  <r>
    <s v="TRIP03022"/>
    <x v="118"/>
    <x v="2"/>
    <s v="Bangalore"/>
    <n v="6.21"/>
    <d v="1900-01-18T03:07:12"/>
    <n v="105.88"/>
    <n v="1.5"/>
    <n v="158.82"/>
    <n v="3.9"/>
    <x v="4"/>
    <x v="2"/>
  </r>
  <r>
    <s v="TRIP03023"/>
    <x v="363"/>
    <x v="1"/>
    <s v="Mumbai"/>
    <n v="5.24"/>
    <d v="1900-01-18T06:00:00"/>
    <n v="74.7"/>
    <n v="1.5"/>
    <n v="112.05"/>
    <n v="3.1"/>
    <x v="2"/>
    <x v="3"/>
  </r>
  <r>
    <s v="TRIP03024"/>
    <x v="234"/>
    <x v="4"/>
    <s v="Delhi"/>
    <n v="13.08"/>
    <d v="1900-02-10T07:55:12"/>
    <n v="217.83"/>
    <n v="1.5"/>
    <n v="326.74"/>
    <n v="4.8"/>
    <x v="1"/>
    <x v="0"/>
  </r>
  <r>
    <s v="TRIP03025"/>
    <x v="141"/>
    <x v="4"/>
    <s v="Kolkata"/>
    <n v="8.74"/>
    <d v="1900-01-18T12:43:12"/>
    <n v="88.8"/>
    <n v="1.2"/>
    <n v="106.56"/>
    <n v="3.7"/>
    <x v="2"/>
    <x v="1"/>
  </r>
  <r>
    <s v="TRIP03026"/>
    <x v="4"/>
    <x v="1"/>
    <s v="Kolkata"/>
    <n v="17"/>
    <d v="1900-02-04T04:19:12"/>
    <n v="193.16"/>
    <n v="1.5"/>
    <n v="289.74"/>
    <n v="3.9"/>
    <x v="1"/>
    <x v="3"/>
  </r>
  <r>
    <s v="TRIP03027"/>
    <x v="61"/>
    <x v="4"/>
    <s v="Kolkata"/>
    <n v="18.86"/>
    <d v="1900-02-26T11:45:36"/>
    <n v="235.84"/>
    <n v="1.5"/>
    <n v="353.76"/>
    <n v="4.5"/>
    <x v="1"/>
    <x v="3"/>
  </r>
  <r>
    <s v="TRIP03028"/>
    <x v="52"/>
    <x v="4"/>
    <s v="Bangalore"/>
    <n v="7.57"/>
    <d v="1900-01-27T17:31:12"/>
    <n v="149.86000000000001"/>
    <n v="1"/>
    <n v="149.86000000000001"/>
    <n v="3.2"/>
    <x v="0"/>
    <x v="2"/>
  </r>
  <r>
    <s v="TRIP03029"/>
    <x v="233"/>
    <x v="1"/>
    <s v="Mumbai"/>
    <n v="19.64"/>
    <d v="1900-02-08T13:55:12"/>
    <n v="392.16"/>
    <n v="1.2"/>
    <n v="470.59"/>
    <n v="3.2"/>
    <x v="2"/>
    <x v="0"/>
  </r>
  <r>
    <s v="TRIP03030"/>
    <x v="85"/>
    <x v="2"/>
    <s v="Bangalore"/>
    <n v="19.73"/>
    <d v="1900-02-24T16:19:12"/>
    <n v="246.73"/>
    <n v="2"/>
    <n v="493.46"/>
    <n v="3.7"/>
    <x v="3"/>
    <x v="0"/>
  </r>
  <r>
    <s v="TRIP03031"/>
    <x v="329"/>
    <x v="0"/>
    <s v="Kolkata"/>
    <n v="26.5"/>
    <d v="1900-03-22T01:40:48"/>
    <n v="340.57"/>
    <n v="1.2"/>
    <n v="408.68"/>
    <n v="4.5999999999999996"/>
    <x v="2"/>
    <x v="2"/>
  </r>
  <r>
    <s v="TRIP03032"/>
    <x v="25"/>
    <x v="3"/>
    <s v="Kolkata"/>
    <n v="7.4"/>
    <d v="1900-01-22T21:36:00"/>
    <n v="138.41"/>
    <n v="1.2"/>
    <n v="166.09"/>
    <n v="3.3"/>
    <x v="2"/>
    <x v="2"/>
  </r>
  <r>
    <s v="TRIP03033"/>
    <x v="80"/>
    <x v="4"/>
    <s v="Kolkata"/>
    <n v="19.82"/>
    <d v="1900-03-04T04:19:12"/>
    <n v="360.89"/>
    <n v="1.2"/>
    <n v="433.07"/>
    <n v="3.9"/>
    <x v="2"/>
    <x v="0"/>
  </r>
  <r>
    <s v="TRIP03034"/>
    <x v="143"/>
    <x v="2"/>
    <s v="Kolkata"/>
    <n v="1.79"/>
    <d v="1900-01-05T01:40:48"/>
    <n v="35.090000000000003"/>
    <n v="2"/>
    <n v="70.180000000000007"/>
    <n v="4.8"/>
    <x v="3"/>
    <x v="2"/>
  </r>
  <r>
    <s v="TRIP03035"/>
    <x v="248"/>
    <x v="0"/>
    <s v="Delhi"/>
    <n v="17.899999999999999"/>
    <d v="1900-03-02T00:28:48"/>
    <n v="240.64"/>
    <n v="2"/>
    <n v="481.28"/>
    <n v="4.4000000000000004"/>
    <x v="4"/>
    <x v="2"/>
  </r>
  <r>
    <s v="TRIP03036"/>
    <x v="102"/>
    <x v="0"/>
    <s v="Delhi"/>
    <n v="21.62"/>
    <d v="1900-02-27T18:14:24"/>
    <n v="413.25"/>
    <n v="1.2"/>
    <n v="495.9"/>
    <n v="3.4"/>
    <x v="3"/>
    <x v="0"/>
  </r>
  <r>
    <s v="TRIP03037"/>
    <x v="115"/>
    <x v="3"/>
    <s v="Mumbai"/>
    <n v="11.56"/>
    <d v="1900-02-06T03:36:00"/>
    <n v="215.21"/>
    <n v="1.5"/>
    <n v="322.82"/>
    <n v="3.2"/>
    <x v="3"/>
    <x v="3"/>
  </r>
  <r>
    <s v="TRIP03038"/>
    <x v="162"/>
    <x v="3"/>
    <s v="Bangalore"/>
    <n v="24.57"/>
    <d v="1900-03-17T23:31:12"/>
    <n v="432.59"/>
    <n v="1.2"/>
    <n v="519.11"/>
    <n v="3.1"/>
    <x v="2"/>
    <x v="1"/>
  </r>
  <r>
    <s v="TRIP03039"/>
    <x v="146"/>
    <x v="4"/>
    <s v="Kolkata"/>
    <n v="26.02"/>
    <d v="1900-03-17T23:02:24"/>
    <n v="324.19"/>
    <n v="1.5"/>
    <n v="486.28"/>
    <n v="4.5999999999999996"/>
    <x v="2"/>
    <x v="0"/>
  </r>
  <r>
    <s v="TRIP03040"/>
    <x v="95"/>
    <x v="0"/>
    <s v="Bangalore"/>
    <n v="19.34"/>
    <d v="1900-02-20T02:52:48"/>
    <n v="286.86"/>
    <n v="1.5"/>
    <n v="430.29"/>
    <n v="4.8"/>
    <x v="3"/>
    <x v="3"/>
  </r>
  <r>
    <s v="TRIP03041"/>
    <x v="48"/>
    <x v="1"/>
    <s v="Chennai"/>
    <n v="10.37"/>
    <d v="1900-01-27T07:40:48"/>
    <n v="108.42"/>
    <n v="1.5"/>
    <n v="162.63"/>
    <n v="3.1"/>
    <x v="1"/>
    <x v="3"/>
  </r>
  <r>
    <s v="TRIP03042"/>
    <x v="275"/>
    <x v="4"/>
    <s v="Kolkata"/>
    <n v="23.43"/>
    <d v="1900-02-21T21:07:12"/>
    <n v="338.37"/>
    <n v="1.2"/>
    <n v="406.04"/>
    <n v="4"/>
    <x v="3"/>
    <x v="3"/>
  </r>
  <r>
    <s v="TRIP03043"/>
    <x v="355"/>
    <x v="4"/>
    <s v="Kolkata"/>
    <n v="5.58"/>
    <d v="1900-01-20T06:00:00"/>
    <n v="68.67"/>
    <n v="1.5"/>
    <n v="103"/>
    <n v="3.2"/>
    <x v="3"/>
    <x v="2"/>
  </r>
  <r>
    <s v="TRIP03044"/>
    <x v="245"/>
    <x v="1"/>
    <s v="Delhi"/>
    <n v="14.3"/>
    <d v="1900-01-28T06:57:36"/>
    <n v="213.73"/>
    <n v="1.2"/>
    <n v="256.48"/>
    <n v="3.8"/>
    <x v="1"/>
    <x v="1"/>
  </r>
  <r>
    <s v="TRIP03045"/>
    <x v="294"/>
    <x v="4"/>
    <s v="Delhi"/>
    <n v="18.059999999999999"/>
    <d v="1900-02-13T09:21:36"/>
    <n v="282.41000000000003"/>
    <n v="1.2"/>
    <n v="338.89"/>
    <n v="4.9000000000000004"/>
    <x v="3"/>
    <x v="0"/>
  </r>
  <r>
    <s v="TRIP03046"/>
    <x v="136"/>
    <x v="2"/>
    <s v="Kolkata"/>
    <n v="27.83"/>
    <d v="1900-04-13T07:55:12"/>
    <n v="373.41"/>
    <n v="1.2"/>
    <n v="448.09"/>
    <n v="4.7"/>
    <x v="3"/>
    <x v="1"/>
  </r>
  <r>
    <s v="TRIP03047"/>
    <x v="336"/>
    <x v="0"/>
    <s v="Delhi"/>
    <n v="19.89"/>
    <d v="1900-03-01T01:26:24"/>
    <n v="290.26"/>
    <n v="2"/>
    <n v="580.52"/>
    <n v="3.8"/>
    <x v="0"/>
    <x v="2"/>
  </r>
  <r>
    <s v="TRIP03048"/>
    <x v="278"/>
    <x v="0"/>
    <s v="Chennai"/>
    <n v="11.25"/>
    <d v="1900-02-04T15:36:00"/>
    <n v="212.09"/>
    <n v="1.5"/>
    <n v="318.14"/>
    <n v="4"/>
    <x v="2"/>
    <x v="0"/>
  </r>
  <r>
    <s v="TRIP03049"/>
    <x v="162"/>
    <x v="0"/>
    <s v="Kolkata"/>
    <n v="9.2799999999999994"/>
    <d v="1900-01-24T00:43:12"/>
    <n v="138.6"/>
    <n v="1.2"/>
    <n v="166.32"/>
    <n v="3.7"/>
    <x v="2"/>
    <x v="1"/>
  </r>
  <r>
    <s v="TRIP03050"/>
    <x v="177"/>
    <x v="0"/>
    <s v="Bangalore"/>
    <n v="5.74"/>
    <d v="1900-01-14T10:04:48"/>
    <n v="89.66"/>
    <n v="2"/>
    <n v="179.32"/>
    <n v="4.7"/>
    <x v="0"/>
    <x v="0"/>
  </r>
  <r>
    <s v="TRIP03051"/>
    <x v="302"/>
    <x v="0"/>
    <s v="Kolkata"/>
    <n v="22.42"/>
    <d v="1900-03-17T21:36:00"/>
    <n v="320.07"/>
    <n v="1.5"/>
    <n v="480.1"/>
    <n v="4.8"/>
    <x v="2"/>
    <x v="2"/>
  </r>
  <r>
    <s v="TRIP03052"/>
    <x v="343"/>
    <x v="3"/>
    <s v="Delhi"/>
    <n v="3.07"/>
    <d v="1900-01-07T03:21:36"/>
    <n v="37.85"/>
    <n v="2"/>
    <n v="75.7"/>
    <n v="4.3"/>
    <x v="0"/>
    <x v="0"/>
  </r>
  <r>
    <s v="TRIP03053"/>
    <x v="176"/>
    <x v="3"/>
    <s v="Delhi"/>
    <n v="5.14"/>
    <d v="1900-01-09T20:24:00"/>
    <n v="83.56"/>
    <n v="1.5"/>
    <n v="125.34"/>
    <n v="3.4"/>
    <x v="2"/>
    <x v="1"/>
  </r>
  <r>
    <s v="TRIP03054"/>
    <x v="38"/>
    <x v="4"/>
    <s v="Bangalore"/>
    <n v="28.75"/>
    <d v="1900-03-24T01:12:00"/>
    <n v="295.95999999999998"/>
    <n v="2"/>
    <n v="591.91999999999996"/>
    <n v="3.2"/>
    <x v="1"/>
    <x v="0"/>
  </r>
  <r>
    <s v="TRIP03055"/>
    <x v="288"/>
    <x v="3"/>
    <s v="Delhi"/>
    <n v="10.53"/>
    <d v="1900-01-20T15:07:12"/>
    <n v="152.09"/>
    <n v="2"/>
    <n v="304.18"/>
    <n v="4.5999999999999996"/>
    <x v="2"/>
    <x v="3"/>
  </r>
  <r>
    <s v="TRIP03056"/>
    <x v="209"/>
    <x v="1"/>
    <s v="Chennai"/>
    <n v="18.97"/>
    <d v="1900-02-07T08:52:48"/>
    <n v="244.84"/>
    <n v="2"/>
    <n v="489.68"/>
    <n v="3.8"/>
    <x v="4"/>
    <x v="2"/>
  </r>
  <r>
    <s v="TRIP03057"/>
    <x v="14"/>
    <x v="0"/>
    <s v="Mumbai"/>
    <n v="9.59"/>
    <d v="1900-01-23T16:48:00"/>
    <n v="190.17"/>
    <n v="1.5"/>
    <n v="285.26"/>
    <n v="3.7"/>
    <x v="2"/>
    <x v="0"/>
  </r>
  <r>
    <s v="TRIP03058"/>
    <x v="286"/>
    <x v="3"/>
    <s v="Delhi"/>
    <n v="2.38"/>
    <d v="1900-01-05T03:07:12"/>
    <n v="35.549999999999997"/>
    <n v="1.2"/>
    <n v="42.66"/>
    <n v="3.1"/>
    <x v="2"/>
    <x v="0"/>
  </r>
  <r>
    <s v="TRIP03059"/>
    <x v="158"/>
    <x v="3"/>
    <s v="Mumbai"/>
    <n v="29.23"/>
    <d v="1900-03-20T16:19:12"/>
    <n v="457.74"/>
    <n v="1.2"/>
    <n v="549.29"/>
    <n v="4.8"/>
    <x v="0"/>
    <x v="1"/>
  </r>
  <r>
    <s v="TRIP03060"/>
    <x v="333"/>
    <x v="2"/>
    <s v="Chennai"/>
    <n v="10.77"/>
    <d v="1900-01-22T22:48:00"/>
    <n v="138.04"/>
    <n v="1.2"/>
    <n v="165.65"/>
    <n v="4.0999999999999996"/>
    <x v="3"/>
    <x v="0"/>
  </r>
  <r>
    <s v="TRIP03061"/>
    <x v="314"/>
    <x v="2"/>
    <s v="Kolkata"/>
    <n v="20.69"/>
    <d v="1900-03-01T17:16:48"/>
    <n v="366.62"/>
    <n v="1.5"/>
    <n v="549.92999999999995"/>
    <n v="3.3"/>
    <x v="4"/>
    <x v="1"/>
  </r>
  <r>
    <s v="TRIP03062"/>
    <x v="2"/>
    <x v="1"/>
    <s v="Kolkata"/>
    <n v="9.16"/>
    <d v="1900-01-21T01:26:24"/>
    <n v="178.24"/>
    <n v="1.2"/>
    <n v="213.89"/>
    <n v="4.5"/>
    <x v="3"/>
    <x v="3"/>
  </r>
  <r>
    <s v="TRIP03063"/>
    <x v="355"/>
    <x v="4"/>
    <s v="Chennai"/>
    <n v="3.34"/>
    <d v="1900-01-12T05:31:12"/>
    <n v="64.08"/>
    <n v="1"/>
    <n v="64.08"/>
    <n v="4.5999999999999996"/>
    <x v="2"/>
    <x v="0"/>
  </r>
  <r>
    <s v="TRIP03064"/>
    <x v="34"/>
    <x v="4"/>
    <s v="Kolkata"/>
    <n v="6.52"/>
    <d v="1900-01-14T22:19:12"/>
    <n v="94.09"/>
    <n v="2"/>
    <n v="188.18"/>
    <n v="4.0999999999999996"/>
    <x v="1"/>
    <x v="2"/>
  </r>
  <r>
    <s v="TRIP03065"/>
    <x v="223"/>
    <x v="1"/>
    <s v="Delhi"/>
    <n v="12.05"/>
    <d v="1900-02-09T10:04:48"/>
    <n v="227.01"/>
    <n v="2"/>
    <n v="454.02"/>
    <n v="3.8"/>
    <x v="2"/>
    <x v="1"/>
  </r>
  <r>
    <s v="TRIP03066"/>
    <x v="30"/>
    <x v="0"/>
    <s v="Bangalore"/>
    <n v="15.83"/>
    <d v="1900-02-21T20:24:00"/>
    <n v="293.75"/>
    <n v="1.2"/>
    <n v="352.5"/>
    <n v="3.6"/>
    <x v="3"/>
    <x v="1"/>
  </r>
  <r>
    <s v="TRIP03067"/>
    <x v="133"/>
    <x v="1"/>
    <s v="Chennai"/>
    <n v="6.15"/>
    <d v="1900-01-13T06:14:24"/>
    <n v="101.93"/>
    <n v="1"/>
    <n v="101.93"/>
    <n v="3.5"/>
    <x v="3"/>
    <x v="3"/>
  </r>
  <r>
    <s v="TRIP03068"/>
    <x v="64"/>
    <x v="4"/>
    <s v="Delhi"/>
    <n v="22.61"/>
    <d v="1900-03-10T20:52:48"/>
    <n v="295.18"/>
    <n v="1.5"/>
    <n v="442.77"/>
    <n v="3.6"/>
    <x v="3"/>
    <x v="0"/>
  </r>
  <r>
    <s v="TRIP03069"/>
    <x v="312"/>
    <x v="2"/>
    <s v="Delhi"/>
    <n v="16.13"/>
    <d v="1900-02-17T01:12:00"/>
    <n v="173.19"/>
    <n v="1"/>
    <n v="173.19"/>
    <n v="4.9000000000000004"/>
    <x v="2"/>
    <x v="3"/>
  </r>
  <r>
    <s v="TRIP03070"/>
    <x v="84"/>
    <x v="3"/>
    <s v="Bangalore"/>
    <n v="19.3"/>
    <d v="1900-02-28T12:57:36"/>
    <n v="364.83"/>
    <n v="1.5"/>
    <n v="547.24"/>
    <n v="4.8"/>
    <x v="0"/>
    <x v="2"/>
  </r>
  <r>
    <s v="TRIP03071"/>
    <x v="64"/>
    <x v="2"/>
    <s v="Bangalore"/>
    <n v="28.84"/>
    <d v="1900-03-10T16:48:00"/>
    <n v="497.59"/>
    <n v="1"/>
    <n v="497.59"/>
    <n v="4.9000000000000004"/>
    <x v="1"/>
    <x v="3"/>
  </r>
  <r>
    <s v="TRIP03072"/>
    <x v="225"/>
    <x v="1"/>
    <s v="Delhi"/>
    <n v="14.71"/>
    <d v="1900-01-30T05:16:48"/>
    <n v="223.89"/>
    <n v="2"/>
    <n v="447.78"/>
    <n v="4.7"/>
    <x v="0"/>
    <x v="0"/>
  </r>
  <r>
    <s v="TRIP03073"/>
    <x v="212"/>
    <x v="3"/>
    <s v="Bangalore"/>
    <n v="10.72"/>
    <d v="1900-01-28T19:55:12"/>
    <n v="213.32"/>
    <n v="1.2"/>
    <n v="255.98"/>
    <n v="3.8"/>
    <x v="4"/>
    <x v="3"/>
  </r>
  <r>
    <s v="TRIP03074"/>
    <x v="97"/>
    <x v="4"/>
    <s v="Mumbai"/>
    <n v="25.14"/>
    <d v="1900-03-21T13:26:24"/>
    <n v="260.81"/>
    <n v="1.2"/>
    <n v="312.97000000000003"/>
    <n v="4"/>
    <x v="4"/>
    <x v="0"/>
  </r>
  <r>
    <s v="TRIP03075"/>
    <x v="134"/>
    <x v="2"/>
    <s v="Kolkata"/>
    <n v="12.71"/>
    <d v="1900-02-07T22:33:36"/>
    <n v="128.07"/>
    <n v="1.5"/>
    <n v="192.1"/>
    <n v="4"/>
    <x v="1"/>
    <x v="0"/>
  </r>
  <r>
    <s v="TRIP03076"/>
    <x v="139"/>
    <x v="4"/>
    <s v="Bangalore"/>
    <n v="22.63"/>
    <d v="1900-02-24T17:31:12"/>
    <n v="424.47"/>
    <n v="1.2"/>
    <n v="509.36"/>
    <n v="4.9000000000000004"/>
    <x v="1"/>
    <x v="0"/>
  </r>
  <r>
    <s v="TRIP03077"/>
    <x v="321"/>
    <x v="4"/>
    <s v="Mumbai"/>
    <n v="26.1"/>
    <d v="1900-03-14T00:14:24"/>
    <n v="456.83"/>
    <n v="1"/>
    <n v="456.83"/>
    <n v="4.5999999999999996"/>
    <x v="4"/>
    <x v="2"/>
  </r>
  <r>
    <s v="TRIP03078"/>
    <x v="233"/>
    <x v="0"/>
    <s v="Kolkata"/>
    <n v="24.49"/>
    <d v="1900-03-17T14:38:24"/>
    <n v="340.55"/>
    <n v="1.2"/>
    <n v="408.66"/>
    <n v="3.3"/>
    <x v="2"/>
    <x v="2"/>
  </r>
  <r>
    <s v="TRIP03079"/>
    <x v="43"/>
    <x v="4"/>
    <s v="Mumbai"/>
    <n v="2.0299999999999998"/>
    <d v="1900-01-06T13:26:24"/>
    <n v="27.61"/>
    <n v="2"/>
    <n v="55.22"/>
    <n v="3.5"/>
    <x v="2"/>
    <x v="3"/>
  </r>
  <r>
    <s v="TRIP03080"/>
    <x v="71"/>
    <x v="0"/>
    <s v="Delhi"/>
    <n v="5.4"/>
    <d v="1900-01-15T22:04:48"/>
    <n v="95.28"/>
    <n v="1.2"/>
    <n v="114.34"/>
    <n v="4.5999999999999996"/>
    <x v="0"/>
    <x v="1"/>
  </r>
  <r>
    <s v="TRIP03081"/>
    <x v="347"/>
    <x v="4"/>
    <s v="Kolkata"/>
    <n v="19.12"/>
    <d v="1900-03-07T05:02:24"/>
    <n v="352"/>
    <n v="1.5"/>
    <n v="528"/>
    <n v="3"/>
    <x v="3"/>
    <x v="3"/>
  </r>
  <r>
    <s v="TRIP03082"/>
    <x v="186"/>
    <x v="2"/>
    <s v="Bangalore"/>
    <n v="29.91"/>
    <d v="1900-03-25T19:26:24"/>
    <n v="306.42"/>
    <n v="1"/>
    <n v="306.42"/>
    <n v="3.8"/>
    <x v="1"/>
    <x v="3"/>
  </r>
  <r>
    <s v="TRIP03083"/>
    <x v="152"/>
    <x v="1"/>
    <s v="Chennai"/>
    <n v="4.5199999999999996"/>
    <d v="1900-01-10T14:09:36"/>
    <n v="47.61"/>
    <n v="1"/>
    <n v="47.61"/>
    <n v="4.3"/>
    <x v="1"/>
    <x v="0"/>
  </r>
  <r>
    <s v="TRIP03084"/>
    <x v="293"/>
    <x v="2"/>
    <s v="Mumbai"/>
    <n v="6.9"/>
    <d v="1900-01-14T01:55:12"/>
    <n v="73.36"/>
    <n v="2"/>
    <n v="146.72"/>
    <n v="3.4"/>
    <x v="3"/>
    <x v="0"/>
  </r>
  <r>
    <s v="TRIP03085"/>
    <x v="57"/>
    <x v="1"/>
    <s v="Delhi"/>
    <n v="28.98"/>
    <d v="1900-04-17T17:02:24"/>
    <n v="543.65"/>
    <n v="1.5"/>
    <n v="815.47"/>
    <n v="4.0999999999999996"/>
    <x v="1"/>
    <x v="0"/>
  </r>
  <r>
    <s v="TRIP03086"/>
    <x v="189"/>
    <x v="1"/>
    <s v="Bangalore"/>
    <n v="13.02"/>
    <d v="1900-02-17T13:26:24"/>
    <n v="177.43"/>
    <n v="2"/>
    <n v="354.86"/>
    <n v="3.5"/>
    <x v="1"/>
    <x v="0"/>
  </r>
  <r>
    <s v="TRIP03087"/>
    <x v="94"/>
    <x v="1"/>
    <s v="Kolkata"/>
    <n v="29.73"/>
    <d v="1900-04-13T11:02:24"/>
    <n v="546.12"/>
    <n v="1"/>
    <n v="546.12"/>
    <n v="4"/>
    <x v="3"/>
    <x v="1"/>
  </r>
  <r>
    <s v="TRIP03088"/>
    <x v="191"/>
    <x v="0"/>
    <s v="Delhi"/>
    <n v="18.760000000000002"/>
    <d v="1900-03-13T05:02:24"/>
    <n v="341.02"/>
    <n v="1.2"/>
    <n v="409.22"/>
    <n v="4.4000000000000004"/>
    <x v="1"/>
    <x v="0"/>
  </r>
  <r>
    <s v="TRIP03089"/>
    <x v="301"/>
    <x v="1"/>
    <s v="Bangalore"/>
    <n v="10.49"/>
    <d v="1900-02-03T16:48:00"/>
    <n v="150.96"/>
    <n v="1.5"/>
    <n v="226.44"/>
    <n v="3.8"/>
    <x v="4"/>
    <x v="1"/>
  </r>
  <r>
    <s v="TRIP03090"/>
    <x v="360"/>
    <x v="2"/>
    <s v="Kolkata"/>
    <n v="16.309999999999999"/>
    <d v="1900-02-20T00:00:00"/>
    <n v="255.87"/>
    <n v="1.2"/>
    <n v="307.04000000000002"/>
    <n v="4.0999999999999996"/>
    <x v="3"/>
    <x v="3"/>
  </r>
  <r>
    <s v="TRIP03091"/>
    <x v="157"/>
    <x v="4"/>
    <s v="Delhi"/>
    <n v="20.25"/>
    <d v="1900-02-25T21:21:36"/>
    <n v="374.38"/>
    <n v="1.2"/>
    <n v="449.26"/>
    <n v="3.1"/>
    <x v="1"/>
    <x v="1"/>
  </r>
  <r>
    <s v="TRIP03092"/>
    <x v="195"/>
    <x v="0"/>
    <s v="Mumbai"/>
    <n v="17.25"/>
    <d v="1900-02-04T14:38:24"/>
    <n v="285.57"/>
    <n v="2"/>
    <n v="571.14"/>
    <n v="4.7"/>
    <x v="2"/>
    <x v="3"/>
  </r>
  <r>
    <s v="TRIP03093"/>
    <x v="175"/>
    <x v="3"/>
    <s v="Kolkata"/>
    <n v="28.17"/>
    <d v="1900-03-15T13:12:00"/>
    <n v="365.39"/>
    <n v="2"/>
    <n v="730.78"/>
    <n v="4.9000000000000004"/>
    <x v="2"/>
    <x v="1"/>
  </r>
  <r>
    <s v="TRIP03094"/>
    <x v="234"/>
    <x v="2"/>
    <s v="Bangalore"/>
    <n v="20.71"/>
    <d v="1900-02-19T04:48:00"/>
    <n v="285.18"/>
    <n v="2"/>
    <n v="570.36"/>
    <n v="4.4000000000000004"/>
    <x v="2"/>
    <x v="0"/>
  </r>
  <r>
    <s v="TRIP03095"/>
    <x v="216"/>
    <x v="1"/>
    <s v="Delhi"/>
    <n v="26.77"/>
    <d v="1900-03-13T22:04:48"/>
    <n v="510.91"/>
    <n v="1.2"/>
    <n v="613.09"/>
    <n v="3.3"/>
    <x v="2"/>
    <x v="3"/>
  </r>
  <r>
    <s v="TRIP03096"/>
    <x v="284"/>
    <x v="2"/>
    <s v="Mumbai"/>
    <n v="27.98"/>
    <d v="1900-04-15T18:00:00"/>
    <n v="295.74"/>
    <n v="1.2"/>
    <n v="354.89"/>
    <n v="3.2"/>
    <x v="1"/>
    <x v="3"/>
  </r>
  <r>
    <s v="TRIP03097"/>
    <x v="47"/>
    <x v="0"/>
    <s v="Bangalore"/>
    <n v="13.52"/>
    <d v="1900-02-12T08:52:48"/>
    <n v="262.92"/>
    <n v="1.2"/>
    <n v="315.5"/>
    <n v="4.9000000000000004"/>
    <x v="0"/>
    <x v="3"/>
  </r>
  <r>
    <s v="TRIP03098"/>
    <x v="25"/>
    <x v="1"/>
    <s v="Bangalore"/>
    <n v="13.89"/>
    <d v="1900-01-27T02:52:48"/>
    <n v="157.38999999999999"/>
    <n v="1.2"/>
    <n v="188.87"/>
    <n v="4.5999999999999996"/>
    <x v="3"/>
    <x v="1"/>
  </r>
  <r>
    <s v="TRIP03099"/>
    <x v="7"/>
    <x v="4"/>
    <s v="Mumbai"/>
    <n v="5.58"/>
    <d v="1900-01-16T03:21:36"/>
    <n v="109.72"/>
    <n v="1.2"/>
    <n v="131.66"/>
    <n v="4.0999999999999996"/>
    <x v="4"/>
    <x v="0"/>
  </r>
  <r>
    <s v="TRIP03100"/>
    <x v="33"/>
    <x v="0"/>
    <s v="Kolkata"/>
    <n v="27.88"/>
    <d v="1900-04-04T02:38:24"/>
    <n v="321.17"/>
    <n v="1.5"/>
    <n v="481.76"/>
    <n v="3.6"/>
    <x v="1"/>
    <x v="2"/>
  </r>
  <r>
    <s v="TRIP03101"/>
    <x v="290"/>
    <x v="1"/>
    <s v="Delhi"/>
    <n v="13.55"/>
    <d v="1900-02-16T04:19:12"/>
    <n v="210.56"/>
    <n v="2"/>
    <n v="421.12"/>
    <n v="4.2"/>
    <x v="3"/>
    <x v="3"/>
  </r>
  <r>
    <s v="TRIP03102"/>
    <x v="328"/>
    <x v="0"/>
    <s v="Chennai"/>
    <n v="5.68"/>
    <d v="1900-01-10T12:14:24"/>
    <n v="103.45"/>
    <n v="1.5"/>
    <n v="155.18"/>
    <n v="4"/>
    <x v="3"/>
    <x v="0"/>
  </r>
  <r>
    <s v="TRIP03103"/>
    <x v="164"/>
    <x v="0"/>
    <s v="Chennai"/>
    <n v="13.13"/>
    <d v="1900-02-15T07:26:24"/>
    <n v="202.03"/>
    <n v="1"/>
    <n v="202.03"/>
    <n v="4.3"/>
    <x v="2"/>
    <x v="0"/>
  </r>
  <r>
    <s v="TRIP03104"/>
    <x v="53"/>
    <x v="4"/>
    <s v="Delhi"/>
    <n v="7.31"/>
    <d v="1900-01-25T15:50:24"/>
    <n v="115.63"/>
    <n v="1.5"/>
    <n v="173.44"/>
    <n v="4.2"/>
    <x v="0"/>
    <x v="0"/>
  </r>
  <r>
    <s v="TRIP03105"/>
    <x v="183"/>
    <x v="2"/>
    <s v="Delhi"/>
    <n v="29.62"/>
    <d v="1900-03-14T00:28:48"/>
    <n v="349.78"/>
    <n v="1.5"/>
    <n v="524.66999999999996"/>
    <n v="4.8"/>
    <x v="3"/>
    <x v="1"/>
  </r>
  <r>
    <s v="TRIP03106"/>
    <x v="57"/>
    <x v="4"/>
    <s v="Bangalore"/>
    <n v="23.96"/>
    <d v="1900-03-30T06:28:48"/>
    <n v="403.98"/>
    <n v="1"/>
    <n v="403.98"/>
    <n v="3.6"/>
    <x v="1"/>
    <x v="2"/>
  </r>
  <r>
    <s v="TRIP03107"/>
    <x v="8"/>
    <x v="0"/>
    <s v="Delhi"/>
    <n v="12.08"/>
    <d v="1900-02-12T06:57:36"/>
    <n v="162.82"/>
    <n v="1"/>
    <n v="162.82"/>
    <n v="3.1"/>
    <x v="2"/>
    <x v="3"/>
  </r>
  <r>
    <s v="TRIP03108"/>
    <x v="131"/>
    <x v="4"/>
    <s v="Mumbai"/>
    <n v="19.21"/>
    <d v="1900-03-16T14:38:24"/>
    <n v="295.33"/>
    <n v="1"/>
    <n v="295.33"/>
    <n v="4.0999999999999996"/>
    <x v="0"/>
    <x v="3"/>
  </r>
  <r>
    <s v="TRIP03109"/>
    <x v="316"/>
    <x v="1"/>
    <s v="Delhi"/>
    <n v="19.32"/>
    <d v="1900-03-08T04:33:36"/>
    <n v="343.61"/>
    <n v="1.5"/>
    <n v="515.41999999999996"/>
    <n v="3.5"/>
    <x v="1"/>
    <x v="1"/>
  </r>
  <r>
    <s v="TRIP03110"/>
    <x v="153"/>
    <x v="3"/>
    <s v="Kolkata"/>
    <n v="29.29"/>
    <d v="1900-04-25T21:07:12"/>
    <n v="315.04000000000002"/>
    <n v="1"/>
    <n v="315.04000000000002"/>
    <n v="3.5"/>
    <x v="4"/>
    <x v="2"/>
  </r>
  <r>
    <s v="TRIP03111"/>
    <x v="17"/>
    <x v="0"/>
    <s v="Delhi"/>
    <n v="20.99"/>
    <d v="1900-02-24T04:04:48"/>
    <n v="413.03"/>
    <n v="1"/>
    <n v="413.03"/>
    <n v="3.5"/>
    <x v="0"/>
    <x v="2"/>
  </r>
  <r>
    <s v="TRIP03112"/>
    <x v="275"/>
    <x v="0"/>
    <s v="Chennai"/>
    <n v="13.41"/>
    <d v="1900-02-03T13:26:24"/>
    <n v="220.67"/>
    <n v="2"/>
    <n v="441.34"/>
    <n v="3.2"/>
    <x v="2"/>
    <x v="3"/>
  </r>
  <r>
    <s v="TRIP03113"/>
    <x v="112"/>
    <x v="2"/>
    <s v="Kolkata"/>
    <n v="29.44"/>
    <d v="1900-04-15T06:00:00"/>
    <n v="547.59"/>
    <n v="1.2"/>
    <n v="657.11"/>
    <n v="4.0999999999999996"/>
    <x v="1"/>
    <x v="1"/>
  </r>
  <r>
    <s v="TRIP03114"/>
    <x v="72"/>
    <x v="0"/>
    <s v="Chennai"/>
    <n v="15.99"/>
    <d v="1900-02-01T10:33:36"/>
    <n v="311.06"/>
    <n v="1.2"/>
    <n v="373.27"/>
    <n v="3.5"/>
    <x v="4"/>
    <x v="0"/>
  </r>
  <r>
    <s v="TRIP03115"/>
    <x v="111"/>
    <x v="1"/>
    <s v="Bangalore"/>
    <n v="3.42"/>
    <d v="1900-01-11T11:16:48"/>
    <n v="39.4"/>
    <n v="1.5"/>
    <n v="59.1"/>
    <n v="4.2"/>
    <x v="4"/>
    <x v="0"/>
  </r>
  <r>
    <s v="TRIP03116"/>
    <x v="112"/>
    <x v="2"/>
    <s v="Kolkata"/>
    <n v="9.1300000000000008"/>
    <d v="1900-01-30T07:26:24"/>
    <n v="141.97999999999999"/>
    <n v="1.5"/>
    <n v="212.97"/>
    <n v="4.4000000000000004"/>
    <x v="0"/>
    <x v="2"/>
  </r>
  <r>
    <s v="TRIP03117"/>
    <x v="195"/>
    <x v="3"/>
    <s v="Delhi"/>
    <n v="14.12"/>
    <d v="1900-02-16T23:31:12"/>
    <n v="211.94"/>
    <n v="1.5"/>
    <n v="317.91000000000003"/>
    <n v="3.1"/>
    <x v="3"/>
    <x v="2"/>
  </r>
  <r>
    <s v="TRIP03118"/>
    <x v="203"/>
    <x v="1"/>
    <s v="Mumbai"/>
    <n v="6.81"/>
    <d v="1900-01-20T00:14:24"/>
    <n v="98.08"/>
    <n v="2"/>
    <n v="196.16"/>
    <n v="3.3"/>
    <x v="2"/>
    <x v="2"/>
  </r>
  <r>
    <s v="TRIP03119"/>
    <x v="5"/>
    <x v="0"/>
    <s v="Delhi"/>
    <n v="21.02"/>
    <d v="1900-02-11T23:16:48"/>
    <n v="281.39999999999998"/>
    <n v="1.2"/>
    <n v="337.68"/>
    <n v="3.8"/>
    <x v="1"/>
    <x v="0"/>
  </r>
  <r>
    <s v="TRIP03120"/>
    <x v="226"/>
    <x v="0"/>
    <s v="Bangalore"/>
    <n v="7.84"/>
    <d v="1900-01-15T11:45:36"/>
    <n v="156.51"/>
    <n v="1"/>
    <n v="156.51"/>
    <n v="3.6"/>
    <x v="3"/>
    <x v="1"/>
  </r>
  <r>
    <s v="TRIP03121"/>
    <x v="70"/>
    <x v="2"/>
    <s v="Delhi"/>
    <n v="1.59"/>
    <d v="1900-01-04T11:16:48"/>
    <n v="22.88"/>
    <n v="1.5"/>
    <n v="34.32"/>
    <n v="4.4000000000000004"/>
    <x v="1"/>
    <x v="0"/>
  </r>
  <r>
    <s v="TRIP03122"/>
    <x v="151"/>
    <x v="4"/>
    <s v="Delhi"/>
    <n v="18.5"/>
    <d v="1900-02-20T07:12:00"/>
    <n v="254.06"/>
    <n v="2"/>
    <n v="508.12"/>
    <n v="4.2"/>
    <x v="4"/>
    <x v="3"/>
  </r>
  <r>
    <s v="TRIP03123"/>
    <x v="119"/>
    <x v="3"/>
    <s v="Chennai"/>
    <n v="26.4"/>
    <d v="1900-04-05T09:07:12"/>
    <n v="355.45"/>
    <n v="2"/>
    <n v="710.9"/>
    <n v="4.9000000000000004"/>
    <x v="2"/>
    <x v="0"/>
  </r>
  <r>
    <s v="TRIP03124"/>
    <x v="48"/>
    <x v="3"/>
    <s v="Delhi"/>
    <n v="8.8800000000000008"/>
    <d v="1900-01-29T22:48:00"/>
    <n v="96.15"/>
    <n v="1"/>
    <n v="96.15"/>
    <n v="4.0999999999999996"/>
    <x v="1"/>
    <x v="1"/>
  </r>
  <r>
    <s v="TRIP03125"/>
    <x v="320"/>
    <x v="3"/>
    <s v="Delhi"/>
    <n v="18.87"/>
    <d v="1900-03-11T23:45:36"/>
    <n v="323.69"/>
    <n v="1.5"/>
    <n v="485.54"/>
    <n v="3.9"/>
    <x v="0"/>
    <x v="2"/>
  </r>
  <r>
    <s v="TRIP03126"/>
    <x v="223"/>
    <x v="1"/>
    <s v="Delhi"/>
    <n v="19.36"/>
    <d v="1900-03-09T20:09:36"/>
    <n v="383.18"/>
    <n v="1.5"/>
    <n v="574.77"/>
    <n v="3.1"/>
    <x v="0"/>
    <x v="2"/>
  </r>
  <r>
    <s v="TRIP03127"/>
    <x v="245"/>
    <x v="2"/>
    <s v="Mumbai"/>
    <n v="4.93"/>
    <d v="1900-01-16T22:04:48"/>
    <n v="85.58"/>
    <n v="2"/>
    <n v="171.16"/>
    <n v="4.7"/>
    <x v="0"/>
    <x v="0"/>
  </r>
  <r>
    <s v="TRIP03128"/>
    <x v="146"/>
    <x v="0"/>
    <s v="Delhi"/>
    <n v="27.2"/>
    <d v="1900-02-27T16:33:36"/>
    <n v="340.98"/>
    <n v="2"/>
    <n v="681.96"/>
    <n v="4"/>
    <x v="0"/>
    <x v="3"/>
  </r>
  <r>
    <s v="TRIP03129"/>
    <x v="143"/>
    <x v="4"/>
    <s v="Chennai"/>
    <n v="10.09"/>
    <d v="1900-02-02T08:09:36"/>
    <n v="140.04"/>
    <n v="1.5"/>
    <n v="210.06"/>
    <n v="3.7"/>
    <x v="3"/>
    <x v="0"/>
  </r>
  <r>
    <s v="TRIP03130"/>
    <x v="178"/>
    <x v="2"/>
    <s v="Delhi"/>
    <n v="26.6"/>
    <d v="1900-03-05T01:12:00"/>
    <n v="296.02999999999997"/>
    <n v="1.5"/>
    <n v="444.04"/>
    <n v="3.7"/>
    <x v="3"/>
    <x v="0"/>
  </r>
  <r>
    <s v="TRIP03131"/>
    <x v="60"/>
    <x v="0"/>
    <s v="Delhi"/>
    <n v="24.1"/>
    <d v="1900-03-29T17:16:48"/>
    <n v="444.88"/>
    <n v="1.5"/>
    <n v="667.32"/>
    <n v="3.5"/>
    <x v="2"/>
    <x v="3"/>
  </r>
  <r>
    <s v="TRIP03132"/>
    <x v="118"/>
    <x v="4"/>
    <s v="Mumbai"/>
    <n v="19.850000000000001"/>
    <d v="1900-02-20T11:31:12"/>
    <n v="206.66"/>
    <n v="1"/>
    <n v="206.66"/>
    <n v="3.5"/>
    <x v="2"/>
    <x v="0"/>
  </r>
  <r>
    <s v="TRIP03133"/>
    <x v="11"/>
    <x v="2"/>
    <s v="Kolkata"/>
    <n v="26.63"/>
    <d v="1900-04-10T18:14:24"/>
    <n v="521.62"/>
    <n v="1"/>
    <n v="521.62"/>
    <n v="5"/>
    <x v="2"/>
    <x v="1"/>
  </r>
  <r>
    <s v="TRIP03134"/>
    <x v="194"/>
    <x v="3"/>
    <s v="Delhi"/>
    <n v="7.8"/>
    <d v="1900-01-17T16:19:12"/>
    <n v="78.510000000000005"/>
    <n v="1.2"/>
    <n v="94.21"/>
    <n v="4.4000000000000004"/>
    <x v="3"/>
    <x v="2"/>
  </r>
  <r>
    <s v="TRIP03135"/>
    <x v="7"/>
    <x v="3"/>
    <s v="Bangalore"/>
    <n v="6.42"/>
    <d v="1900-01-20T00:28:48"/>
    <n v="112.12"/>
    <n v="2"/>
    <n v="224.24"/>
    <n v="3.2"/>
    <x v="4"/>
    <x v="2"/>
  </r>
  <r>
    <s v="TRIP03136"/>
    <x v="210"/>
    <x v="3"/>
    <s v="Bangalore"/>
    <n v="11"/>
    <d v="1900-01-28T16:48:00"/>
    <n v="169.73"/>
    <n v="2"/>
    <n v="339.46"/>
    <n v="3.3"/>
    <x v="1"/>
    <x v="2"/>
  </r>
  <r>
    <s v="TRIP03137"/>
    <x v="209"/>
    <x v="0"/>
    <s v="Bangalore"/>
    <n v="19.010000000000002"/>
    <d v="1900-02-21T11:02:24"/>
    <n v="249.94"/>
    <n v="1.2"/>
    <n v="299.93"/>
    <n v="4"/>
    <x v="2"/>
    <x v="1"/>
  </r>
  <r>
    <s v="TRIP03138"/>
    <x v="274"/>
    <x v="2"/>
    <s v="Bangalore"/>
    <n v="6.14"/>
    <d v="1900-01-11T10:48:00"/>
    <n v="87.04"/>
    <n v="1"/>
    <n v="87.04"/>
    <n v="4.5"/>
    <x v="4"/>
    <x v="2"/>
  </r>
  <r>
    <s v="TRIP03139"/>
    <x v="207"/>
    <x v="3"/>
    <s v="Kolkata"/>
    <n v="28.81"/>
    <d v="1900-03-27T07:26:24"/>
    <n v="571.30999999999995"/>
    <n v="2"/>
    <n v="1142.6199999999999"/>
    <n v="3.8"/>
    <x v="3"/>
    <x v="2"/>
  </r>
  <r>
    <s v="TRIP03140"/>
    <x v="51"/>
    <x v="2"/>
    <s v="Delhi"/>
    <n v="11.13"/>
    <d v="1900-02-09T00:57:36"/>
    <n v="151.5"/>
    <n v="1"/>
    <n v="151.5"/>
    <n v="3.1"/>
    <x v="2"/>
    <x v="1"/>
  </r>
  <r>
    <s v="TRIP03141"/>
    <x v="64"/>
    <x v="1"/>
    <s v="Bangalore"/>
    <n v="11.86"/>
    <d v="1900-01-23T02:52:48"/>
    <n v="164.89"/>
    <n v="1"/>
    <n v="164.89"/>
    <n v="4.7"/>
    <x v="3"/>
    <x v="1"/>
  </r>
  <r>
    <s v="TRIP03142"/>
    <x v="187"/>
    <x v="2"/>
    <s v="Delhi"/>
    <n v="13.53"/>
    <d v="1900-01-27T14:09:36"/>
    <n v="214.87"/>
    <n v="2"/>
    <n v="429.74"/>
    <n v="3.8"/>
    <x v="4"/>
    <x v="0"/>
  </r>
  <r>
    <s v="TRIP03143"/>
    <x v="185"/>
    <x v="3"/>
    <s v="Delhi"/>
    <n v="13.19"/>
    <d v="1900-01-27T17:02:24"/>
    <n v="158.54"/>
    <n v="1"/>
    <n v="158.54"/>
    <n v="4.5"/>
    <x v="4"/>
    <x v="1"/>
  </r>
  <r>
    <s v="TRIP03144"/>
    <x v="244"/>
    <x v="4"/>
    <s v="Bangalore"/>
    <n v="16.350000000000001"/>
    <d v="1900-03-03T17:31:12"/>
    <n v="175.47"/>
    <n v="1"/>
    <n v="175.47"/>
    <n v="3.9"/>
    <x v="2"/>
    <x v="3"/>
  </r>
  <r>
    <s v="TRIP03145"/>
    <x v="338"/>
    <x v="3"/>
    <s v="Kolkata"/>
    <n v="15.97"/>
    <d v="1900-02-27T19:55:12"/>
    <n v="192.52"/>
    <n v="2"/>
    <n v="385.04"/>
    <n v="3.5"/>
    <x v="3"/>
    <x v="1"/>
  </r>
  <r>
    <s v="TRIP03146"/>
    <x v="341"/>
    <x v="1"/>
    <s v="Delhi"/>
    <n v="19.52"/>
    <d v="1900-03-02T01:26:24"/>
    <n v="221.9"/>
    <n v="1.2"/>
    <n v="266.27999999999997"/>
    <n v="4.2"/>
    <x v="0"/>
    <x v="3"/>
  </r>
  <r>
    <s v="TRIP03147"/>
    <x v="38"/>
    <x v="4"/>
    <s v="Kolkata"/>
    <n v="5.71"/>
    <d v="1900-01-11T19:40:48"/>
    <n v="112.23"/>
    <n v="1.2"/>
    <n v="134.68"/>
    <n v="4.9000000000000004"/>
    <x v="3"/>
    <x v="1"/>
  </r>
  <r>
    <s v="TRIP03148"/>
    <x v="200"/>
    <x v="4"/>
    <s v="Mumbai"/>
    <n v="12.91"/>
    <d v="1900-02-03T18:43:12"/>
    <n v="219.59"/>
    <n v="1.2"/>
    <n v="263.51"/>
    <n v="3.9"/>
    <x v="4"/>
    <x v="1"/>
  </r>
  <r>
    <s v="TRIP03149"/>
    <x v="295"/>
    <x v="1"/>
    <s v="Mumbai"/>
    <n v="9.7799999999999994"/>
    <d v="1900-02-04T12:57:36"/>
    <n v="149.55000000000001"/>
    <n v="1"/>
    <n v="149.55000000000001"/>
    <n v="3.4"/>
    <x v="0"/>
    <x v="0"/>
  </r>
  <r>
    <s v="TRIP03150"/>
    <x v="267"/>
    <x v="4"/>
    <s v="Kolkata"/>
    <n v="18.12"/>
    <d v="1900-02-09T17:45:36"/>
    <n v="225.81"/>
    <n v="1.2"/>
    <n v="270.97000000000003"/>
    <n v="4.4000000000000004"/>
    <x v="4"/>
    <x v="0"/>
  </r>
  <r>
    <s v="TRIP03151"/>
    <x v="359"/>
    <x v="1"/>
    <s v="Bangalore"/>
    <n v="11.82"/>
    <d v="1900-02-03T14:24:00"/>
    <n v="195.08"/>
    <n v="1.5"/>
    <n v="292.62"/>
    <n v="4.2"/>
    <x v="4"/>
    <x v="1"/>
  </r>
  <r>
    <s v="TRIP03152"/>
    <x v="276"/>
    <x v="4"/>
    <s v="Bangalore"/>
    <n v="11"/>
    <d v="1900-02-04T17:45:36"/>
    <n v="138.36000000000001"/>
    <n v="1"/>
    <n v="138.36000000000001"/>
    <n v="3.8"/>
    <x v="2"/>
    <x v="0"/>
  </r>
  <r>
    <s v="TRIP03153"/>
    <x v="133"/>
    <x v="2"/>
    <s v="Delhi"/>
    <n v="16.12"/>
    <d v="1900-02-22T06:28:48"/>
    <n v="204.63"/>
    <n v="1.5"/>
    <n v="306.94"/>
    <n v="4.0999999999999996"/>
    <x v="1"/>
    <x v="3"/>
  </r>
  <r>
    <s v="TRIP03154"/>
    <x v="101"/>
    <x v="0"/>
    <s v="Delhi"/>
    <n v="18.309999999999999"/>
    <d v="1900-02-15T06:28:48"/>
    <n v="314.10000000000002"/>
    <n v="1"/>
    <n v="314.10000000000002"/>
    <n v="3.9"/>
    <x v="1"/>
    <x v="0"/>
  </r>
  <r>
    <s v="TRIP03155"/>
    <x v="345"/>
    <x v="1"/>
    <s v="Mumbai"/>
    <n v="9.7200000000000006"/>
    <d v="1900-01-31T06:57:36"/>
    <n v="164.81"/>
    <n v="1.5"/>
    <n v="247.22"/>
    <n v="4.9000000000000004"/>
    <x v="1"/>
    <x v="2"/>
  </r>
  <r>
    <s v="TRIP03156"/>
    <x v="18"/>
    <x v="0"/>
    <s v="Mumbai"/>
    <n v="12.39"/>
    <d v="1900-02-02T13:26:24"/>
    <n v="155.47"/>
    <n v="1.2"/>
    <n v="186.56"/>
    <n v="4.7"/>
    <x v="4"/>
    <x v="1"/>
  </r>
  <r>
    <s v="TRIP03157"/>
    <x v="36"/>
    <x v="1"/>
    <s v="Chennai"/>
    <n v="4.72"/>
    <d v="1900-01-09T02:09:36"/>
    <n v="68.319999999999993"/>
    <n v="2"/>
    <n v="136.63999999999999"/>
    <n v="4.8"/>
    <x v="4"/>
    <x v="1"/>
  </r>
  <r>
    <s v="TRIP03158"/>
    <x v="297"/>
    <x v="0"/>
    <s v="Kolkata"/>
    <n v="25.55"/>
    <d v="1900-02-27T04:19:12"/>
    <n v="261.02999999999997"/>
    <n v="2"/>
    <n v="522.05999999999995"/>
    <n v="4.4000000000000004"/>
    <x v="1"/>
    <x v="0"/>
  </r>
  <r>
    <s v="TRIP03159"/>
    <x v="47"/>
    <x v="3"/>
    <s v="Mumbai"/>
    <n v="29.67"/>
    <d v="1900-04-08T09:07:12"/>
    <n v="520.25"/>
    <n v="2"/>
    <n v="1040.5"/>
    <n v="3.2"/>
    <x v="2"/>
    <x v="0"/>
  </r>
  <r>
    <s v="TRIP03160"/>
    <x v="5"/>
    <x v="1"/>
    <s v="Delhi"/>
    <n v="2.25"/>
    <d v="1900-01-07T06:28:48"/>
    <n v="26.32"/>
    <n v="1.2"/>
    <n v="31.58"/>
    <n v="3.7"/>
    <x v="0"/>
    <x v="3"/>
  </r>
  <r>
    <s v="TRIP03161"/>
    <x v="15"/>
    <x v="2"/>
    <s v="Mumbai"/>
    <n v="2.99"/>
    <d v="1900-01-07T20:38:24"/>
    <n v="34.96"/>
    <n v="1.5"/>
    <n v="52.44"/>
    <n v="4.5999999999999996"/>
    <x v="1"/>
    <x v="0"/>
  </r>
  <r>
    <s v="TRIP03162"/>
    <x v="289"/>
    <x v="0"/>
    <s v="Kolkata"/>
    <n v="10.93"/>
    <d v="1900-02-02T06:14:24"/>
    <n v="140.44999999999999"/>
    <n v="2"/>
    <n v="280.89999999999998"/>
    <n v="3.3"/>
    <x v="2"/>
    <x v="3"/>
  </r>
  <r>
    <s v="TRIP03163"/>
    <x v="20"/>
    <x v="0"/>
    <s v="Chennai"/>
    <n v="6.2"/>
    <d v="1900-01-12T10:04:48"/>
    <n v="82.36"/>
    <n v="1.5"/>
    <n v="123.54"/>
    <n v="4"/>
    <x v="1"/>
    <x v="1"/>
  </r>
  <r>
    <s v="TRIP03164"/>
    <x v="125"/>
    <x v="2"/>
    <s v="Chennai"/>
    <n v="11.27"/>
    <d v="1900-02-06T20:52:48"/>
    <n v="146.62"/>
    <n v="2"/>
    <n v="293.24"/>
    <n v="3.8"/>
    <x v="3"/>
    <x v="3"/>
  </r>
  <r>
    <s v="TRIP03165"/>
    <x v="16"/>
    <x v="3"/>
    <s v="Bangalore"/>
    <n v="22.4"/>
    <d v="1900-02-19T12:28:48"/>
    <n v="337.08"/>
    <n v="2"/>
    <n v="674.16"/>
    <n v="3.6"/>
    <x v="4"/>
    <x v="3"/>
  </r>
  <r>
    <s v="TRIP03166"/>
    <x v="236"/>
    <x v="3"/>
    <s v="Kolkata"/>
    <n v="18.91"/>
    <d v="1900-03-13T19:40:48"/>
    <n v="247.85"/>
    <n v="1"/>
    <n v="247.85"/>
    <n v="3.2"/>
    <x v="3"/>
    <x v="1"/>
  </r>
  <r>
    <s v="TRIP03167"/>
    <x v="157"/>
    <x v="0"/>
    <s v="Kolkata"/>
    <n v="19.86"/>
    <d v="1900-03-06T11:02:24"/>
    <n v="234.14"/>
    <n v="1.2"/>
    <n v="280.97000000000003"/>
    <n v="4.8"/>
    <x v="0"/>
    <x v="1"/>
  </r>
  <r>
    <s v="TRIP03168"/>
    <x v="337"/>
    <x v="0"/>
    <s v="Mumbai"/>
    <n v="14.66"/>
    <d v="1900-02-20T19:12:00"/>
    <n v="214.14"/>
    <n v="1"/>
    <n v="214.14"/>
    <n v="3.5"/>
    <x v="2"/>
    <x v="0"/>
  </r>
  <r>
    <s v="TRIP03169"/>
    <x v="37"/>
    <x v="3"/>
    <s v="Delhi"/>
    <n v="16.8"/>
    <d v="1900-03-04T15:50:24"/>
    <n v="264.16000000000003"/>
    <n v="1.2"/>
    <n v="316.99"/>
    <n v="3.2"/>
    <x v="4"/>
    <x v="2"/>
  </r>
  <r>
    <s v="TRIP03170"/>
    <x v="232"/>
    <x v="4"/>
    <s v="Chennai"/>
    <n v="13.77"/>
    <d v="1900-02-12T18:14:24"/>
    <n v="205.23"/>
    <n v="1.5"/>
    <n v="307.83999999999997"/>
    <n v="4.2"/>
    <x v="4"/>
    <x v="1"/>
  </r>
  <r>
    <s v="TRIP03171"/>
    <x v="30"/>
    <x v="1"/>
    <s v="Mumbai"/>
    <n v="27.81"/>
    <d v="1900-04-04T15:36:00"/>
    <n v="309.12"/>
    <n v="1.5"/>
    <n v="463.68"/>
    <n v="3.1"/>
    <x v="2"/>
    <x v="0"/>
  </r>
  <r>
    <s v="TRIP03172"/>
    <x v="202"/>
    <x v="1"/>
    <s v="Delhi"/>
    <n v="25.24"/>
    <d v="1900-03-18T00:00:00"/>
    <n v="392.34"/>
    <n v="1"/>
    <n v="392.34"/>
    <n v="4"/>
    <x v="2"/>
    <x v="3"/>
  </r>
  <r>
    <s v="TRIP03173"/>
    <x v="364"/>
    <x v="1"/>
    <s v="Kolkata"/>
    <n v="20.73"/>
    <d v="1900-02-13T23:02:24"/>
    <n v="406.57"/>
    <n v="1.5"/>
    <n v="609.86"/>
    <n v="3.2"/>
    <x v="4"/>
    <x v="1"/>
  </r>
  <r>
    <s v="TRIP03174"/>
    <x v="339"/>
    <x v="1"/>
    <s v="Bangalore"/>
    <n v="10.17"/>
    <d v="1900-01-22T14:38:24"/>
    <n v="143.33000000000001"/>
    <n v="1.2"/>
    <n v="172"/>
    <n v="3"/>
    <x v="1"/>
    <x v="1"/>
  </r>
  <r>
    <s v="TRIP03175"/>
    <x v="325"/>
    <x v="3"/>
    <s v="Delhi"/>
    <n v="14.69"/>
    <d v="1900-02-08T22:33:36"/>
    <n v="204.92"/>
    <n v="1"/>
    <n v="204.92"/>
    <n v="3.9"/>
    <x v="2"/>
    <x v="2"/>
  </r>
  <r>
    <s v="TRIP03176"/>
    <x v="206"/>
    <x v="0"/>
    <s v="Mumbai"/>
    <n v="10.49"/>
    <d v="1900-02-09T15:36:00"/>
    <n v="143.52000000000001"/>
    <n v="2"/>
    <n v="287.04000000000002"/>
    <n v="5"/>
    <x v="0"/>
    <x v="2"/>
  </r>
  <r>
    <s v="TRIP03177"/>
    <x v="347"/>
    <x v="4"/>
    <s v="Chennai"/>
    <n v="16.3"/>
    <d v="1900-02-11T04:19:12"/>
    <n v="248.37"/>
    <n v="1.5"/>
    <n v="372.56"/>
    <n v="3.8"/>
    <x v="2"/>
    <x v="0"/>
  </r>
  <r>
    <s v="TRIP03178"/>
    <x v="94"/>
    <x v="3"/>
    <s v="Chennai"/>
    <n v="22.04"/>
    <d v="1900-02-15T08:52:48"/>
    <n v="309.2"/>
    <n v="1.5"/>
    <n v="463.8"/>
    <n v="4.5999999999999996"/>
    <x v="0"/>
    <x v="3"/>
  </r>
  <r>
    <s v="TRIP03179"/>
    <x v="133"/>
    <x v="4"/>
    <s v="Bangalore"/>
    <n v="6.6"/>
    <d v="1900-01-23T15:50:24"/>
    <n v="72.89"/>
    <n v="1.2"/>
    <n v="87.47"/>
    <n v="4"/>
    <x v="2"/>
    <x v="3"/>
  </r>
  <r>
    <s v="TRIP03180"/>
    <x v="93"/>
    <x v="3"/>
    <s v="Mumbai"/>
    <n v="5.51"/>
    <d v="1900-01-18T03:36:00"/>
    <n v="105.79"/>
    <n v="1.2"/>
    <n v="126.95"/>
    <n v="5"/>
    <x v="3"/>
    <x v="0"/>
  </r>
  <r>
    <s v="TRIP03181"/>
    <x v="97"/>
    <x v="4"/>
    <s v="Delhi"/>
    <n v="10.41"/>
    <d v="1900-01-23T15:07:12"/>
    <n v="197.36"/>
    <n v="1.2"/>
    <n v="236.83"/>
    <n v="3.4"/>
    <x v="4"/>
    <x v="1"/>
  </r>
  <r>
    <s v="TRIP03182"/>
    <x v="143"/>
    <x v="4"/>
    <s v="Kolkata"/>
    <n v="9.77"/>
    <d v="1900-02-01T16:33:36"/>
    <n v="113.82"/>
    <n v="1.2"/>
    <n v="136.58000000000001"/>
    <n v="4"/>
    <x v="2"/>
    <x v="1"/>
  </r>
  <r>
    <s v="TRIP03183"/>
    <x v="56"/>
    <x v="2"/>
    <s v="Bangalore"/>
    <n v="25.05"/>
    <d v="1900-02-18T10:19:12"/>
    <n v="306.39"/>
    <n v="1"/>
    <n v="306.39"/>
    <n v="3.7"/>
    <x v="1"/>
    <x v="0"/>
  </r>
  <r>
    <s v="TRIP03184"/>
    <x v="336"/>
    <x v="0"/>
    <s v="Bangalore"/>
    <n v="5.72"/>
    <d v="1900-01-13T12:57:36"/>
    <n v="59.68"/>
    <n v="1"/>
    <n v="59.68"/>
    <n v="4.3"/>
    <x v="3"/>
    <x v="2"/>
  </r>
  <r>
    <s v="TRIP03185"/>
    <x v="305"/>
    <x v="3"/>
    <s v="Kolkata"/>
    <n v="29.49"/>
    <d v="1900-04-06T12:28:48"/>
    <n v="448.84"/>
    <n v="1.5"/>
    <n v="673.26"/>
    <n v="3.1"/>
    <x v="2"/>
    <x v="2"/>
  </r>
  <r>
    <s v="TRIP03186"/>
    <x v="161"/>
    <x v="0"/>
    <s v="Kolkata"/>
    <n v="29.64"/>
    <d v="1900-04-10T01:40:48"/>
    <n v="382.65"/>
    <n v="1"/>
    <n v="382.65"/>
    <n v="3.8"/>
    <x v="1"/>
    <x v="0"/>
  </r>
  <r>
    <s v="TRIP03187"/>
    <x v="14"/>
    <x v="3"/>
    <s v="Kolkata"/>
    <n v="6.94"/>
    <d v="1900-01-16T02:38:24"/>
    <n v="98.2"/>
    <n v="1.2"/>
    <n v="117.84"/>
    <n v="4.0999999999999996"/>
    <x v="1"/>
    <x v="1"/>
  </r>
  <r>
    <s v="TRIP03188"/>
    <x v="151"/>
    <x v="3"/>
    <s v="Chennai"/>
    <n v="7.13"/>
    <d v="1900-01-15T22:33:36"/>
    <n v="104.9"/>
    <n v="2"/>
    <n v="209.8"/>
    <n v="3.7"/>
    <x v="1"/>
    <x v="1"/>
  </r>
  <r>
    <s v="TRIP03189"/>
    <x v="178"/>
    <x v="3"/>
    <s v="Mumbai"/>
    <n v="2.38"/>
    <d v="1900-01-06T11:45:36"/>
    <n v="31.79"/>
    <n v="1"/>
    <n v="31.79"/>
    <n v="4.0999999999999996"/>
    <x v="0"/>
    <x v="3"/>
  </r>
  <r>
    <s v="TRIP03190"/>
    <x v="149"/>
    <x v="0"/>
    <s v="Mumbai"/>
    <n v="20.54"/>
    <d v="1900-02-19T13:12:00"/>
    <n v="365.54"/>
    <n v="1.5"/>
    <n v="548.30999999999995"/>
    <n v="3.8"/>
    <x v="4"/>
    <x v="1"/>
  </r>
  <r>
    <s v="TRIP03191"/>
    <x v="253"/>
    <x v="4"/>
    <s v="Kolkata"/>
    <n v="11.14"/>
    <d v="1900-02-03T14:24:00"/>
    <n v="127.22"/>
    <n v="2"/>
    <n v="254.44"/>
    <n v="4.5"/>
    <x v="0"/>
    <x v="2"/>
  </r>
  <r>
    <s v="TRIP03192"/>
    <x v="233"/>
    <x v="1"/>
    <s v="Bangalore"/>
    <n v="9.5"/>
    <d v="1900-01-26T13:12:00"/>
    <n v="116.69"/>
    <n v="1.2"/>
    <n v="140.03"/>
    <n v="4"/>
    <x v="0"/>
    <x v="2"/>
  </r>
  <r>
    <s v="TRIP03193"/>
    <x v="77"/>
    <x v="4"/>
    <s v="Mumbai"/>
    <n v="28.66"/>
    <d v="1900-03-21T03:50:24"/>
    <n v="512.69000000000005"/>
    <n v="1"/>
    <n v="512.69000000000005"/>
    <n v="3.2"/>
    <x v="3"/>
    <x v="0"/>
  </r>
  <r>
    <s v="TRIP03194"/>
    <x v="228"/>
    <x v="2"/>
    <s v="Kolkata"/>
    <n v="24.86"/>
    <d v="1900-03-21T23:02:24"/>
    <n v="320.68"/>
    <n v="1"/>
    <n v="320.68"/>
    <n v="4"/>
    <x v="2"/>
    <x v="3"/>
  </r>
  <r>
    <s v="TRIP03195"/>
    <x v="313"/>
    <x v="3"/>
    <s v="Mumbai"/>
    <n v="18.29"/>
    <d v="1900-03-08T01:55:12"/>
    <n v="222.35"/>
    <n v="2"/>
    <n v="444.7"/>
    <n v="3.3"/>
    <x v="3"/>
    <x v="2"/>
  </r>
  <r>
    <s v="TRIP03196"/>
    <x v="364"/>
    <x v="1"/>
    <s v="Bangalore"/>
    <n v="26.85"/>
    <d v="1900-04-13T05:31:12"/>
    <n v="421.45"/>
    <n v="2"/>
    <n v="842.9"/>
    <n v="4.9000000000000004"/>
    <x v="0"/>
    <x v="3"/>
  </r>
  <r>
    <s v="TRIP03197"/>
    <x v="91"/>
    <x v="1"/>
    <s v="Chennai"/>
    <n v="18.87"/>
    <d v="1900-02-12T04:04:48"/>
    <n v="318.23"/>
    <n v="1.5"/>
    <n v="477.34"/>
    <n v="3.4"/>
    <x v="4"/>
    <x v="2"/>
  </r>
  <r>
    <s v="TRIP03198"/>
    <x v="77"/>
    <x v="0"/>
    <s v="Chennai"/>
    <n v="1.88"/>
    <d v="1900-01-05T15:07:12"/>
    <n v="34.51"/>
    <n v="1.5"/>
    <n v="51.76"/>
    <n v="4.3"/>
    <x v="0"/>
    <x v="3"/>
  </r>
  <r>
    <s v="TRIP03199"/>
    <x v="126"/>
    <x v="1"/>
    <s v="Kolkata"/>
    <n v="16.16"/>
    <d v="1900-02-20T07:26:24"/>
    <n v="225.36"/>
    <n v="1.2"/>
    <n v="270.43"/>
    <n v="4.4000000000000004"/>
    <x v="1"/>
    <x v="0"/>
  </r>
  <r>
    <s v="TRIP03200"/>
    <x v="232"/>
    <x v="1"/>
    <s v="Delhi"/>
    <n v="20.73"/>
    <d v="1900-03-07T05:16:48"/>
    <n v="352.89"/>
    <n v="1"/>
    <n v="352.89"/>
    <n v="4.5"/>
    <x v="3"/>
    <x v="0"/>
  </r>
  <r>
    <s v="TRIP03201"/>
    <x v="364"/>
    <x v="1"/>
    <s v="Mumbai"/>
    <n v="13.27"/>
    <d v="1900-02-10T22:48:00"/>
    <n v="178.03"/>
    <n v="1.2"/>
    <n v="213.64"/>
    <n v="3.3"/>
    <x v="2"/>
    <x v="2"/>
  </r>
  <r>
    <s v="TRIP03202"/>
    <x v="252"/>
    <x v="3"/>
    <s v="Kolkata"/>
    <n v="19.16"/>
    <d v="1900-02-09T12:57:36"/>
    <n v="361.16"/>
    <n v="1"/>
    <n v="361.16"/>
    <n v="3.8"/>
    <x v="4"/>
    <x v="3"/>
  </r>
  <r>
    <s v="TRIP03203"/>
    <x v="76"/>
    <x v="2"/>
    <s v="Mumbai"/>
    <n v="9.6199999999999992"/>
    <d v="1900-01-29T08:24:00"/>
    <n v="148.6"/>
    <n v="2"/>
    <n v="297.2"/>
    <n v="4.3"/>
    <x v="1"/>
    <x v="2"/>
  </r>
  <r>
    <s v="TRIP03204"/>
    <x v="83"/>
    <x v="0"/>
    <s v="Mumbai"/>
    <n v="10.18"/>
    <d v="1900-02-04T06:43:12"/>
    <n v="119.65"/>
    <n v="2"/>
    <n v="239.3"/>
    <n v="3.4"/>
    <x v="4"/>
    <x v="0"/>
  </r>
  <r>
    <s v="TRIP03205"/>
    <x v="109"/>
    <x v="3"/>
    <s v="Delhi"/>
    <n v="14.97"/>
    <d v="1900-02-17T21:50:24"/>
    <n v="161.65"/>
    <n v="1.2"/>
    <n v="193.98"/>
    <n v="3.4"/>
    <x v="2"/>
    <x v="0"/>
  </r>
  <r>
    <s v="TRIP03206"/>
    <x v="200"/>
    <x v="0"/>
    <s v="Chennai"/>
    <n v="5.31"/>
    <d v="1900-01-15T18:00:00"/>
    <n v="92.36"/>
    <n v="1"/>
    <n v="92.36"/>
    <n v="4.4000000000000004"/>
    <x v="0"/>
    <x v="1"/>
  </r>
  <r>
    <s v="TRIP03207"/>
    <x v="143"/>
    <x v="0"/>
    <s v="Kolkata"/>
    <n v="15.57"/>
    <d v="1900-02-05T05:31:12"/>
    <n v="269.36"/>
    <n v="1.5"/>
    <n v="404.04"/>
    <n v="4"/>
    <x v="4"/>
    <x v="0"/>
  </r>
  <r>
    <s v="TRIP03208"/>
    <x v="247"/>
    <x v="3"/>
    <s v="Kolkata"/>
    <n v="27.88"/>
    <d v="1900-03-21T03:36:00"/>
    <n v="352.93"/>
    <n v="1.5"/>
    <n v="529.4"/>
    <n v="3.6"/>
    <x v="4"/>
    <x v="0"/>
  </r>
  <r>
    <s v="TRIP03209"/>
    <x v="297"/>
    <x v="3"/>
    <s v="Kolkata"/>
    <n v="10.11"/>
    <d v="1900-01-26T18:57:36"/>
    <n v="163.85"/>
    <n v="1"/>
    <n v="163.85"/>
    <n v="4.8"/>
    <x v="0"/>
    <x v="3"/>
  </r>
  <r>
    <s v="TRIP03210"/>
    <x v="254"/>
    <x v="1"/>
    <s v="Mumbai"/>
    <n v="24.62"/>
    <d v="1900-02-18T19:40:48"/>
    <n v="257.95"/>
    <n v="1.2"/>
    <n v="309.54000000000002"/>
    <n v="4"/>
    <x v="1"/>
    <x v="3"/>
  </r>
  <r>
    <s v="TRIP03211"/>
    <x v="11"/>
    <x v="3"/>
    <s v="Chennai"/>
    <n v="21.21"/>
    <d v="1900-03-20T14:52:48"/>
    <n v="280.02999999999997"/>
    <n v="1.2"/>
    <n v="336.04"/>
    <n v="4.7"/>
    <x v="1"/>
    <x v="1"/>
  </r>
  <r>
    <s v="TRIP03212"/>
    <x v="94"/>
    <x v="0"/>
    <s v="Kolkata"/>
    <n v="6.32"/>
    <d v="1900-01-21T11:16:48"/>
    <n v="75.88"/>
    <n v="1.5"/>
    <n v="113.82"/>
    <n v="4.0999999999999996"/>
    <x v="3"/>
    <x v="2"/>
  </r>
  <r>
    <s v="TRIP03213"/>
    <x v="223"/>
    <x v="1"/>
    <s v="Bangalore"/>
    <n v="29.86"/>
    <d v="1900-03-11T12:14:24"/>
    <n v="326.36"/>
    <n v="1.2"/>
    <n v="391.63"/>
    <n v="3.4"/>
    <x v="0"/>
    <x v="0"/>
  </r>
  <r>
    <s v="TRIP03214"/>
    <x v="29"/>
    <x v="0"/>
    <s v="Delhi"/>
    <n v="13.7"/>
    <d v="1900-01-26T11:45:36"/>
    <n v="256.83999999999997"/>
    <n v="1.5"/>
    <n v="385.26"/>
    <n v="3.4"/>
    <x v="3"/>
    <x v="3"/>
  </r>
  <r>
    <s v="TRIP03215"/>
    <x v="314"/>
    <x v="4"/>
    <s v="Delhi"/>
    <n v="8.1999999999999993"/>
    <d v="1900-01-21T12:14:24"/>
    <n v="143.08000000000001"/>
    <n v="1.5"/>
    <n v="214.62"/>
    <n v="4.4000000000000004"/>
    <x v="4"/>
    <x v="2"/>
  </r>
  <r>
    <s v="TRIP03216"/>
    <x v="323"/>
    <x v="2"/>
    <s v="Kolkata"/>
    <n v="8.0399999999999991"/>
    <d v="1900-01-30T17:16:48"/>
    <n v="92.54"/>
    <n v="1.5"/>
    <n v="138.81"/>
    <n v="4"/>
    <x v="4"/>
    <x v="1"/>
  </r>
  <r>
    <s v="TRIP03217"/>
    <x v="216"/>
    <x v="0"/>
    <s v="Kolkata"/>
    <n v="20.170000000000002"/>
    <d v="1900-02-26T01:26:24"/>
    <n v="273.08"/>
    <n v="1"/>
    <n v="273.08"/>
    <n v="3.4"/>
    <x v="4"/>
    <x v="2"/>
  </r>
  <r>
    <s v="TRIP03218"/>
    <x v="197"/>
    <x v="2"/>
    <s v="Bangalore"/>
    <n v="7.98"/>
    <d v="1900-01-27T01:55:12"/>
    <n v="124.83"/>
    <n v="1.2"/>
    <n v="149.80000000000001"/>
    <n v="3.4"/>
    <x v="1"/>
    <x v="0"/>
  </r>
  <r>
    <s v="TRIP03219"/>
    <x v="188"/>
    <x v="2"/>
    <s v="Chennai"/>
    <n v="19.809999999999999"/>
    <d v="1900-03-08T08:38:24"/>
    <n v="306.89999999999998"/>
    <n v="1.5"/>
    <n v="460.35"/>
    <n v="3.3"/>
    <x v="3"/>
    <x v="3"/>
  </r>
  <r>
    <s v="TRIP03220"/>
    <x v="71"/>
    <x v="3"/>
    <s v="Bangalore"/>
    <n v="27.34"/>
    <d v="1900-03-17T11:02:24"/>
    <n v="359.36"/>
    <n v="1.5"/>
    <n v="539.04"/>
    <n v="3.7"/>
    <x v="0"/>
    <x v="1"/>
  </r>
  <r>
    <s v="TRIP03221"/>
    <x v="172"/>
    <x v="3"/>
    <s v="Bangalore"/>
    <n v="3.13"/>
    <d v="1900-01-08T09:07:12"/>
    <n v="46.77"/>
    <n v="1.2"/>
    <n v="56.12"/>
    <n v="4.2"/>
    <x v="1"/>
    <x v="1"/>
  </r>
  <r>
    <s v="TRIP03222"/>
    <x v="254"/>
    <x v="3"/>
    <s v="Bangalore"/>
    <n v="18.78"/>
    <d v="1900-03-10T13:12:00"/>
    <n v="367.24"/>
    <n v="1.5"/>
    <n v="550.86"/>
    <n v="4.4000000000000004"/>
    <x v="2"/>
    <x v="2"/>
  </r>
  <r>
    <s v="TRIP03223"/>
    <x v="16"/>
    <x v="1"/>
    <s v="Chennai"/>
    <n v="29.11"/>
    <d v="1900-04-08T07:40:48"/>
    <n v="388.9"/>
    <n v="1"/>
    <n v="388.9"/>
    <n v="3.6"/>
    <x v="1"/>
    <x v="2"/>
  </r>
  <r>
    <s v="TRIP03224"/>
    <x v="343"/>
    <x v="0"/>
    <s v="Chennai"/>
    <n v="5.86"/>
    <d v="1900-01-11T06:00:00"/>
    <n v="111.47"/>
    <n v="1.2"/>
    <n v="133.76"/>
    <n v="4.2"/>
    <x v="1"/>
    <x v="2"/>
  </r>
  <r>
    <s v="TRIP03225"/>
    <x v="158"/>
    <x v="1"/>
    <s v="Mumbai"/>
    <n v="25.02"/>
    <d v="1900-03-29T15:36:00"/>
    <n v="471.03"/>
    <n v="1"/>
    <n v="471.03"/>
    <n v="4.7"/>
    <x v="0"/>
    <x v="2"/>
  </r>
  <r>
    <s v="TRIP03226"/>
    <x v="321"/>
    <x v="0"/>
    <s v="Kolkata"/>
    <n v="28.56"/>
    <d v="1900-04-07T10:19:12"/>
    <n v="305.77999999999997"/>
    <n v="1.5"/>
    <n v="458.67"/>
    <n v="4"/>
    <x v="1"/>
    <x v="2"/>
  </r>
  <r>
    <s v="TRIP03227"/>
    <x v="171"/>
    <x v="0"/>
    <s v="Delhi"/>
    <n v="27.27"/>
    <d v="1900-03-14T21:07:12"/>
    <n v="432.21"/>
    <n v="1"/>
    <n v="432.21"/>
    <n v="3.8"/>
    <x v="3"/>
    <x v="3"/>
  </r>
  <r>
    <s v="TRIP03228"/>
    <x v="9"/>
    <x v="2"/>
    <s v="Mumbai"/>
    <n v="2.81"/>
    <d v="1900-01-07T13:12:00"/>
    <n v="51.07"/>
    <n v="1.2"/>
    <n v="61.28"/>
    <n v="3.2"/>
    <x v="4"/>
    <x v="1"/>
  </r>
  <r>
    <s v="TRIP03229"/>
    <x v="61"/>
    <x v="2"/>
    <s v="Chennai"/>
    <n v="6.92"/>
    <d v="1900-01-14T12:14:24"/>
    <n v="104.56"/>
    <n v="1"/>
    <n v="104.56"/>
    <n v="3.2"/>
    <x v="0"/>
    <x v="2"/>
  </r>
  <r>
    <s v="TRIP03230"/>
    <x v="349"/>
    <x v="0"/>
    <s v="Bangalore"/>
    <n v="1.91"/>
    <d v="1900-01-03T05:31:12"/>
    <n v="29.6"/>
    <n v="1.5"/>
    <n v="44.4"/>
    <n v="3.6"/>
    <x v="1"/>
    <x v="1"/>
  </r>
  <r>
    <s v="TRIP03231"/>
    <x v="118"/>
    <x v="4"/>
    <s v="Chennai"/>
    <n v="23.43"/>
    <d v="1900-03-27T16:19:12"/>
    <n v="284.45"/>
    <n v="1.5"/>
    <n v="426.67"/>
    <n v="4.2"/>
    <x v="0"/>
    <x v="0"/>
  </r>
  <r>
    <s v="TRIP03232"/>
    <x v="80"/>
    <x v="3"/>
    <s v="Mumbai"/>
    <n v="6.87"/>
    <d v="1900-01-17T00:00:00"/>
    <n v="119.59"/>
    <n v="1"/>
    <n v="119.59"/>
    <n v="4.7"/>
    <x v="1"/>
    <x v="0"/>
  </r>
  <r>
    <s v="TRIP03233"/>
    <x v="55"/>
    <x v="4"/>
    <s v="Chennai"/>
    <n v="3.05"/>
    <d v="1900-01-07T09:36:00"/>
    <n v="32.97"/>
    <n v="1"/>
    <n v="32.97"/>
    <n v="4.5999999999999996"/>
    <x v="3"/>
    <x v="2"/>
  </r>
  <r>
    <s v="TRIP03234"/>
    <x v="226"/>
    <x v="3"/>
    <s v="Kolkata"/>
    <n v="11.9"/>
    <d v="1900-02-13T03:36:00"/>
    <n v="121.04"/>
    <n v="2"/>
    <n v="242.08"/>
    <n v="4.4000000000000004"/>
    <x v="0"/>
    <x v="1"/>
  </r>
  <r>
    <s v="TRIP03235"/>
    <x v="347"/>
    <x v="2"/>
    <s v="Bangalore"/>
    <n v="21.48"/>
    <d v="1900-03-25T15:50:24"/>
    <n v="362.48"/>
    <n v="1"/>
    <n v="362.48"/>
    <n v="4.4000000000000004"/>
    <x v="0"/>
    <x v="2"/>
  </r>
  <r>
    <s v="TRIP03236"/>
    <x v="31"/>
    <x v="2"/>
    <s v="Delhi"/>
    <n v="13.94"/>
    <d v="1900-02-04T13:55:12"/>
    <n v="176.84"/>
    <n v="1.2"/>
    <n v="212.21"/>
    <n v="3.8"/>
    <x v="1"/>
    <x v="3"/>
  </r>
  <r>
    <s v="TRIP03237"/>
    <x v="231"/>
    <x v="2"/>
    <s v="Kolkata"/>
    <n v="19.37"/>
    <d v="1900-03-10T05:45:36"/>
    <n v="251.25"/>
    <n v="1.5"/>
    <n v="376.88"/>
    <n v="4.0999999999999996"/>
    <x v="3"/>
    <x v="1"/>
  </r>
  <r>
    <s v="TRIP03238"/>
    <x v="284"/>
    <x v="3"/>
    <s v="Mumbai"/>
    <n v="8.7899999999999991"/>
    <d v="1900-01-26T12:57:36"/>
    <n v="158.85"/>
    <n v="1.2"/>
    <n v="190.62"/>
    <n v="4"/>
    <x v="0"/>
    <x v="3"/>
  </r>
  <r>
    <s v="TRIP03239"/>
    <x v="37"/>
    <x v="0"/>
    <s v="Bangalore"/>
    <n v="24.5"/>
    <d v="1900-02-24T15:50:24"/>
    <n v="340.29"/>
    <n v="1"/>
    <n v="340.29"/>
    <n v="3.5"/>
    <x v="3"/>
    <x v="2"/>
  </r>
  <r>
    <s v="TRIP03240"/>
    <x v="264"/>
    <x v="1"/>
    <s v="Kolkata"/>
    <n v="29.64"/>
    <d v="1900-04-13T12:28:48"/>
    <n v="466.47"/>
    <n v="1"/>
    <n v="466.47"/>
    <n v="4.0999999999999996"/>
    <x v="2"/>
    <x v="0"/>
  </r>
  <r>
    <s v="TRIP03241"/>
    <x v="186"/>
    <x v="1"/>
    <s v="Kolkata"/>
    <n v="29.21"/>
    <d v="1900-03-31T03:36:00"/>
    <n v="366.28"/>
    <n v="2"/>
    <n v="732.56"/>
    <n v="3.7"/>
    <x v="3"/>
    <x v="0"/>
  </r>
  <r>
    <s v="TRIP03242"/>
    <x v="281"/>
    <x v="0"/>
    <s v="Kolkata"/>
    <n v="16.16"/>
    <d v="1900-01-31T13:40:48"/>
    <n v="295.74"/>
    <n v="2"/>
    <n v="591.48"/>
    <n v="4.2"/>
    <x v="0"/>
    <x v="2"/>
  </r>
  <r>
    <s v="TRIP03243"/>
    <x v="293"/>
    <x v="2"/>
    <s v="Bangalore"/>
    <n v="11.5"/>
    <d v="1900-02-12T12:14:24"/>
    <n v="214.2"/>
    <n v="1"/>
    <n v="214.2"/>
    <n v="3.7"/>
    <x v="4"/>
    <x v="3"/>
  </r>
  <r>
    <s v="TRIP03244"/>
    <x v="214"/>
    <x v="4"/>
    <s v="Bangalore"/>
    <n v="11.32"/>
    <d v="1900-02-06T02:09:36"/>
    <n v="222.6"/>
    <n v="1"/>
    <n v="222.6"/>
    <n v="4.8"/>
    <x v="0"/>
    <x v="0"/>
  </r>
  <r>
    <s v="TRIP03245"/>
    <x v="43"/>
    <x v="1"/>
    <s v="Kolkata"/>
    <n v="27.03"/>
    <d v="1900-02-24T02:38:24"/>
    <n v="527.83000000000004"/>
    <n v="2"/>
    <n v="1055.6600000000001"/>
    <n v="4.8"/>
    <x v="4"/>
    <x v="2"/>
  </r>
  <r>
    <s v="TRIP03246"/>
    <x v="25"/>
    <x v="1"/>
    <s v="Chennai"/>
    <n v="2.1800000000000002"/>
    <d v="1900-01-05T11:45:36"/>
    <n v="31.62"/>
    <n v="1.5"/>
    <n v="47.43"/>
    <n v="4.5"/>
    <x v="0"/>
    <x v="1"/>
  </r>
  <r>
    <s v="TRIP03247"/>
    <x v="218"/>
    <x v="1"/>
    <s v="Delhi"/>
    <n v="24.85"/>
    <d v="1900-03-22T13:55:12"/>
    <n v="288.97000000000003"/>
    <n v="1.5"/>
    <n v="433.46"/>
    <n v="3.9"/>
    <x v="1"/>
    <x v="2"/>
  </r>
  <r>
    <s v="TRIP03248"/>
    <x v="313"/>
    <x v="0"/>
    <s v="Mumbai"/>
    <n v="13.33"/>
    <d v="1900-02-19T07:26:24"/>
    <n v="155.56"/>
    <n v="1.5"/>
    <n v="233.34"/>
    <n v="3.5"/>
    <x v="4"/>
    <x v="2"/>
  </r>
  <r>
    <s v="TRIP03249"/>
    <x v="154"/>
    <x v="3"/>
    <s v="Chennai"/>
    <n v="10.92"/>
    <d v="1900-01-24T10:19:12"/>
    <n v="140.22999999999999"/>
    <n v="1.2"/>
    <n v="168.28"/>
    <n v="3.1"/>
    <x v="1"/>
    <x v="1"/>
  </r>
  <r>
    <s v="TRIP03250"/>
    <x v="92"/>
    <x v="0"/>
    <s v="Mumbai"/>
    <n v="11.88"/>
    <d v="1900-01-31T12:28:48"/>
    <n v="141.91"/>
    <n v="1.2"/>
    <n v="170.29"/>
    <n v="4.8"/>
    <x v="2"/>
    <x v="1"/>
  </r>
  <r>
    <s v="TRIP03251"/>
    <x v="170"/>
    <x v="1"/>
    <s v="Chennai"/>
    <n v="5.04"/>
    <d v="1900-01-18T21:21:36"/>
    <n v="72.739999999999995"/>
    <n v="1.5"/>
    <n v="109.11"/>
    <n v="4"/>
    <x v="0"/>
    <x v="3"/>
  </r>
  <r>
    <s v="TRIP03252"/>
    <x v="139"/>
    <x v="2"/>
    <s v="Kolkata"/>
    <n v="26.24"/>
    <d v="1900-04-10T18:43:12"/>
    <n v="283.08"/>
    <n v="1"/>
    <n v="283.08"/>
    <n v="4.3"/>
    <x v="0"/>
    <x v="1"/>
  </r>
  <r>
    <s v="TRIP03253"/>
    <x v="330"/>
    <x v="0"/>
    <s v="Chennai"/>
    <n v="3.41"/>
    <d v="1900-01-10T05:02:24"/>
    <n v="67.25"/>
    <n v="1.5"/>
    <n v="100.88"/>
    <n v="3.5"/>
    <x v="4"/>
    <x v="2"/>
  </r>
  <r>
    <s v="TRIP03254"/>
    <x v="361"/>
    <x v="1"/>
    <s v="Chennai"/>
    <n v="5.72"/>
    <d v="1900-01-12T18:00:00"/>
    <n v="108.09"/>
    <n v="1.5"/>
    <n v="162.13999999999999"/>
    <n v="4"/>
    <x v="4"/>
    <x v="0"/>
  </r>
  <r>
    <s v="TRIP03255"/>
    <x v="18"/>
    <x v="3"/>
    <s v="Kolkata"/>
    <n v="17.940000000000001"/>
    <d v="1900-02-19T23:16:48"/>
    <n v="219.48"/>
    <n v="1.2"/>
    <n v="263.38"/>
    <n v="4.4000000000000004"/>
    <x v="0"/>
    <x v="1"/>
  </r>
  <r>
    <s v="TRIP03256"/>
    <x v="181"/>
    <x v="0"/>
    <s v="Bangalore"/>
    <n v="7.5"/>
    <d v="1900-01-23T07:55:12"/>
    <n v="119.23"/>
    <n v="1.5"/>
    <n v="178.84"/>
    <n v="3.6"/>
    <x v="1"/>
    <x v="2"/>
  </r>
  <r>
    <s v="TRIP03257"/>
    <x v="108"/>
    <x v="0"/>
    <s v="Chennai"/>
    <n v="21.2"/>
    <d v="1900-03-22T03:21:36"/>
    <n v="247.07"/>
    <n v="1.5"/>
    <n v="370.6"/>
    <n v="4.7"/>
    <x v="4"/>
    <x v="3"/>
  </r>
  <r>
    <s v="TRIP03258"/>
    <x v="18"/>
    <x v="3"/>
    <s v="Mumbai"/>
    <n v="27.2"/>
    <d v="1900-02-27T19:26:24"/>
    <n v="450.48"/>
    <n v="1.2"/>
    <n v="540.58000000000004"/>
    <n v="3.4"/>
    <x v="4"/>
    <x v="3"/>
  </r>
  <r>
    <s v="TRIP03259"/>
    <x v="250"/>
    <x v="3"/>
    <s v="Mumbai"/>
    <n v="28.67"/>
    <d v="1900-04-15T02:52:48"/>
    <n v="371.17"/>
    <n v="2"/>
    <n v="742.34"/>
    <n v="3.7"/>
    <x v="3"/>
    <x v="1"/>
  </r>
  <r>
    <s v="TRIP03260"/>
    <x v="288"/>
    <x v="4"/>
    <s v="Kolkata"/>
    <n v="9.16"/>
    <d v="1900-02-02T14:52:48"/>
    <n v="180.19"/>
    <n v="1.5"/>
    <n v="270.27999999999997"/>
    <n v="4.8"/>
    <x v="1"/>
    <x v="0"/>
  </r>
  <r>
    <s v="TRIP03261"/>
    <x v="136"/>
    <x v="0"/>
    <s v="Mumbai"/>
    <n v="1.94"/>
    <d v="1900-01-03T05:16:48"/>
    <n v="35.81"/>
    <n v="2"/>
    <n v="71.62"/>
    <n v="4.0999999999999996"/>
    <x v="1"/>
    <x v="0"/>
  </r>
  <r>
    <s v="TRIP03262"/>
    <x v="284"/>
    <x v="1"/>
    <s v="Chennai"/>
    <n v="10.75"/>
    <d v="1900-01-25T01:40:48"/>
    <n v="167.91"/>
    <n v="1.5"/>
    <n v="251.86"/>
    <n v="4.4000000000000004"/>
    <x v="3"/>
    <x v="1"/>
  </r>
  <r>
    <s v="TRIP03263"/>
    <x v="3"/>
    <x v="0"/>
    <s v="Mumbai"/>
    <n v="14.03"/>
    <d v="1900-02-21T03:21:36"/>
    <n v="261.77"/>
    <n v="1.5"/>
    <n v="392.66"/>
    <n v="4"/>
    <x v="1"/>
    <x v="0"/>
  </r>
  <r>
    <s v="TRIP03264"/>
    <x v="361"/>
    <x v="0"/>
    <s v="Delhi"/>
    <n v="28.05"/>
    <d v="1900-04-05T05:16:48"/>
    <n v="540.87"/>
    <n v="1.5"/>
    <n v="811.3"/>
    <n v="3.2"/>
    <x v="0"/>
    <x v="0"/>
  </r>
  <r>
    <s v="TRIP03265"/>
    <x v="269"/>
    <x v="4"/>
    <s v="Delhi"/>
    <n v="15.85"/>
    <d v="1900-02-19T15:36:00"/>
    <n v="264.82"/>
    <n v="1.2"/>
    <n v="317.77999999999997"/>
    <n v="3.2"/>
    <x v="0"/>
    <x v="3"/>
  </r>
  <r>
    <s v="TRIP03266"/>
    <x v="104"/>
    <x v="4"/>
    <s v="Bangalore"/>
    <n v="22.29"/>
    <d v="1900-02-25T07:26:24"/>
    <n v="289.25"/>
    <n v="1.2"/>
    <n v="347.1"/>
    <n v="3.4"/>
    <x v="0"/>
    <x v="0"/>
  </r>
  <r>
    <s v="TRIP03267"/>
    <x v="108"/>
    <x v="0"/>
    <s v="Chennai"/>
    <n v="23.89"/>
    <d v="1900-03-02T22:19:12"/>
    <n v="442.86"/>
    <n v="2"/>
    <n v="885.72"/>
    <n v="4.2"/>
    <x v="4"/>
    <x v="2"/>
  </r>
  <r>
    <s v="TRIP03268"/>
    <x v="281"/>
    <x v="0"/>
    <s v="Delhi"/>
    <n v="10.42"/>
    <d v="1900-01-30T14:24:00"/>
    <n v="150.55000000000001"/>
    <n v="1"/>
    <n v="150.55000000000001"/>
    <n v="4.7"/>
    <x v="0"/>
    <x v="0"/>
  </r>
  <r>
    <s v="TRIP03269"/>
    <x v="197"/>
    <x v="2"/>
    <s v="Kolkata"/>
    <n v="15.02"/>
    <d v="1900-02-23T01:26:24"/>
    <n v="166"/>
    <n v="2"/>
    <n v="332"/>
    <n v="4.4000000000000004"/>
    <x v="1"/>
    <x v="2"/>
  </r>
  <r>
    <s v="TRIP03270"/>
    <x v="194"/>
    <x v="4"/>
    <s v="Kolkata"/>
    <n v="18.05"/>
    <d v="1900-02-22T12:00:00"/>
    <n v="274.93"/>
    <n v="1.5"/>
    <n v="412.4"/>
    <n v="4.5"/>
    <x v="4"/>
    <x v="1"/>
  </r>
  <r>
    <s v="TRIP03271"/>
    <x v="145"/>
    <x v="1"/>
    <s v="Bangalore"/>
    <n v="3.46"/>
    <d v="1900-01-09T21:21:36"/>
    <n v="54.35"/>
    <n v="1.2"/>
    <n v="65.22"/>
    <n v="3.5"/>
    <x v="0"/>
    <x v="2"/>
  </r>
  <r>
    <s v="TRIP03272"/>
    <x v="235"/>
    <x v="2"/>
    <s v="Kolkata"/>
    <n v="4.97"/>
    <d v="1900-01-14T15:07:12"/>
    <n v="54.24"/>
    <n v="1.2"/>
    <n v="65.09"/>
    <n v="4.0999999999999996"/>
    <x v="4"/>
    <x v="3"/>
  </r>
  <r>
    <s v="TRIP03273"/>
    <x v="328"/>
    <x v="4"/>
    <s v="Mumbai"/>
    <n v="13.61"/>
    <d v="1900-02-10T15:21:36"/>
    <n v="139.16"/>
    <n v="1.2"/>
    <n v="166.99"/>
    <n v="4.4000000000000004"/>
    <x v="2"/>
    <x v="1"/>
  </r>
  <r>
    <s v="TRIP03274"/>
    <x v="28"/>
    <x v="1"/>
    <s v="Chennai"/>
    <n v="2.02"/>
    <d v="1900-01-05T10:04:48"/>
    <n v="29.03"/>
    <n v="2"/>
    <n v="58.06"/>
    <n v="3.1"/>
    <x v="3"/>
    <x v="0"/>
  </r>
  <r>
    <s v="TRIP03275"/>
    <x v="179"/>
    <x v="0"/>
    <s v="Kolkata"/>
    <n v="1.31"/>
    <d v="1900-01-03T03:07:12"/>
    <n v="25.7"/>
    <n v="2"/>
    <n v="51.4"/>
    <n v="4.5"/>
    <x v="0"/>
    <x v="0"/>
  </r>
  <r>
    <s v="TRIP03276"/>
    <x v="146"/>
    <x v="2"/>
    <s v="Mumbai"/>
    <n v="11.27"/>
    <d v="1900-02-03T00:57:36"/>
    <n v="182.06"/>
    <n v="1"/>
    <n v="182.06"/>
    <n v="4.7"/>
    <x v="1"/>
    <x v="0"/>
  </r>
  <r>
    <s v="TRIP03277"/>
    <x v="254"/>
    <x v="0"/>
    <s v="Mumbai"/>
    <n v="7.86"/>
    <d v="1900-01-16T23:16:48"/>
    <n v="107.99"/>
    <n v="2"/>
    <n v="215.98"/>
    <n v="3.6"/>
    <x v="2"/>
    <x v="3"/>
  </r>
  <r>
    <s v="TRIP03278"/>
    <x v="167"/>
    <x v="3"/>
    <s v="Kolkata"/>
    <n v="14.27"/>
    <d v="1900-02-14T21:21:36"/>
    <n v="157.4"/>
    <n v="1"/>
    <n v="157.4"/>
    <n v="4.5"/>
    <x v="4"/>
    <x v="1"/>
  </r>
  <r>
    <s v="TRIP03279"/>
    <x v="37"/>
    <x v="3"/>
    <s v="Chennai"/>
    <n v="23.63"/>
    <d v="1900-03-24T19:26:24"/>
    <n v="296.91000000000003"/>
    <n v="2"/>
    <n v="593.82000000000005"/>
    <n v="4.5999999999999996"/>
    <x v="2"/>
    <x v="2"/>
  </r>
  <r>
    <s v="TRIP03280"/>
    <x v="270"/>
    <x v="0"/>
    <s v="Bangalore"/>
    <n v="3.6"/>
    <d v="1900-01-11T02:52:48"/>
    <n v="70.64"/>
    <n v="1"/>
    <n v="70.64"/>
    <n v="4.0999999999999996"/>
    <x v="0"/>
    <x v="3"/>
  </r>
  <r>
    <s v="TRIP03281"/>
    <x v="138"/>
    <x v="1"/>
    <s v="Chennai"/>
    <n v="14.77"/>
    <d v="1900-02-16T14:24:00"/>
    <n v="221.54"/>
    <n v="1"/>
    <n v="221.54"/>
    <n v="3.1"/>
    <x v="3"/>
    <x v="3"/>
  </r>
  <r>
    <s v="TRIP03282"/>
    <x v="172"/>
    <x v="0"/>
    <s v="Kolkata"/>
    <n v="2.12"/>
    <d v="1900-01-03T19:40:48"/>
    <n v="27.26"/>
    <n v="2"/>
    <n v="54.52"/>
    <n v="3.2"/>
    <x v="2"/>
    <x v="1"/>
  </r>
  <r>
    <s v="TRIP03283"/>
    <x v="295"/>
    <x v="3"/>
    <s v="Kolkata"/>
    <n v="14.22"/>
    <d v="1900-01-28T12:57:36"/>
    <n v="147.16"/>
    <n v="1.2"/>
    <n v="176.59"/>
    <n v="4.7"/>
    <x v="0"/>
    <x v="2"/>
  </r>
  <r>
    <s v="TRIP03284"/>
    <x v="4"/>
    <x v="3"/>
    <s v="Bangalore"/>
    <n v="19.29"/>
    <d v="1900-02-23T01:12:00"/>
    <n v="366.92"/>
    <n v="1"/>
    <n v="366.92"/>
    <n v="4.4000000000000004"/>
    <x v="1"/>
    <x v="3"/>
  </r>
  <r>
    <s v="TRIP03285"/>
    <x v="76"/>
    <x v="0"/>
    <s v="Mumbai"/>
    <n v="3.42"/>
    <d v="1900-01-07T19:55:12"/>
    <n v="52.8"/>
    <n v="1.5"/>
    <n v="79.2"/>
    <n v="3.2"/>
    <x v="2"/>
    <x v="0"/>
  </r>
  <r>
    <s v="TRIP03286"/>
    <x v="116"/>
    <x v="1"/>
    <s v="Mumbai"/>
    <n v="16.29"/>
    <d v="1900-02-06T02:38:24"/>
    <n v="293.29000000000002"/>
    <n v="2"/>
    <n v="586.58000000000004"/>
    <n v="4.5999999999999996"/>
    <x v="4"/>
    <x v="1"/>
  </r>
  <r>
    <s v="TRIP03287"/>
    <x v="11"/>
    <x v="3"/>
    <s v="Kolkata"/>
    <n v="10.34"/>
    <d v="1900-01-26T12:28:48"/>
    <n v="161.66999999999999"/>
    <n v="2"/>
    <n v="323.33999999999997"/>
    <n v="4.5"/>
    <x v="3"/>
    <x v="2"/>
  </r>
  <r>
    <s v="TRIP03288"/>
    <x v="166"/>
    <x v="4"/>
    <s v="Mumbai"/>
    <n v="2.77"/>
    <d v="1900-01-06T14:38:24"/>
    <n v="33.44"/>
    <n v="1"/>
    <n v="33.44"/>
    <n v="4.9000000000000004"/>
    <x v="2"/>
    <x v="2"/>
  </r>
  <r>
    <s v="TRIP03289"/>
    <x v="133"/>
    <x v="4"/>
    <s v="Kolkata"/>
    <n v="21.27"/>
    <d v="1900-03-16T15:07:12"/>
    <n v="366.06"/>
    <n v="1.5"/>
    <n v="549.09"/>
    <n v="4.8"/>
    <x v="4"/>
    <x v="3"/>
  </r>
  <r>
    <s v="TRIP03290"/>
    <x v="189"/>
    <x v="1"/>
    <s v="Delhi"/>
    <n v="18.3"/>
    <d v="1900-02-27T21:21:36"/>
    <n v="338.42"/>
    <n v="2"/>
    <n v="676.84"/>
    <n v="3.6"/>
    <x v="4"/>
    <x v="1"/>
  </r>
  <r>
    <s v="TRIP03291"/>
    <x v="64"/>
    <x v="3"/>
    <s v="Delhi"/>
    <n v="1.87"/>
    <d v="1900-01-02T21:07:12"/>
    <n v="36.520000000000003"/>
    <n v="1.5"/>
    <n v="54.78"/>
    <n v="3.9"/>
    <x v="2"/>
    <x v="1"/>
  </r>
  <r>
    <s v="TRIP03292"/>
    <x v="32"/>
    <x v="2"/>
    <s v="Delhi"/>
    <n v="18.73"/>
    <d v="1900-03-06T22:04:48"/>
    <n v="249.86"/>
    <n v="1.2"/>
    <n v="299.83"/>
    <n v="3.2"/>
    <x v="4"/>
    <x v="3"/>
  </r>
  <r>
    <s v="TRIP03293"/>
    <x v="264"/>
    <x v="4"/>
    <s v="Kolkata"/>
    <n v="21.21"/>
    <d v="1900-02-22T21:50:24"/>
    <n v="328.47"/>
    <n v="2"/>
    <n v="656.94"/>
    <n v="3.1"/>
    <x v="2"/>
    <x v="1"/>
  </r>
  <r>
    <s v="TRIP03294"/>
    <x v="344"/>
    <x v="4"/>
    <s v="Chennai"/>
    <n v="27.54"/>
    <d v="1900-04-13T13:26:24"/>
    <n v="542.80999999999995"/>
    <n v="1.2"/>
    <n v="651.37"/>
    <n v="4.0999999999999996"/>
    <x v="1"/>
    <x v="2"/>
  </r>
  <r>
    <s v="TRIP03295"/>
    <x v="207"/>
    <x v="1"/>
    <s v="Chennai"/>
    <n v="25.14"/>
    <d v="1900-03-03T21:36:00"/>
    <n v="358.86"/>
    <n v="1"/>
    <n v="358.86"/>
    <n v="4.9000000000000004"/>
    <x v="1"/>
    <x v="0"/>
  </r>
  <r>
    <s v="TRIP03296"/>
    <x v="290"/>
    <x v="0"/>
    <s v="Kolkata"/>
    <n v="12.62"/>
    <d v="1900-02-10T00:57:36"/>
    <n v="228.36"/>
    <n v="1.5"/>
    <n v="342.54"/>
    <n v="3.6"/>
    <x v="2"/>
    <x v="2"/>
  </r>
  <r>
    <s v="TRIP03297"/>
    <x v="39"/>
    <x v="1"/>
    <s v="Delhi"/>
    <n v="14.91"/>
    <d v="1900-02-03T16:48:00"/>
    <n v="250.52"/>
    <n v="1.5"/>
    <n v="375.78"/>
    <n v="3.6"/>
    <x v="0"/>
    <x v="0"/>
  </r>
  <r>
    <s v="TRIP03298"/>
    <x v="290"/>
    <x v="4"/>
    <s v="Kolkata"/>
    <n v="28.08"/>
    <d v="1900-03-13T08:24:00"/>
    <n v="336.01"/>
    <n v="1.2"/>
    <n v="403.21"/>
    <n v="3"/>
    <x v="0"/>
    <x v="0"/>
  </r>
  <r>
    <s v="TRIP03299"/>
    <x v="129"/>
    <x v="3"/>
    <s v="Delhi"/>
    <n v="2.5299999999999998"/>
    <d v="1900-01-05T12:57:36"/>
    <n v="32.78"/>
    <n v="1.5"/>
    <n v="49.17"/>
    <n v="3.8"/>
    <x v="3"/>
    <x v="0"/>
  </r>
  <r>
    <s v="TRIP03300"/>
    <x v="99"/>
    <x v="2"/>
    <s v="Delhi"/>
    <n v="16.46"/>
    <d v="1900-02-04T03:21:36"/>
    <n v="294.72000000000003"/>
    <n v="1.2"/>
    <n v="353.66"/>
    <n v="3.4"/>
    <x v="0"/>
    <x v="1"/>
  </r>
  <r>
    <s v="TRIP03301"/>
    <x v="159"/>
    <x v="0"/>
    <s v="Bangalore"/>
    <n v="13.14"/>
    <d v="1900-02-04T07:26:24"/>
    <n v="144.30000000000001"/>
    <n v="1.5"/>
    <n v="216.45"/>
    <n v="3.8"/>
    <x v="3"/>
    <x v="0"/>
  </r>
  <r>
    <s v="TRIP03302"/>
    <x v="24"/>
    <x v="2"/>
    <s v="Mumbai"/>
    <n v="14.57"/>
    <d v="1900-02-18T17:16:48"/>
    <n v="267"/>
    <n v="1"/>
    <n v="267"/>
    <n v="3.8"/>
    <x v="3"/>
    <x v="3"/>
  </r>
  <r>
    <s v="TRIP03303"/>
    <x v="226"/>
    <x v="0"/>
    <s v="Bangalore"/>
    <n v="19.04"/>
    <d v="1900-02-09T03:21:36"/>
    <n v="322.66000000000003"/>
    <n v="1.5"/>
    <n v="483.99"/>
    <n v="3"/>
    <x v="1"/>
    <x v="0"/>
  </r>
  <r>
    <s v="TRIP03304"/>
    <x v="165"/>
    <x v="3"/>
    <s v="Mumbai"/>
    <n v="26"/>
    <d v="1900-03-23T22:19:12"/>
    <n v="352.23"/>
    <n v="2"/>
    <n v="704.46"/>
    <n v="3.5"/>
    <x v="2"/>
    <x v="3"/>
  </r>
  <r>
    <s v="TRIP03305"/>
    <x v="93"/>
    <x v="2"/>
    <s v="Mumbai"/>
    <n v="27.77"/>
    <d v="1900-03-28T15:50:24"/>
    <n v="547.53"/>
    <n v="1.5"/>
    <n v="821.3"/>
    <n v="3.2"/>
    <x v="0"/>
    <x v="3"/>
  </r>
  <r>
    <s v="TRIP03306"/>
    <x v="175"/>
    <x v="3"/>
    <s v="Bangalore"/>
    <n v="24.15"/>
    <d v="1900-03-13T16:19:12"/>
    <n v="263.49"/>
    <n v="2"/>
    <n v="526.98"/>
    <n v="4.5999999999999996"/>
    <x v="1"/>
    <x v="0"/>
  </r>
  <r>
    <s v="TRIP03307"/>
    <x v="188"/>
    <x v="2"/>
    <s v="Delhi"/>
    <n v="21.39"/>
    <d v="1900-02-14T18:14:24"/>
    <n v="217.34"/>
    <n v="1"/>
    <n v="217.34"/>
    <n v="3.4"/>
    <x v="4"/>
    <x v="1"/>
  </r>
  <r>
    <s v="TRIP03308"/>
    <x v="284"/>
    <x v="2"/>
    <s v="Delhi"/>
    <n v="22.03"/>
    <d v="1900-03-08T14:24:00"/>
    <n v="336.17"/>
    <n v="1.2"/>
    <n v="403.4"/>
    <n v="4.0999999999999996"/>
    <x v="3"/>
    <x v="0"/>
  </r>
  <r>
    <s v="TRIP03309"/>
    <x v="362"/>
    <x v="4"/>
    <s v="Kolkata"/>
    <n v="12.61"/>
    <d v="1900-02-11T21:21:36"/>
    <n v="158.19"/>
    <n v="1.5"/>
    <n v="237.28"/>
    <n v="4.5999999999999996"/>
    <x v="4"/>
    <x v="1"/>
  </r>
  <r>
    <s v="TRIP03310"/>
    <x v="54"/>
    <x v="0"/>
    <s v="Kolkata"/>
    <n v="29"/>
    <d v="1900-03-08T11:31:12"/>
    <n v="462.42"/>
    <n v="1.2"/>
    <n v="554.9"/>
    <n v="3.7"/>
    <x v="2"/>
    <x v="3"/>
  </r>
  <r>
    <s v="TRIP03311"/>
    <x v="73"/>
    <x v="1"/>
    <s v="Mumbai"/>
    <n v="17.399999999999999"/>
    <d v="1900-03-02T00:43:12"/>
    <n v="178.01"/>
    <n v="2"/>
    <n v="356.02"/>
    <n v="4.3"/>
    <x v="4"/>
    <x v="0"/>
  </r>
  <r>
    <s v="TRIP03312"/>
    <x v="29"/>
    <x v="4"/>
    <s v="Kolkata"/>
    <n v="22.78"/>
    <d v="1900-03-20T04:48:00"/>
    <n v="316.43"/>
    <n v="2"/>
    <n v="632.86"/>
    <n v="4.3"/>
    <x v="2"/>
    <x v="2"/>
  </r>
  <r>
    <s v="TRIP03313"/>
    <x v="113"/>
    <x v="3"/>
    <s v="Mumbai"/>
    <n v="27.06"/>
    <d v="1900-03-03T17:02:24"/>
    <n v="349.71"/>
    <n v="1"/>
    <n v="349.71"/>
    <n v="3.7"/>
    <x v="3"/>
    <x v="3"/>
  </r>
  <r>
    <s v="TRIP03314"/>
    <x v="131"/>
    <x v="2"/>
    <s v="Delhi"/>
    <n v="13.3"/>
    <d v="1900-02-07T16:48:00"/>
    <n v="246.89"/>
    <n v="1.5"/>
    <n v="370.34"/>
    <n v="4.2"/>
    <x v="0"/>
    <x v="2"/>
  </r>
  <r>
    <s v="TRIP03315"/>
    <x v="114"/>
    <x v="4"/>
    <s v="Kolkata"/>
    <n v="8.18"/>
    <d v="1900-01-22T01:12:00"/>
    <n v="123.99"/>
    <n v="1.5"/>
    <n v="185.98"/>
    <n v="4.9000000000000004"/>
    <x v="0"/>
    <x v="3"/>
  </r>
  <r>
    <s v="TRIP03316"/>
    <x v="34"/>
    <x v="2"/>
    <s v="Delhi"/>
    <n v="22.73"/>
    <d v="1900-03-05T06:43:12"/>
    <n v="252.3"/>
    <n v="1.2"/>
    <n v="302.76"/>
    <n v="4.5999999999999996"/>
    <x v="0"/>
    <x v="1"/>
  </r>
  <r>
    <s v="TRIP03317"/>
    <x v="28"/>
    <x v="1"/>
    <s v="Kolkata"/>
    <n v="15.12"/>
    <d v="1900-02-12T04:19:12"/>
    <n v="216.73"/>
    <n v="1.5"/>
    <n v="325.08999999999997"/>
    <n v="4.4000000000000004"/>
    <x v="2"/>
    <x v="1"/>
  </r>
  <r>
    <s v="TRIP03318"/>
    <x v="58"/>
    <x v="0"/>
    <s v="Mumbai"/>
    <n v="9.65"/>
    <d v="1900-01-30T04:04:48"/>
    <n v="119.61"/>
    <n v="1.2"/>
    <n v="143.53"/>
    <n v="4.8"/>
    <x v="3"/>
    <x v="2"/>
  </r>
  <r>
    <s v="TRIP03319"/>
    <x v="123"/>
    <x v="2"/>
    <s v="Bangalore"/>
    <n v="8.69"/>
    <d v="1900-01-17T00:28:48"/>
    <n v="157.75"/>
    <n v="1.2"/>
    <n v="189.3"/>
    <n v="4.5"/>
    <x v="3"/>
    <x v="0"/>
  </r>
  <r>
    <s v="TRIP03320"/>
    <x v="113"/>
    <x v="1"/>
    <s v="Bangalore"/>
    <n v="14.84"/>
    <d v="1900-02-10T12:28:48"/>
    <n v="256.08999999999997"/>
    <n v="2"/>
    <n v="512.17999999999995"/>
    <n v="4.7"/>
    <x v="3"/>
    <x v="0"/>
  </r>
  <r>
    <s v="TRIP03321"/>
    <x v="110"/>
    <x v="4"/>
    <s v="Kolkata"/>
    <n v="2.5"/>
    <d v="1900-01-07T20:09:36"/>
    <n v="33.81"/>
    <n v="1.2"/>
    <n v="40.57"/>
    <n v="3.6"/>
    <x v="3"/>
    <x v="2"/>
  </r>
  <r>
    <s v="TRIP03322"/>
    <x v="308"/>
    <x v="4"/>
    <s v="Kolkata"/>
    <n v="21.81"/>
    <d v="1900-03-24T14:24:00"/>
    <n v="360.12"/>
    <n v="1.2"/>
    <n v="432.14"/>
    <n v="4"/>
    <x v="4"/>
    <x v="1"/>
  </r>
  <r>
    <s v="TRIP03323"/>
    <x v="118"/>
    <x v="3"/>
    <s v="Delhi"/>
    <n v="16.760000000000002"/>
    <d v="1900-02-21T02:52:48"/>
    <n v="192.21"/>
    <n v="1.2"/>
    <n v="230.65"/>
    <n v="3.8"/>
    <x v="4"/>
    <x v="2"/>
  </r>
  <r>
    <s v="TRIP03324"/>
    <x v="238"/>
    <x v="3"/>
    <s v="Mumbai"/>
    <n v="1.42"/>
    <d v="1900-01-03T14:38:24"/>
    <n v="15.86"/>
    <n v="1.2"/>
    <n v="19.03"/>
    <n v="4"/>
    <x v="4"/>
    <x v="0"/>
  </r>
  <r>
    <s v="TRIP03325"/>
    <x v="86"/>
    <x v="1"/>
    <s v="Mumbai"/>
    <n v="16.95"/>
    <d v="1900-02-11T00:57:36"/>
    <n v="302.76"/>
    <n v="1.2"/>
    <n v="363.31"/>
    <n v="4"/>
    <x v="1"/>
    <x v="2"/>
  </r>
  <r>
    <s v="TRIP03326"/>
    <x v="155"/>
    <x v="0"/>
    <s v="Kolkata"/>
    <n v="18.7"/>
    <d v="1900-02-11T18:14:24"/>
    <n v="356.26"/>
    <n v="2"/>
    <n v="712.52"/>
    <n v="3.5"/>
    <x v="0"/>
    <x v="2"/>
  </r>
  <r>
    <s v="TRIP03327"/>
    <x v="362"/>
    <x v="0"/>
    <s v="Chennai"/>
    <n v="1.21"/>
    <d v="1900-01-02T01:26:24"/>
    <n v="14.52"/>
    <n v="1.5"/>
    <n v="21.78"/>
    <n v="4.4000000000000004"/>
    <x v="4"/>
    <x v="2"/>
  </r>
  <r>
    <s v="TRIP03328"/>
    <x v="161"/>
    <x v="0"/>
    <s v="Chennai"/>
    <n v="21.14"/>
    <d v="1900-02-19T08:09:36"/>
    <n v="356.71"/>
    <n v="1"/>
    <n v="356.71"/>
    <n v="4.3"/>
    <x v="2"/>
    <x v="2"/>
  </r>
  <r>
    <s v="TRIP03329"/>
    <x v="178"/>
    <x v="4"/>
    <s v="Mumbai"/>
    <n v="13.7"/>
    <d v="1900-02-10T23:02:24"/>
    <n v="204.58"/>
    <n v="1.2"/>
    <n v="245.5"/>
    <n v="4.5999999999999996"/>
    <x v="0"/>
    <x v="2"/>
  </r>
  <r>
    <s v="TRIP03330"/>
    <x v="183"/>
    <x v="2"/>
    <s v="Delhi"/>
    <n v="16.68"/>
    <d v="1900-02-16T09:07:12"/>
    <n v="243.7"/>
    <n v="1"/>
    <n v="243.7"/>
    <n v="3.8"/>
    <x v="1"/>
    <x v="0"/>
  </r>
  <r>
    <s v="TRIP03331"/>
    <x v="80"/>
    <x v="0"/>
    <s v="Mumbai"/>
    <n v="7.61"/>
    <d v="1900-01-26T11:31:12"/>
    <n v="124.67"/>
    <n v="1.2"/>
    <n v="149.6"/>
    <n v="4.5"/>
    <x v="1"/>
    <x v="0"/>
  </r>
  <r>
    <s v="TRIP03332"/>
    <x v="58"/>
    <x v="3"/>
    <s v="Kolkata"/>
    <n v="10.210000000000001"/>
    <d v="1900-01-22T06:28:48"/>
    <n v="109.78"/>
    <n v="1"/>
    <n v="109.78"/>
    <n v="4.5"/>
    <x v="4"/>
    <x v="1"/>
  </r>
  <r>
    <s v="TRIP03333"/>
    <x v="220"/>
    <x v="0"/>
    <s v="Chennai"/>
    <n v="1.87"/>
    <d v="1900-01-05T11:31:12"/>
    <n v="23.35"/>
    <n v="1.2"/>
    <n v="28.02"/>
    <n v="3.6"/>
    <x v="3"/>
    <x v="2"/>
  </r>
  <r>
    <s v="TRIP03334"/>
    <x v="0"/>
    <x v="2"/>
    <s v="Kolkata"/>
    <n v="25.23"/>
    <d v="1900-03-22T17:31:12"/>
    <n v="338.59"/>
    <n v="1.2"/>
    <n v="406.31"/>
    <n v="4"/>
    <x v="0"/>
    <x v="2"/>
  </r>
  <r>
    <s v="TRIP03335"/>
    <x v="113"/>
    <x v="3"/>
    <s v="Mumbai"/>
    <n v="8.02"/>
    <d v="1900-01-26T14:38:24"/>
    <n v="140.76"/>
    <n v="1.2"/>
    <n v="168.91"/>
    <n v="4.2"/>
    <x v="1"/>
    <x v="2"/>
  </r>
  <r>
    <s v="TRIP03336"/>
    <x v="355"/>
    <x v="4"/>
    <s v="Kolkata"/>
    <n v="11.16"/>
    <d v="1900-02-07T13:12:00"/>
    <n v="181.07"/>
    <n v="1.2"/>
    <n v="217.28"/>
    <n v="3.4"/>
    <x v="2"/>
    <x v="1"/>
  </r>
  <r>
    <s v="TRIP03337"/>
    <x v="64"/>
    <x v="4"/>
    <s v="Mumbai"/>
    <n v="7.82"/>
    <d v="1900-01-26T10:19:12"/>
    <n v="145.87"/>
    <n v="1"/>
    <n v="145.87"/>
    <n v="4"/>
    <x v="3"/>
    <x v="3"/>
  </r>
  <r>
    <s v="TRIP03338"/>
    <x v="20"/>
    <x v="3"/>
    <s v="Chennai"/>
    <n v="12.83"/>
    <d v="1900-02-18T20:24:00"/>
    <n v="177"/>
    <n v="1.5"/>
    <n v="265.5"/>
    <n v="3.2"/>
    <x v="4"/>
    <x v="1"/>
  </r>
  <r>
    <s v="TRIP03339"/>
    <x v="229"/>
    <x v="0"/>
    <s v="Mumbai"/>
    <n v="29.43"/>
    <d v="1900-04-09T07:12:00"/>
    <n v="516.02"/>
    <n v="1.5"/>
    <n v="774.03"/>
    <n v="4.4000000000000004"/>
    <x v="1"/>
    <x v="3"/>
  </r>
  <r>
    <s v="TRIP03340"/>
    <x v="5"/>
    <x v="4"/>
    <s v="Delhi"/>
    <n v="23.47"/>
    <d v="1900-03-18T11:16:48"/>
    <n v="303.20999999999998"/>
    <n v="1.5"/>
    <n v="454.81"/>
    <n v="4.8"/>
    <x v="4"/>
    <x v="2"/>
  </r>
  <r>
    <s v="TRIP03341"/>
    <x v="253"/>
    <x v="4"/>
    <s v="Chennai"/>
    <n v="14.68"/>
    <d v="1900-02-04T12:28:48"/>
    <n v="198.05"/>
    <n v="1.2"/>
    <n v="237.66"/>
    <n v="3.8"/>
    <x v="0"/>
    <x v="2"/>
  </r>
  <r>
    <s v="TRIP03342"/>
    <x v="104"/>
    <x v="4"/>
    <s v="Bangalore"/>
    <n v="3.22"/>
    <d v="1900-01-11T08:38:24"/>
    <n v="49.28"/>
    <n v="1.5"/>
    <n v="73.92"/>
    <n v="5"/>
    <x v="2"/>
    <x v="1"/>
  </r>
  <r>
    <s v="TRIP03343"/>
    <x v="276"/>
    <x v="4"/>
    <s v="Chennai"/>
    <n v="19.22"/>
    <d v="1900-03-13T21:07:12"/>
    <n v="226.54"/>
    <n v="1.2"/>
    <n v="271.85000000000002"/>
    <n v="4.7"/>
    <x v="4"/>
    <x v="0"/>
  </r>
  <r>
    <s v="TRIP03344"/>
    <x v="153"/>
    <x v="1"/>
    <s v="Bangalore"/>
    <n v="11.76"/>
    <d v="1900-01-23T01:12:00"/>
    <n v="134.96"/>
    <n v="1"/>
    <n v="134.96"/>
    <n v="4.4000000000000004"/>
    <x v="0"/>
    <x v="2"/>
  </r>
  <r>
    <s v="TRIP03345"/>
    <x v="92"/>
    <x v="2"/>
    <s v="Bangalore"/>
    <n v="22.95"/>
    <d v="1900-03-11T00:00:00"/>
    <n v="293.5"/>
    <n v="1.2"/>
    <n v="352.2"/>
    <n v="3.1"/>
    <x v="4"/>
    <x v="1"/>
  </r>
  <r>
    <s v="TRIP03346"/>
    <x v="188"/>
    <x v="0"/>
    <s v="Bangalore"/>
    <n v="8.3800000000000008"/>
    <d v="1900-01-29T06:28:48"/>
    <n v="146.66"/>
    <n v="2"/>
    <n v="293.32"/>
    <n v="3.9"/>
    <x v="3"/>
    <x v="2"/>
  </r>
  <r>
    <s v="TRIP03347"/>
    <x v="12"/>
    <x v="2"/>
    <s v="Bangalore"/>
    <n v="15.11"/>
    <d v="1900-02-18T14:09:36"/>
    <n v="275.58999999999997"/>
    <n v="2"/>
    <n v="551.17999999999995"/>
    <n v="3.3"/>
    <x v="1"/>
    <x v="3"/>
  </r>
  <r>
    <s v="TRIP03348"/>
    <x v="82"/>
    <x v="4"/>
    <s v="Bangalore"/>
    <n v="23.64"/>
    <d v="1900-03-19T17:16:48"/>
    <n v="343.05"/>
    <n v="1.5"/>
    <n v="514.58000000000004"/>
    <n v="3.8"/>
    <x v="0"/>
    <x v="1"/>
  </r>
  <r>
    <s v="TRIP03349"/>
    <x v="97"/>
    <x v="1"/>
    <s v="Chennai"/>
    <n v="1.19"/>
    <d v="1900-01-02T15:21:36"/>
    <n v="16.87"/>
    <n v="1.2"/>
    <n v="20.239999999999998"/>
    <n v="3.6"/>
    <x v="1"/>
    <x v="2"/>
  </r>
  <r>
    <s v="TRIP03350"/>
    <x v="350"/>
    <x v="0"/>
    <s v="Mumbai"/>
    <n v="28.16"/>
    <d v="1900-03-07T08:52:48"/>
    <n v="560.42999999999995"/>
    <n v="1.2"/>
    <n v="672.52"/>
    <n v="3.8"/>
    <x v="1"/>
    <x v="3"/>
  </r>
  <r>
    <s v="TRIP03351"/>
    <x v="186"/>
    <x v="1"/>
    <s v="Delhi"/>
    <n v="15.55"/>
    <d v="1900-02-10T06:43:12"/>
    <n v="177.16"/>
    <n v="2"/>
    <n v="354.32"/>
    <n v="3.9"/>
    <x v="1"/>
    <x v="3"/>
  </r>
  <r>
    <s v="TRIP03352"/>
    <x v="70"/>
    <x v="3"/>
    <s v="Chennai"/>
    <n v="11.95"/>
    <d v="1900-02-14T21:07:12"/>
    <n v="158.41"/>
    <n v="1.2"/>
    <n v="190.09"/>
    <n v="3.7"/>
    <x v="1"/>
    <x v="1"/>
  </r>
  <r>
    <s v="TRIP03353"/>
    <x v="75"/>
    <x v="0"/>
    <s v="Bangalore"/>
    <n v="10.44"/>
    <d v="1900-01-29T19:12:00"/>
    <n v="144.96"/>
    <n v="1"/>
    <n v="144.96"/>
    <n v="3.3"/>
    <x v="2"/>
    <x v="3"/>
  </r>
  <r>
    <s v="TRIP03354"/>
    <x v="213"/>
    <x v="2"/>
    <s v="Chennai"/>
    <n v="11.44"/>
    <d v="1900-02-11T05:31:12"/>
    <n v="193.38"/>
    <n v="1"/>
    <n v="193.38"/>
    <n v="4.5"/>
    <x v="3"/>
    <x v="3"/>
  </r>
  <r>
    <s v="TRIP03355"/>
    <x v="205"/>
    <x v="3"/>
    <s v="Mumbai"/>
    <n v="26.87"/>
    <d v="1900-03-31T08:38:24"/>
    <n v="308.64999999999998"/>
    <n v="1"/>
    <n v="308.64999999999998"/>
    <n v="5"/>
    <x v="2"/>
    <x v="0"/>
  </r>
  <r>
    <s v="TRIP03356"/>
    <x v="223"/>
    <x v="1"/>
    <s v="Chennai"/>
    <n v="14.17"/>
    <d v="1900-02-11T06:00:00"/>
    <n v="262.22000000000003"/>
    <n v="2"/>
    <n v="524.44000000000005"/>
    <n v="3.8"/>
    <x v="3"/>
    <x v="1"/>
  </r>
  <r>
    <s v="TRIP03357"/>
    <x v="344"/>
    <x v="3"/>
    <s v="Mumbai"/>
    <n v="1.23"/>
    <d v="1900-01-03T17:31:12"/>
    <n v="12.97"/>
    <n v="1.5"/>
    <n v="19.46"/>
    <n v="3.8"/>
    <x v="4"/>
    <x v="1"/>
  </r>
  <r>
    <s v="TRIP03358"/>
    <x v="18"/>
    <x v="3"/>
    <s v="Chennai"/>
    <n v="18.02"/>
    <d v="1900-02-26T22:04:48"/>
    <n v="273.77"/>
    <n v="1"/>
    <n v="273.77"/>
    <n v="3.5"/>
    <x v="4"/>
    <x v="0"/>
  </r>
  <r>
    <s v="TRIP03359"/>
    <x v="176"/>
    <x v="3"/>
    <s v="Delhi"/>
    <n v="24.55"/>
    <d v="1900-02-26T01:40:48"/>
    <n v="391.3"/>
    <n v="1.2"/>
    <n v="469.56"/>
    <n v="4"/>
    <x v="3"/>
    <x v="1"/>
  </r>
  <r>
    <s v="TRIP03360"/>
    <x v="240"/>
    <x v="2"/>
    <s v="Delhi"/>
    <n v="14.94"/>
    <d v="1900-01-31T12:57:36"/>
    <n v="164.66"/>
    <n v="2"/>
    <n v="329.32"/>
    <n v="3.8"/>
    <x v="1"/>
    <x v="2"/>
  </r>
  <r>
    <s v="TRIP03361"/>
    <x v="364"/>
    <x v="1"/>
    <s v="Chennai"/>
    <n v="8.61"/>
    <d v="1900-01-21T00:43:12"/>
    <n v="138.63999999999999"/>
    <n v="1.2"/>
    <n v="166.37"/>
    <n v="4.5"/>
    <x v="4"/>
    <x v="3"/>
  </r>
  <r>
    <s v="TRIP03362"/>
    <x v="74"/>
    <x v="1"/>
    <s v="Chennai"/>
    <n v="2.76"/>
    <d v="1900-01-05T06:57:36"/>
    <n v="38.46"/>
    <n v="1.2"/>
    <n v="46.15"/>
    <n v="4.2"/>
    <x v="4"/>
    <x v="1"/>
  </r>
  <r>
    <s v="TRIP03363"/>
    <x v="28"/>
    <x v="2"/>
    <s v="Delhi"/>
    <n v="10.7"/>
    <d v="1900-02-04T06:28:48"/>
    <n v="191.75"/>
    <n v="1.5"/>
    <n v="287.62"/>
    <n v="4.4000000000000004"/>
    <x v="0"/>
    <x v="0"/>
  </r>
  <r>
    <s v="TRIP03364"/>
    <x v="293"/>
    <x v="1"/>
    <s v="Delhi"/>
    <n v="28.71"/>
    <d v="1900-04-18T11:45:36"/>
    <n v="513.73"/>
    <n v="1"/>
    <n v="513.73"/>
    <n v="3.8"/>
    <x v="3"/>
    <x v="1"/>
  </r>
  <r>
    <s v="TRIP03365"/>
    <x v="313"/>
    <x v="2"/>
    <s v="Kolkata"/>
    <n v="27.28"/>
    <d v="1900-04-14T08:09:36"/>
    <n v="517.07000000000005"/>
    <n v="1.5"/>
    <n v="775.6"/>
    <n v="4.4000000000000004"/>
    <x v="1"/>
    <x v="0"/>
  </r>
  <r>
    <s v="TRIP03366"/>
    <x v="249"/>
    <x v="4"/>
    <s v="Bangalore"/>
    <n v="28.5"/>
    <d v="1900-03-17T14:09:36"/>
    <n v="432.81"/>
    <n v="1"/>
    <n v="432.81"/>
    <n v="3.3"/>
    <x v="2"/>
    <x v="3"/>
  </r>
  <r>
    <s v="TRIP03367"/>
    <x v="332"/>
    <x v="4"/>
    <s v="Kolkata"/>
    <n v="29.81"/>
    <d v="1900-03-26T18:57:36"/>
    <n v="510.93"/>
    <n v="1"/>
    <n v="510.93"/>
    <n v="3.1"/>
    <x v="1"/>
    <x v="3"/>
  </r>
  <r>
    <s v="TRIP03368"/>
    <x v="285"/>
    <x v="0"/>
    <s v="Chennai"/>
    <n v="10.73"/>
    <d v="1900-01-28T08:52:48"/>
    <n v="179.85"/>
    <n v="1.5"/>
    <n v="269.77"/>
    <n v="3.8"/>
    <x v="0"/>
    <x v="3"/>
  </r>
  <r>
    <s v="TRIP03369"/>
    <x v="127"/>
    <x v="4"/>
    <s v="Mumbai"/>
    <n v="14.07"/>
    <d v="1900-01-27T12:14:24"/>
    <n v="249.11"/>
    <n v="1"/>
    <n v="249.11"/>
    <n v="3.3"/>
    <x v="2"/>
    <x v="2"/>
  </r>
  <r>
    <s v="TRIP03370"/>
    <x v="75"/>
    <x v="3"/>
    <s v="Mumbai"/>
    <n v="16.690000000000001"/>
    <d v="1900-02-19T00:00:00"/>
    <n v="284.49"/>
    <n v="1.2"/>
    <n v="341.39"/>
    <n v="4.0999999999999996"/>
    <x v="4"/>
    <x v="3"/>
  </r>
  <r>
    <s v="TRIP03371"/>
    <x v="12"/>
    <x v="3"/>
    <s v="Bangalore"/>
    <n v="16.760000000000002"/>
    <d v="1900-02-06T13:40:48"/>
    <n v="314.86"/>
    <n v="2"/>
    <n v="629.72"/>
    <n v="4.8"/>
    <x v="3"/>
    <x v="1"/>
  </r>
  <r>
    <s v="TRIP03372"/>
    <x v="292"/>
    <x v="2"/>
    <s v="Chennai"/>
    <n v="23.65"/>
    <d v="1900-03-31T03:50:24"/>
    <n v="470.62"/>
    <n v="1"/>
    <n v="470.62"/>
    <n v="4.2"/>
    <x v="2"/>
    <x v="2"/>
  </r>
  <r>
    <s v="TRIP03373"/>
    <x v="10"/>
    <x v="4"/>
    <s v="Mumbai"/>
    <n v="23.84"/>
    <d v="1900-02-17T00:00:00"/>
    <n v="251.96"/>
    <n v="2"/>
    <n v="503.92"/>
    <n v="4.9000000000000004"/>
    <x v="4"/>
    <x v="0"/>
  </r>
  <r>
    <s v="TRIP03374"/>
    <x v="217"/>
    <x v="0"/>
    <s v="Kolkata"/>
    <n v="15.53"/>
    <d v="1900-02-10T12:28:48"/>
    <n v="171.7"/>
    <n v="1"/>
    <n v="171.7"/>
    <n v="4.5"/>
    <x v="3"/>
    <x v="2"/>
  </r>
  <r>
    <s v="TRIP03375"/>
    <x v="13"/>
    <x v="2"/>
    <s v="Bangalore"/>
    <n v="26.17"/>
    <d v="1900-02-28T21:21:36"/>
    <n v="505.5"/>
    <n v="1"/>
    <n v="505.5"/>
    <n v="4.3"/>
    <x v="1"/>
    <x v="1"/>
  </r>
  <r>
    <s v="TRIP03376"/>
    <x v="48"/>
    <x v="1"/>
    <s v="Chennai"/>
    <n v="8.27"/>
    <d v="1900-01-29T17:31:12"/>
    <n v="123.85"/>
    <n v="1"/>
    <n v="123.85"/>
    <n v="4.5999999999999996"/>
    <x v="4"/>
    <x v="1"/>
  </r>
  <r>
    <s v="TRIP03377"/>
    <x v="210"/>
    <x v="4"/>
    <s v="Kolkata"/>
    <n v="4.37"/>
    <d v="1900-01-15T01:40:48"/>
    <n v="77.64"/>
    <n v="1.5"/>
    <n v="116.46"/>
    <n v="3.3"/>
    <x v="4"/>
    <x v="3"/>
  </r>
  <r>
    <s v="TRIP03378"/>
    <x v="307"/>
    <x v="3"/>
    <s v="Chennai"/>
    <n v="4.5999999999999996"/>
    <d v="1900-01-12T20:38:24"/>
    <n v="46.86"/>
    <n v="2"/>
    <n v="93.72"/>
    <n v="4.5"/>
    <x v="1"/>
    <x v="0"/>
  </r>
  <r>
    <s v="TRIP03379"/>
    <x v="285"/>
    <x v="4"/>
    <s v="Kolkata"/>
    <n v="14.78"/>
    <d v="1900-02-10T00:28:48"/>
    <n v="213.48"/>
    <n v="1.5"/>
    <n v="320.22000000000003"/>
    <n v="3.7"/>
    <x v="2"/>
    <x v="0"/>
  </r>
  <r>
    <s v="TRIP03380"/>
    <x v="279"/>
    <x v="3"/>
    <s v="Kolkata"/>
    <n v="22.94"/>
    <d v="1900-03-02T19:26:24"/>
    <n v="393.46"/>
    <n v="1.5"/>
    <n v="590.19000000000005"/>
    <n v="4.7"/>
    <x v="4"/>
    <x v="2"/>
  </r>
  <r>
    <s v="TRIP03381"/>
    <x v="150"/>
    <x v="2"/>
    <s v="Mumbai"/>
    <n v="17.350000000000001"/>
    <d v="1900-03-07T16:33:36"/>
    <n v="192.39"/>
    <n v="2"/>
    <n v="384.78"/>
    <n v="3.5"/>
    <x v="0"/>
    <x v="1"/>
  </r>
  <r>
    <s v="TRIP03382"/>
    <x v="10"/>
    <x v="1"/>
    <s v="Delhi"/>
    <n v="27.89"/>
    <d v="1900-03-06T23:16:48"/>
    <n v="352.47"/>
    <n v="1"/>
    <n v="352.47"/>
    <n v="4.3"/>
    <x v="0"/>
    <x v="2"/>
  </r>
  <r>
    <s v="TRIP03383"/>
    <x v="110"/>
    <x v="2"/>
    <s v="Chennai"/>
    <n v="21.59"/>
    <d v="1900-03-02T09:21:36"/>
    <n v="252.39"/>
    <n v="1"/>
    <n v="252.39"/>
    <n v="4"/>
    <x v="0"/>
    <x v="3"/>
  </r>
  <r>
    <s v="TRIP03384"/>
    <x v="24"/>
    <x v="4"/>
    <s v="Kolkata"/>
    <n v="15.8"/>
    <d v="1900-02-03T17:02:24"/>
    <n v="229.45"/>
    <n v="1.2"/>
    <n v="275.33999999999997"/>
    <n v="3.3"/>
    <x v="1"/>
    <x v="2"/>
  </r>
  <r>
    <s v="TRIP03385"/>
    <x v="57"/>
    <x v="4"/>
    <s v="Bangalore"/>
    <n v="25.86"/>
    <d v="1900-03-02T07:55:12"/>
    <n v="407.34"/>
    <n v="1.5"/>
    <n v="611.01"/>
    <n v="3.7"/>
    <x v="0"/>
    <x v="0"/>
  </r>
  <r>
    <s v="TRIP03386"/>
    <x v="13"/>
    <x v="0"/>
    <s v="Mumbai"/>
    <n v="11.48"/>
    <d v="1900-01-25T06:14:24"/>
    <n v="120.08"/>
    <n v="2"/>
    <n v="240.16"/>
    <n v="4.4000000000000004"/>
    <x v="4"/>
    <x v="2"/>
  </r>
  <r>
    <s v="TRIP03387"/>
    <x v="42"/>
    <x v="0"/>
    <s v="Mumbai"/>
    <n v="2.78"/>
    <d v="1900-01-09T00:57:36"/>
    <n v="35.64"/>
    <n v="1"/>
    <n v="35.64"/>
    <n v="4.0999999999999996"/>
    <x v="1"/>
    <x v="1"/>
  </r>
  <r>
    <s v="TRIP03388"/>
    <x v="135"/>
    <x v="3"/>
    <s v="Kolkata"/>
    <n v="7.88"/>
    <d v="1900-01-23T18:57:36"/>
    <n v="156.69999999999999"/>
    <n v="1.2"/>
    <n v="188.04"/>
    <n v="4.8"/>
    <x v="3"/>
    <x v="0"/>
  </r>
  <r>
    <s v="TRIP03389"/>
    <x v="294"/>
    <x v="0"/>
    <s v="Kolkata"/>
    <n v="2.25"/>
    <d v="1900-01-04T09:36:00"/>
    <n v="42.92"/>
    <n v="1.2"/>
    <n v="51.5"/>
    <n v="4.9000000000000004"/>
    <x v="0"/>
    <x v="1"/>
  </r>
  <r>
    <s v="TRIP03390"/>
    <x v="209"/>
    <x v="3"/>
    <s v="Mumbai"/>
    <n v="6.16"/>
    <d v="1900-01-21T22:33:36"/>
    <n v="94.74"/>
    <n v="1"/>
    <n v="94.74"/>
    <n v="4.0999999999999996"/>
    <x v="1"/>
    <x v="3"/>
  </r>
  <r>
    <s v="TRIP03391"/>
    <x v="345"/>
    <x v="2"/>
    <s v="Mumbai"/>
    <n v="23.1"/>
    <d v="1900-03-17T15:36:00"/>
    <n v="356.42"/>
    <n v="1"/>
    <n v="356.42"/>
    <n v="4.4000000000000004"/>
    <x v="1"/>
    <x v="3"/>
  </r>
  <r>
    <s v="TRIP03392"/>
    <x v="209"/>
    <x v="1"/>
    <s v="Delhi"/>
    <n v="26.43"/>
    <d v="1900-03-13T00:00:00"/>
    <n v="420.22"/>
    <n v="1.5"/>
    <n v="630.33000000000004"/>
    <n v="3.2"/>
    <x v="0"/>
    <x v="2"/>
  </r>
  <r>
    <s v="TRIP03393"/>
    <x v="31"/>
    <x v="2"/>
    <s v="Kolkata"/>
    <n v="15.09"/>
    <d v="1900-02-27T04:19:12"/>
    <n v="222.37"/>
    <n v="1"/>
    <n v="222.37"/>
    <n v="4.4000000000000004"/>
    <x v="4"/>
    <x v="0"/>
  </r>
  <r>
    <s v="TRIP03394"/>
    <x v="344"/>
    <x v="4"/>
    <s v="Chennai"/>
    <n v="28.69"/>
    <d v="1900-04-20T21:36:00"/>
    <n v="487.43"/>
    <n v="1"/>
    <n v="487.43"/>
    <n v="4.4000000000000004"/>
    <x v="4"/>
    <x v="1"/>
  </r>
  <r>
    <s v="TRIP03395"/>
    <x v="219"/>
    <x v="0"/>
    <s v="Chennai"/>
    <n v="4.57"/>
    <d v="1900-01-08T16:33:36"/>
    <n v="46.51"/>
    <n v="1.2"/>
    <n v="55.81"/>
    <n v="3.7"/>
    <x v="4"/>
    <x v="3"/>
  </r>
  <r>
    <s v="TRIP03396"/>
    <x v="81"/>
    <x v="1"/>
    <s v="Chennai"/>
    <n v="17.47"/>
    <d v="1900-03-09T20:09:36"/>
    <n v="341.2"/>
    <n v="1"/>
    <n v="341.2"/>
    <n v="4.3"/>
    <x v="2"/>
    <x v="0"/>
  </r>
  <r>
    <s v="TRIP03397"/>
    <x v="216"/>
    <x v="1"/>
    <s v="Chennai"/>
    <n v="23.76"/>
    <d v="1900-02-20T20:24:00"/>
    <n v="328.14"/>
    <n v="1.5"/>
    <n v="492.21"/>
    <n v="4.9000000000000004"/>
    <x v="2"/>
    <x v="1"/>
  </r>
  <r>
    <s v="TRIP03398"/>
    <x v="131"/>
    <x v="3"/>
    <s v="Kolkata"/>
    <n v="29.2"/>
    <d v="1900-04-10T08:52:48"/>
    <n v="296.52999999999997"/>
    <n v="1"/>
    <n v="296.52999999999997"/>
    <n v="3.4"/>
    <x v="4"/>
    <x v="2"/>
  </r>
  <r>
    <s v="TRIP03399"/>
    <x v="180"/>
    <x v="1"/>
    <s v="Kolkata"/>
    <n v="29.7"/>
    <d v="1900-03-13T20:24:00"/>
    <n v="545.94000000000005"/>
    <n v="1.2"/>
    <n v="655.13"/>
    <n v="3.6"/>
    <x v="4"/>
    <x v="1"/>
  </r>
  <r>
    <s v="TRIP03400"/>
    <x v="63"/>
    <x v="2"/>
    <s v="Chennai"/>
    <n v="9.5500000000000007"/>
    <d v="1900-02-01T21:07:12"/>
    <n v="179.6"/>
    <n v="2"/>
    <n v="359.2"/>
    <n v="4.2"/>
    <x v="1"/>
    <x v="1"/>
  </r>
  <r>
    <s v="TRIP03401"/>
    <x v="196"/>
    <x v="2"/>
    <s v="Chennai"/>
    <n v="4.97"/>
    <d v="1900-01-16T19:40:48"/>
    <n v="71.36"/>
    <n v="1"/>
    <n v="71.36"/>
    <n v="4.5"/>
    <x v="1"/>
    <x v="1"/>
  </r>
  <r>
    <s v="TRIP03402"/>
    <x v="213"/>
    <x v="2"/>
    <s v="Mumbai"/>
    <n v="25.71"/>
    <d v="1900-03-24T10:04:48"/>
    <n v="302.36"/>
    <n v="2"/>
    <n v="604.72"/>
    <n v="4"/>
    <x v="4"/>
    <x v="0"/>
  </r>
  <r>
    <s v="TRIP03403"/>
    <x v="265"/>
    <x v="1"/>
    <s v="Bangalore"/>
    <n v="3.18"/>
    <d v="1900-01-10T04:04:48"/>
    <n v="44.57"/>
    <n v="1"/>
    <n v="44.57"/>
    <n v="3.9"/>
    <x v="3"/>
    <x v="3"/>
  </r>
  <r>
    <s v="TRIP03404"/>
    <x v="73"/>
    <x v="4"/>
    <s v="Mumbai"/>
    <n v="21.56"/>
    <d v="1900-03-07T16:04:48"/>
    <n v="388.6"/>
    <n v="2"/>
    <n v="777.2"/>
    <n v="3.8"/>
    <x v="0"/>
    <x v="2"/>
  </r>
  <r>
    <s v="TRIP03405"/>
    <x v="113"/>
    <x v="4"/>
    <s v="Delhi"/>
    <n v="20.39"/>
    <d v="1900-03-15T05:45:36"/>
    <n v="276.20999999999998"/>
    <n v="2"/>
    <n v="552.41999999999996"/>
    <n v="4.9000000000000004"/>
    <x v="2"/>
    <x v="1"/>
  </r>
  <r>
    <s v="TRIP03406"/>
    <x v="289"/>
    <x v="3"/>
    <s v="Delhi"/>
    <n v="8.65"/>
    <d v="1900-01-18T11:45:36"/>
    <n v="118.48"/>
    <n v="2"/>
    <n v="236.96"/>
    <n v="5"/>
    <x v="2"/>
    <x v="0"/>
  </r>
  <r>
    <s v="TRIP03407"/>
    <x v="204"/>
    <x v="0"/>
    <s v="Mumbai"/>
    <n v="17.670000000000002"/>
    <d v="1900-02-18T00:43:12"/>
    <n v="197.51"/>
    <n v="1"/>
    <n v="197.51"/>
    <n v="3.8"/>
    <x v="2"/>
    <x v="3"/>
  </r>
  <r>
    <s v="TRIP03408"/>
    <x v="45"/>
    <x v="0"/>
    <s v="Mumbai"/>
    <n v="18.75"/>
    <d v="1900-02-09T23:45:36"/>
    <n v="218.12"/>
    <n v="1.2"/>
    <n v="261.74"/>
    <n v="4.5"/>
    <x v="0"/>
    <x v="3"/>
  </r>
  <r>
    <s v="TRIP03409"/>
    <x v="71"/>
    <x v="1"/>
    <s v="Delhi"/>
    <n v="11.13"/>
    <d v="1900-02-03T12:14:24"/>
    <n v="130.29"/>
    <n v="1.5"/>
    <n v="195.44"/>
    <n v="4"/>
    <x v="4"/>
    <x v="2"/>
  </r>
  <r>
    <s v="TRIP03410"/>
    <x v="0"/>
    <x v="4"/>
    <s v="Mumbai"/>
    <n v="12.63"/>
    <d v="1900-02-13T21:07:12"/>
    <n v="215.77"/>
    <n v="1"/>
    <n v="215.77"/>
    <n v="3.9"/>
    <x v="2"/>
    <x v="3"/>
  </r>
  <r>
    <s v="TRIP03411"/>
    <x v="199"/>
    <x v="0"/>
    <s v="Kolkata"/>
    <n v="6.37"/>
    <d v="1900-01-24T02:52:48"/>
    <n v="109.39"/>
    <n v="1.5"/>
    <n v="164.08"/>
    <n v="3.5"/>
    <x v="1"/>
    <x v="3"/>
  </r>
  <r>
    <s v="TRIP03412"/>
    <x v="280"/>
    <x v="3"/>
    <s v="Kolkata"/>
    <n v="10.84"/>
    <d v="1900-02-01T04:04:48"/>
    <n v="180.69"/>
    <n v="1"/>
    <n v="180.69"/>
    <n v="3.9"/>
    <x v="0"/>
    <x v="3"/>
  </r>
  <r>
    <s v="TRIP03413"/>
    <x v="212"/>
    <x v="4"/>
    <s v="Chennai"/>
    <n v="7.84"/>
    <d v="1900-01-19T03:36:00"/>
    <n v="87.17"/>
    <n v="1.5"/>
    <n v="130.76"/>
    <n v="3.3"/>
    <x v="2"/>
    <x v="1"/>
  </r>
  <r>
    <s v="TRIP03414"/>
    <x v="254"/>
    <x v="0"/>
    <s v="Chennai"/>
    <n v="15.13"/>
    <d v="1900-02-24T01:12:00"/>
    <n v="181.2"/>
    <n v="2"/>
    <n v="362.4"/>
    <n v="4.4000000000000004"/>
    <x v="4"/>
    <x v="1"/>
  </r>
  <r>
    <s v="TRIP03415"/>
    <x v="228"/>
    <x v="0"/>
    <s v="Bangalore"/>
    <n v="6.08"/>
    <d v="1900-01-13T04:33:36"/>
    <n v="96.43"/>
    <n v="1.5"/>
    <n v="144.65"/>
    <n v="3.6"/>
    <x v="0"/>
    <x v="1"/>
  </r>
  <r>
    <s v="TRIP03416"/>
    <x v="42"/>
    <x v="0"/>
    <s v="Delhi"/>
    <n v="17.04"/>
    <d v="1900-02-08T01:40:48"/>
    <n v="277.95"/>
    <n v="1.5"/>
    <n v="416.92"/>
    <n v="3.5"/>
    <x v="1"/>
    <x v="2"/>
  </r>
  <r>
    <s v="TRIP03417"/>
    <x v="199"/>
    <x v="4"/>
    <s v="Mumbai"/>
    <n v="20"/>
    <d v="1900-03-03T04:04:48"/>
    <n v="228"/>
    <n v="1"/>
    <n v="228"/>
    <n v="3.6"/>
    <x v="4"/>
    <x v="2"/>
  </r>
  <r>
    <s v="TRIP03418"/>
    <x v="118"/>
    <x v="3"/>
    <s v="Mumbai"/>
    <n v="24.46"/>
    <d v="1900-04-02T08:09:36"/>
    <n v="443.61"/>
    <n v="1.2"/>
    <n v="532.33000000000004"/>
    <n v="3.5"/>
    <x v="0"/>
    <x v="3"/>
  </r>
  <r>
    <s v="TRIP03419"/>
    <x v="55"/>
    <x v="3"/>
    <s v="Chennai"/>
    <n v="10.6"/>
    <d v="1900-01-20T19:12:00"/>
    <n v="153.69"/>
    <n v="1.2"/>
    <n v="184.43"/>
    <n v="4.7"/>
    <x v="4"/>
    <x v="3"/>
  </r>
  <r>
    <s v="TRIP03420"/>
    <x v="339"/>
    <x v="4"/>
    <s v="Chennai"/>
    <n v="24.7"/>
    <d v="1900-03-01T00:00:00"/>
    <n v="414.16"/>
    <n v="1.2"/>
    <n v="496.99"/>
    <n v="3.5"/>
    <x v="3"/>
    <x v="1"/>
  </r>
  <r>
    <s v="TRIP03421"/>
    <x v="268"/>
    <x v="2"/>
    <s v="Kolkata"/>
    <n v="21.71"/>
    <d v="1900-02-20T21:07:12"/>
    <n v="255.44"/>
    <n v="1.2"/>
    <n v="306.52999999999997"/>
    <n v="3.7"/>
    <x v="3"/>
    <x v="2"/>
  </r>
  <r>
    <s v="TRIP03422"/>
    <x v="42"/>
    <x v="4"/>
    <s v="Delhi"/>
    <n v="7.79"/>
    <d v="1900-01-17T10:33:36"/>
    <n v="78.680000000000007"/>
    <n v="1.2"/>
    <n v="94.42"/>
    <n v="4.8"/>
    <x v="2"/>
    <x v="1"/>
  </r>
  <r>
    <s v="TRIP03423"/>
    <x v="230"/>
    <x v="4"/>
    <s v="Delhi"/>
    <n v="2.56"/>
    <d v="1900-01-06T07:40:48"/>
    <n v="45.78"/>
    <n v="1"/>
    <n v="45.78"/>
    <n v="4.0999999999999996"/>
    <x v="0"/>
    <x v="1"/>
  </r>
  <r>
    <s v="TRIP03424"/>
    <x v="168"/>
    <x v="4"/>
    <s v="Bangalore"/>
    <n v="1.28"/>
    <d v="1900-01-04T00:43:12"/>
    <n v="17.170000000000002"/>
    <n v="1"/>
    <n v="17.170000000000002"/>
    <n v="3"/>
    <x v="3"/>
    <x v="1"/>
  </r>
  <r>
    <s v="TRIP03425"/>
    <x v="301"/>
    <x v="0"/>
    <s v="Kolkata"/>
    <n v="14.67"/>
    <d v="1900-02-07T17:16:48"/>
    <n v="198.89"/>
    <n v="2"/>
    <n v="397.78"/>
    <n v="4.3"/>
    <x v="2"/>
    <x v="1"/>
  </r>
  <r>
    <s v="TRIP03426"/>
    <x v="309"/>
    <x v="4"/>
    <s v="Delhi"/>
    <n v="14.59"/>
    <d v="1900-02-20T18:57:36"/>
    <n v="280.54000000000002"/>
    <n v="2"/>
    <n v="561.08000000000004"/>
    <n v="5"/>
    <x v="4"/>
    <x v="0"/>
  </r>
  <r>
    <s v="TRIP03427"/>
    <x v="177"/>
    <x v="4"/>
    <s v="Mumbai"/>
    <n v="5.61"/>
    <d v="1900-01-15T19:12:00"/>
    <n v="61.16"/>
    <n v="1.2"/>
    <n v="73.39"/>
    <n v="4.9000000000000004"/>
    <x v="4"/>
    <x v="0"/>
  </r>
  <r>
    <s v="TRIP03428"/>
    <x v="84"/>
    <x v="0"/>
    <s v="Mumbai"/>
    <n v="25.77"/>
    <d v="1900-04-11T23:45:36"/>
    <n v="304.77"/>
    <n v="1.5"/>
    <n v="457.16"/>
    <n v="3.1"/>
    <x v="3"/>
    <x v="3"/>
  </r>
  <r>
    <s v="TRIP03429"/>
    <x v="168"/>
    <x v="3"/>
    <s v="Chennai"/>
    <n v="9.66"/>
    <d v="1900-01-28T06:00:00"/>
    <n v="135.85"/>
    <n v="1"/>
    <n v="135.85"/>
    <n v="3.8"/>
    <x v="0"/>
    <x v="1"/>
  </r>
  <r>
    <s v="TRIP03430"/>
    <x v="114"/>
    <x v="4"/>
    <s v="Kolkata"/>
    <n v="28.63"/>
    <d v="1900-03-13T06:14:24"/>
    <n v="495.74"/>
    <n v="1.5"/>
    <n v="743.61"/>
    <n v="3.4"/>
    <x v="0"/>
    <x v="2"/>
  </r>
  <r>
    <s v="TRIP03431"/>
    <x v="44"/>
    <x v="3"/>
    <s v="Kolkata"/>
    <n v="8.6"/>
    <d v="1900-01-24T15:36:00"/>
    <n v="122.05"/>
    <n v="2"/>
    <n v="244.1"/>
    <n v="4.5"/>
    <x v="1"/>
    <x v="3"/>
  </r>
  <r>
    <s v="TRIP03432"/>
    <x v="356"/>
    <x v="4"/>
    <s v="Bangalore"/>
    <n v="27.72"/>
    <d v="1900-03-02T00:57:36"/>
    <n v="322.42"/>
    <n v="2"/>
    <n v="644.84"/>
    <n v="3.6"/>
    <x v="0"/>
    <x v="0"/>
  </r>
  <r>
    <s v="TRIP03433"/>
    <x v="219"/>
    <x v="4"/>
    <s v="Kolkata"/>
    <n v="23.49"/>
    <d v="1900-03-02T05:02:24"/>
    <n v="255.49"/>
    <n v="2"/>
    <n v="510.98"/>
    <n v="4.4000000000000004"/>
    <x v="4"/>
    <x v="3"/>
  </r>
  <r>
    <s v="TRIP03434"/>
    <x v="300"/>
    <x v="2"/>
    <s v="Mumbai"/>
    <n v="16.399999999999999"/>
    <d v="1900-03-03T16:33:36"/>
    <n v="257.91000000000003"/>
    <n v="1.5"/>
    <n v="386.86"/>
    <n v="3.2"/>
    <x v="1"/>
    <x v="1"/>
  </r>
  <r>
    <s v="TRIP03435"/>
    <x v="291"/>
    <x v="1"/>
    <s v="Kolkata"/>
    <n v="19.37"/>
    <d v="1900-03-13T08:52:48"/>
    <n v="307.58999999999997"/>
    <n v="2"/>
    <n v="615.17999999999995"/>
    <n v="3.8"/>
    <x v="3"/>
    <x v="1"/>
  </r>
  <r>
    <s v="TRIP03436"/>
    <x v="50"/>
    <x v="4"/>
    <s v="Kolkata"/>
    <n v="26.58"/>
    <d v="1900-02-25T20:24:00"/>
    <n v="355.34"/>
    <n v="1"/>
    <n v="355.34"/>
    <n v="3.8"/>
    <x v="4"/>
    <x v="0"/>
  </r>
  <r>
    <s v="TRIP03437"/>
    <x v="41"/>
    <x v="0"/>
    <s v="Chennai"/>
    <n v="4.49"/>
    <d v="1900-01-09T01:12:00"/>
    <n v="86.88"/>
    <n v="1"/>
    <n v="86.88"/>
    <n v="4.2"/>
    <x v="0"/>
    <x v="2"/>
  </r>
  <r>
    <s v="TRIP03438"/>
    <x v="323"/>
    <x v="4"/>
    <s v="Mumbai"/>
    <n v="2.0299999999999998"/>
    <d v="1900-01-04T04:19:12"/>
    <n v="34.380000000000003"/>
    <n v="1.2"/>
    <n v="41.26"/>
    <n v="4.5999999999999996"/>
    <x v="3"/>
    <x v="1"/>
  </r>
  <r>
    <s v="TRIP03439"/>
    <x v="23"/>
    <x v="1"/>
    <s v="Chennai"/>
    <n v="27.6"/>
    <d v="1900-03-01T12:43:12"/>
    <n v="295.66000000000003"/>
    <n v="1.5"/>
    <n v="443.49"/>
    <n v="4.0999999999999996"/>
    <x v="0"/>
    <x v="0"/>
  </r>
  <r>
    <s v="TRIP03440"/>
    <x v="247"/>
    <x v="3"/>
    <s v="Kolkata"/>
    <n v="11.66"/>
    <d v="1900-02-09T13:26:24"/>
    <n v="136.02000000000001"/>
    <n v="1.5"/>
    <n v="204.03"/>
    <n v="3.1"/>
    <x v="1"/>
    <x v="1"/>
  </r>
  <r>
    <s v="TRIP03441"/>
    <x v="78"/>
    <x v="0"/>
    <s v="Bangalore"/>
    <n v="25.76"/>
    <d v="1900-03-30T09:50:24"/>
    <n v="390.82"/>
    <n v="1.2"/>
    <n v="468.98"/>
    <n v="4.0999999999999996"/>
    <x v="3"/>
    <x v="2"/>
  </r>
  <r>
    <s v="TRIP03442"/>
    <x v="153"/>
    <x v="2"/>
    <s v="Chennai"/>
    <n v="2.69"/>
    <d v="1900-01-08T00:14:24"/>
    <n v="47.53"/>
    <n v="2"/>
    <n v="95.06"/>
    <n v="4.9000000000000004"/>
    <x v="3"/>
    <x v="0"/>
  </r>
  <r>
    <s v="TRIP03443"/>
    <x v="338"/>
    <x v="3"/>
    <s v="Delhi"/>
    <n v="4.03"/>
    <d v="1900-01-12T15:36:00"/>
    <n v="47.62"/>
    <n v="1.5"/>
    <n v="71.430000000000007"/>
    <n v="4.2"/>
    <x v="0"/>
    <x v="3"/>
  </r>
  <r>
    <s v="TRIP03444"/>
    <x v="15"/>
    <x v="0"/>
    <s v="Bangalore"/>
    <n v="26.79"/>
    <d v="1900-03-31T23:31:12"/>
    <n v="483.71"/>
    <n v="1"/>
    <n v="483.71"/>
    <n v="3.9"/>
    <x v="2"/>
    <x v="2"/>
  </r>
  <r>
    <s v="TRIP03445"/>
    <x v="27"/>
    <x v="4"/>
    <s v="Delhi"/>
    <n v="28.99"/>
    <d v="1900-04-01T20:09:36"/>
    <n v="525.66"/>
    <n v="2"/>
    <n v="1051.32"/>
    <n v="3.7"/>
    <x v="1"/>
    <x v="3"/>
  </r>
  <r>
    <s v="TRIP03446"/>
    <x v="234"/>
    <x v="2"/>
    <s v="Kolkata"/>
    <n v="21.4"/>
    <d v="1900-02-24T12:14:24"/>
    <n v="411.79"/>
    <n v="1"/>
    <n v="411.79"/>
    <n v="3.2"/>
    <x v="3"/>
    <x v="2"/>
  </r>
  <r>
    <s v="TRIP03447"/>
    <x v="138"/>
    <x v="0"/>
    <s v="Mumbai"/>
    <n v="1.9"/>
    <d v="1900-01-03T19:55:12"/>
    <n v="23.15"/>
    <n v="1"/>
    <n v="23.15"/>
    <n v="3.7"/>
    <x v="0"/>
    <x v="3"/>
  </r>
  <r>
    <s v="TRIP03448"/>
    <x v="148"/>
    <x v="2"/>
    <s v="Mumbai"/>
    <n v="14.59"/>
    <d v="1900-01-30T10:48:00"/>
    <n v="184.1"/>
    <n v="2"/>
    <n v="368.2"/>
    <n v="3.9"/>
    <x v="2"/>
    <x v="1"/>
  </r>
  <r>
    <s v="TRIP03449"/>
    <x v="164"/>
    <x v="1"/>
    <s v="Delhi"/>
    <n v="2.04"/>
    <d v="1900-01-03T16:33:36"/>
    <n v="34.67"/>
    <n v="1.5"/>
    <n v="52"/>
    <n v="4.0999999999999996"/>
    <x v="1"/>
    <x v="3"/>
  </r>
  <r>
    <s v="TRIP03450"/>
    <x v="0"/>
    <x v="3"/>
    <s v="Kolkata"/>
    <n v="16.649999999999999"/>
    <d v="1900-02-07T09:21:36"/>
    <n v="239.55"/>
    <n v="1.2"/>
    <n v="287.45999999999998"/>
    <n v="3.1"/>
    <x v="2"/>
    <x v="0"/>
  </r>
  <r>
    <s v="TRIP03451"/>
    <x v="83"/>
    <x v="3"/>
    <s v="Delhi"/>
    <n v="5.31"/>
    <d v="1900-01-17T07:26:24"/>
    <n v="63.02"/>
    <n v="1.5"/>
    <n v="94.53"/>
    <n v="3.3"/>
    <x v="1"/>
    <x v="3"/>
  </r>
  <r>
    <s v="TRIP03452"/>
    <x v="120"/>
    <x v="1"/>
    <s v="Delhi"/>
    <n v="14.16"/>
    <d v="1900-02-20T10:19:12"/>
    <n v="241.94"/>
    <n v="1.5"/>
    <n v="362.91"/>
    <n v="3.8"/>
    <x v="4"/>
    <x v="1"/>
  </r>
  <r>
    <s v="TRIP03453"/>
    <x v="270"/>
    <x v="1"/>
    <s v="Delhi"/>
    <n v="26.26"/>
    <d v="1900-02-21T11:31:12"/>
    <n v="405.78"/>
    <n v="2"/>
    <n v="811.56"/>
    <n v="4.4000000000000004"/>
    <x v="0"/>
    <x v="3"/>
  </r>
  <r>
    <s v="TRIP03454"/>
    <x v="315"/>
    <x v="0"/>
    <s v="Chennai"/>
    <n v="7.88"/>
    <d v="1900-01-17T18:00:00"/>
    <n v="126.85"/>
    <n v="2"/>
    <n v="253.7"/>
    <n v="4.3"/>
    <x v="0"/>
    <x v="3"/>
  </r>
  <r>
    <s v="TRIP03455"/>
    <x v="6"/>
    <x v="0"/>
    <s v="Chennai"/>
    <n v="1.1299999999999999"/>
    <d v="1900-01-02T12:14:24"/>
    <n v="21.84"/>
    <n v="1"/>
    <n v="21.84"/>
    <n v="3.5"/>
    <x v="1"/>
    <x v="1"/>
  </r>
  <r>
    <s v="TRIP03456"/>
    <x v="197"/>
    <x v="2"/>
    <s v="Chennai"/>
    <n v="11.35"/>
    <d v="1900-01-24T20:52:48"/>
    <n v="158.72"/>
    <n v="2"/>
    <n v="317.44"/>
    <n v="4.3"/>
    <x v="2"/>
    <x v="2"/>
  </r>
  <r>
    <s v="TRIP03457"/>
    <x v="358"/>
    <x v="2"/>
    <s v="Bangalore"/>
    <n v="15.64"/>
    <d v="1900-02-16T01:40:48"/>
    <n v="160.16"/>
    <n v="1.2"/>
    <n v="192.19"/>
    <n v="4.8"/>
    <x v="4"/>
    <x v="2"/>
  </r>
  <r>
    <s v="TRIP03458"/>
    <x v="330"/>
    <x v="2"/>
    <s v="Bangalore"/>
    <n v="29.63"/>
    <d v="1900-03-16T18:43:12"/>
    <n v="561.96"/>
    <n v="1"/>
    <n v="561.96"/>
    <n v="4"/>
    <x v="2"/>
    <x v="2"/>
  </r>
  <r>
    <s v="TRIP03459"/>
    <x v="164"/>
    <x v="4"/>
    <s v="Chennai"/>
    <n v="21.74"/>
    <d v="1900-03-25T02:09:36"/>
    <n v="367.62"/>
    <n v="1.5"/>
    <n v="551.42999999999995"/>
    <n v="4.9000000000000004"/>
    <x v="3"/>
    <x v="1"/>
  </r>
  <r>
    <s v="TRIP03460"/>
    <x v="52"/>
    <x v="0"/>
    <s v="Bangalore"/>
    <n v="17.78"/>
    <d v="1900-02-27T13:55:12"/>
    <n v="288.89999999999998"/>
    <n v="2"/>
    <n v="577.79999999999995"/>
    <n v="4.3"/>
    <x v="3"/>
    <x v="0"/>
  </r>
  <r>
    <s v="TRIP03461"/>
    <x v="241"/>
    <x v="0"/>
    <s v="Chennai"/>
    <n v="12.84"/>
    <d v="1900-02-08T21:36:00"/>
    <n v="133.01"/>
    <n v="2"/>
    <n v="266.02"/>
    <n v="3.9"/>
    <x v="0"/>
    <x v="2"/>
  </r>
  <r>
    <s v="TRIP03462"/>
    <x v="194"/>
    <x v="4"/>
    <s v="Chennai"/>
    <n v="17.02"/>
    <d v="1900-02-08T21:50:24"/>
    <n v="305.39999999999998"/>
    <n v="1.2"/>
    <n v="366.48"/>
    <n v="3.9"/>
    <x v="1"/>
    <x v="3"/>
  </r>
  <r>
    <s v="TRIP03463"/>
    <x v="65"/>
    <x v="0"/>
    <s v="Delhi"/>
    <n v="27.56"/>
    <d v="1900-02-27T19:12:00"/>
    <n v="367.43"/>
    <n v="2"/>
    <n v="734.86"/>
    <n v="3.1"/>
    <x v="0"/>
    <x v="3"/>
  </r>
  <r>
    <s v="TRIP03464"/>
    <x v="129"/>
    <x v="1"/>
    <s v="Kolkata"/>
    <n v="24.48"/>
    <d v="1900-03-29T06:14:24"/>
    <n v="418.29"/>
    <n v="1.5"/>
    <n v="627.44000000000005"/>
    <n v="4.5"/>
    <x v="2"/>
    <x v="1"/>
  </r>
  <r>
    <s v="TRIP03465"/>
    <x v="254"/>
    <x v="3"/>
    <s v="Bangalore"/>
    <n v="17.16"/>
    <d v="1900-02-25T19:26:24"/>
    <n v="195.22"/>
    <n v="2"/>
    <n v="390.44"/>
    <n v="4.8"/>
    <x v="1"/>
    <x v="2"/>
  </r>
  <r>
    <s v="TRIP03466"/>
    <x v="207"/>
    <x v="1"/>
    <s v="Mumbai"/>
    <n v="7.38"/>
    <d v="1900-01-27T08:24:00"/>
    <n v="126.63"/>
    <n v="2"/>
    <n v="253.26"/>
    <n v="3.4"/>
    <x v="1"/>
    <x v="3"/>
  </r>
  <r>
    <s v="TRIP03467"/>
    <x v="42"/>
    <x v="1"/>
    <s v="Bangalore"/>
    <n v="11.34"/>
    <d v="1900-02-08T01:55:12"/>
    <n v="224.35"/>
    <n v="1.2"/>
    <n v="269.22000000000003"/>
    <n v="4.9000000000000004"/>
    <x v="4"/>
    <x v="0"/>
  </r>
  <r>
    <s v="TRIP03468"/>
    <x v="81"/>
    <x v="2"/>
    <s v="Delhi"/>
    <n v="21.77"/>
    <d v="1900-03-22T18:14:24"/>
    <n v="245.73"/>
    <n v="2"/>
    <n v="491.46"/>
    <n v="4.2"/>
    <x v="1"/>
    <x v="2"/>
  </r>
  <r>
    <s v="TRIP03469"/>
    <x v="24"/>
    <x v="4"/>
    <s v="Delhi"/>
    <n v="28.44"/>
    <d v="1900-03-24T10:04:48"/>
    <n v="390.92"/>
    <n v="1"/>
    <n v="390.92"/>
    <n v="3.9"/>
    <x v="0"/>
    <x v="3"/>
  </r>
  <r>
    <s v="TRIP03470"/>
    <x v="231"/>
    <x v="1"/>
    <s v="Chennai"/>
    <n v="28.1"/>
    <d v="1900-03-04T14:52:48"/>
    <n v="398.97"/>
    <n v="2"/>
    <n v="797.94"/>
    <n v="3.8"/>
    <x v="0"/>
    <x v="3"/>
  </r>
  <r>
    <s v="TRIP03471"/>
    <x v="23"/>
    <x v="2"/>
    <s v="Chennai"/>
    <n v="23.27"/>
    <d v="1900-03-04T15:50:24"/>
    <n v="420.01"/>
    <n v="1"/>
    <n v="420.01"/>
    <n v="4.0999999999999996"/>
    <x v="0"/>
    <x v="1"/>
  </r>
  <r>
    <s v="TRIP03472"/>
    <x v="327"/>
    <x v="4"/>
    <s v="Kolkata"/>
    <n v="25.51"/>
    <d v="1900-04-10T10:48:00"/>
    <n v="506.08"/>
    <n v="1"/>
    <n v="506.08"/>
    <n v="3.1"/>
    <x v="2"/>
    <x v="3"/>
  </r>
  <r>
    <s v="TRIP03473"/>
    <x v="80"/>
    <x v="1"/>
    <s v="Kolkata"/>
    <n v="9.8000000000000007"/>
    <d v="1900-01-24T18:00:00"/>
    <n v="146.26"/>
    <n v="2"/>
    <n v="292.52"/>
    <n v="4.2"/>
    <x v="0"/>
    <x v="0"/>
  </r>
  <r>
    <s v="TRIP03474"/>
    <x v="198"/>
    <x v="4"/>
    <s v="Bangalore"/>
    <n v="2.21"/>
    <d v="1900-01-05T02:24:00"/>
    <n v="35.86"/>
    <n v="1.2"/>
    <n v="43.03"/>
    <n v="4"/>
    <x v="1"/>
    <x v="2"/>
  </r>
  <r>
    <s v="TRIP03475"/>
    <x v="101"/>
    <x v="1"/>
    <s v="Bangalore"/>
    <n v="13.12"/>
    <d v="1900-01-29T10:04:48"/>
    <n v="197.6"/>
    <n v="1.5"/>
    <n v="296.39999999999998"/>
    <n v="3.3"/>
    <x v="1"/>
    <x v="1"/>
  </r>
  <r>
    <s v="TRIP03476"/>
    <x v="16"/>
    <x v="3"/>
    <s v="Bangalore"/>
    <n v="27.49"/>
    <d v="1900-03-20T07:26:24"/>
    <n v="496.68"/>
    <n v="1.5"/>
    <n v="745.02"/>
    <n v="4.8"/>
    <x v="4"/>
    <x v="3"/>
  </r>
  <r>
    <s v="TRIP03477"/>
    <x v="312"/>
    <x v="4"/>
    <s v="Kolkata"/>
    <n v="24.92"/>
    <d v="1900-02-21T18:00:00"/>
    <n v="394.38"/>
    <n v="1"/>
    <n v="394.38"/>
    <n v="4.5"/>
    <x v="3"/>
    <x v="0"/>
  </r>
  <r>
    <s v="TRIP03478"/>
    <x v="337"/>
    <x v="2"/>
    <s v="Chennai"/>
    <n v="29.42"/>
    <d v="1900-03-22T18:14:24"/>
    <n v="446.4"/>
    <n v="1.5"/>
    <n v="669.6"/>
    <n v="5"/>
    <x v="4"/>
    <x v="2"/>
  </r>
  <r>
    <s v="TRIP03479"/>
    <x v="94"/>
    <x v="0"/>
    <s v="Bangalore"/>
    <n v="21.99"/>
    <d v="1900-03-05T18:00:00"/>
    <n v="314.88"/>
    <n v="1.5"/>
    <n v="472.32"/>
    <n v="3.5"/>
    <x v="4"/>
    <x v="3"/>
  </r>
  <r>
    <s v="TRIP03480"/>
    <x v="14"/>
    <x v="3"/>
    <s v="Delhi"/>
    <n v="11.64"/>
    <d v="1900-02-08T17:02:24"/>
    <n v="218.17"/>
    <n v="2"/>
    <n v="436.34"/>
    <n v="4.9000000000000004"/>
    <x v="2"/>
    <x v="1"/>
  </r>
  <r>
    <s v="TRIP03481"/>
    <x v="189"/>
    <x v="0"/>
    <s v="Delhi"/>
    <n v="3.75"/>
    <d v="1900-01-09T00:14:24"/>
    <n v="41.79"/>
    <n v="1"/>
    <n v="41.79"/>
    <n v="3.6"/>
    <x v="4"/>
    <x v="3"/>
  </r>
  <r>
    <s v="TRIP03482"/>
    <x v="245"/>
    <x v="4"/>
    <s v="Kolkata"/>
    <n v="19.02"/>
    <d v="1900-02-26T13:55:12"/>
    <n v="325.29000000000002"/>
    <n v="2"/>
    <n v="650.58000000000004"/>
    <n v="4.3"/>
    <x v="0"/>
    <x v="3"/>
  </r>
  <r>
    <s v="TRIP03483"/>
    <x v="32"/>
    <x v="2"/>
    <s v="Bangalore"/>
    <n v="1.51"/>
    <d v="1900-01-03T08:52:48"/>
    <n v="28.81"/>
    <n v="1.2"/>
    <n v="34.57"/>
    <n v="3.3"/>
    <x v="1"/>
    <x v="0"/>
  </r>
  <r>
    <s v="TRIP03484"/>
    <x v="2"/>
    <x v="1"/>
    <s v="Chennai"/>
    <n v="13.53"/>
    <d v="1900-02-14T09:07:12"/>
    <n v="137.08000000000001"/>
    <n v="1.2"/>
    <n v="164.5"/>
    <n v="4.4000000000000004"/>
    <x v="2"/>
    <x v="3"/>
  </r>
  <r>
    <s v="TRIP03485"/>
    <x v="93"/>
    <x v="2"/>
    <s v="Chennai"/>
    <n v="20.45"/>
    <d v="1900-03-10T19:55:12"/>
    <n v="370.52"/>
    <n v="1"/>
    <n v="370.52"/>
    <n v="4.4000000000000004"/>
    <x v="4"/>
    <x v="3"/>
  </r>
  <r>
    <s v="TRIP03486"/>
    <x v="210"/>
    <x v="1"/>
    <s v="Delhi"/>
    <n v="13.75"/>
    <d v="1900-02-22T13:12:00"/>
    <n v="215.75"/>
    <n v="2"/>
    <n v="431.5"/>
    <n v="4.2"/>
    <x v="4"/>
    <x v="3"/>
  </r>
  <r>
    <s v="TRIP03487"/>
    <x v="215"/>
    <x v="3"/>
    <s v="Kolkata"/>
    <n v="21.11"/>
    <d v="1900-03-21T06:14:24"/>
    <n v="248.83"/>
    <n v="2"/>
    <n v="497.66"/>
    <n v="4.0999999999999996"/>
    <x v="0"/>
    <x v="2"/>
  </r>
  <r>
    <s v="TRIP03488"/>
    <x v="11"/>
    <x v="1"/>
    <s v="Delhi"/>
    <n v="27.54"/>
    <d v="1900-03-10T07:12:00"/>
    <n v="379.3"/>
    <n v="1.2"/>
    <n v="455.16"/>
    <n v="3.2"/>
    <x v="4"/>
    <x v="0"/>
  </r>
  <r>
    <s v="TRIP03489"/>
    <x v="185"/>
    <x v="0"/>
    <s v="Mumbai"/>
    <n v="26.44"/>
    <d v="1900-02-26T13:40:48"/>
    <n v="274.44"/>
    <n v="1"/>
    <n v="274.44"/>
    <n v="5"/>
    <x v="3"/>
    <x v="0"/>
  </r>
  <r>
    <s v="TRIP03490"/>
    <x v="41"/>
    <x v="2"/>
    <s v="Kolkata"/>
    <n v="2.91"/>
    <d v="1900-01-09T05:16:48"/>
    <n v="33.880000000000003"/>
    <n v="1.5"/>
    <n v="50.82"/>
    <n v="3.3"/>
    <x v="1"/>
    <x v="1"/>
  </r>
  <r>
    <s v="TRIP03491"/>
    <x v="186"/>
    <x v="0"/>
    <s v="Kolkata"/>
    <n v="20.45"/>
    <d v="1900-02-18T02:52:48"/>
    <n v="253.65"/>
    <n v="2"/>
    <n v="507.3"/>
    <n v="3.9"/>
    <x v="0"/>
    <x v="1"/>
  </r>
  <r>
    <s v="TRIP03492"/>
    <x v="157"/>
    <x v="4"/>
    <s v="Delhi"/>
    <n v="23.29"/>
    <d v="1900-03-21T21:07:12"/>
    <n v="389.1"/>
    <n v="1.5"/>
    <n v="583.65"/>
    <n v="3.3"/>
    <x v="3"/>
    <x v="0"/>
  </r>
  <r>
    <s v="TRIP03493"/>
    <x v="21"/>
    <x v="1"/>
    <s v="Bangalore"/>
    <n v="19.05"/>
    <d v="1900-03-15T19:55:12"/>
    <n v="346.59"/>
    <n v="1"/>
    <n v="346.59"/>
    <n v="3.4"/>
    <x v="0"/>
    <x v="2"/>
  </r>
  <r>
    <s v="TRIP03494"/>
    <x v="43"/>
    <x v="0"/>
    <s v="Chennai"/>
    <n v="17.579999999999998"/>
    <d v="1900-02-28T12:43:12"/>
    <n v="272.55"/>
    <n v="1"/>
    <n v="272.55"/>
    <n v="3.4"/>
    <x v="3"/>
    <x v="2"/>
  </r>
  <r>
    <s v="TRIP03495"/>
    <x v="18"/>
    <x v="2"/>
    <s v="Delhi"/>
    <n v="6.33"/>
    <d v="1900-01-12T08:09:36"/>
    <n v="99.59"/>
    <n v="1"/>
    <n v="99.59"/>
    <n v="3.3"/>
    <x v="4"/>
    <x v="2"/>
  </r>
  <r>
    <s v="TRIP03496"/>
    <x v="45"/>
    <x v="2"/>
    <s v="Delhi"/>
    <n v="18.79"/>
    <d v="1900-02-07T12:57:36"/>
    <n v="206.56"/>
    <n v="1.2"/>
    <n v="247.87"/>
    <n v="3.3"/>
    <x v="4"/>
    <x v="3"/>
  </r>
  <r>
    <s v="TRIP03497"/>
    <x v="349"/>
    <x v="1"/>
    <s v="Bangalore"/>
    <n v="12.13"/>
    <d v="1900-01-25T12:43:12"/>
    <n v="169.8"/>
    <n v="1.5"/>
    <n v="254.7"/>
    <n v="4"/>
    <x v="1"/>
    <x v="1"/>
  </r>
  <r>
    <s v="TRIP03498"/>
    <x v="280"/>
    <x v="0"/>
    <s v="Mumbai"/>
    <n v="11.57"/>
    <d v="1900-01-25T12:57:36"/>
    <n v="156.15"/>
    <n v="1"/>
    <n v="156.15"/>
    <n v="3.4"/>
    <x v="0"/>
    <x v="3"/>
  </r>
  <r>
    <s v="TRIP03499"/>
    <x v="133"/>
    <x v="0"/>
    <s v="Bangalore"/>
    <n v="29.52"/>
    <d v="1900-02-28T13:12:00"/>
    <n v="498.89"/>
    <n v="1.5"/>
    <n v="748.34"/>
    <n v="4.4000000000000004"/>
    <x v="0"/>
    <x v="2"/>
  </r>
  <r>
    <s v="TRIP03500"/>
    <x v="328"/>
    <x v="1"/>
    <s v="Chennai"/>
    <n v="1.42"/>
    <d v="1900-01-04T08:09:36"/>
    <n v="19.22"/>
    <n v="1.5"/>
    <n v="28.83"/>
    <n v="4.2"/>
    <x v="1"/>
    <x v="3"/>
  </r>
  <r>
    <s v="TRIP03501"/>
    <x v="165"/>
    <x v="0"/>
    <s v="Mumbai"/>
    <n v="1.6"/>
    <d v="1900-01-02T12:14:24"/>
    <n v="20.65"/>
    <n v="1.5"/>
    <n v="30.98"/>
    <n v="4.5"/>
    <x v="1"/>
    <x v="0"/>
  </r>
  <r>
    <s v="TRIP03502"/>
    <x v="8"/>
    <x v="1"/>
    <s v="Delhi"/>
    <n v="17.260000000000002"/>
    <d v="1900-02-06T15:50:24"/>
    <n v="209.12"/>
    <n v="1"/>
    <n v="209.12"/>
    <n v="4.9000000000000004"/>
    <x v="0"/>
    <x v="2"/>
  </r>
  <r>
    <s v="TRIP03503"/>
    <x v="282"/>
    <x v="0"/>
    <s v="Kolkata"/>
    <n v="20.47"/>
    <d v="1900-02-27T21:50:24"/>
    <n v="374.82"/>
    <n v="1.2"/>
    <n v="449.78"/>
    <n v="4.7"/>
    <x v="2"/>
    <x v="0"/>
  </r>
  <r>
    <s v="TRIP03504"/>
    <x v="149"/>
    <x v="2"/>
    <s v="Delhi"/>
    <n v="9.89"/>
    <d v="1900-02-02T22:19:12"/>
    <n v="129.13999999999999"/>
    <n v="1.5"/>
    <n v="193.71"/>
    <n v="5"/>
    <x v="0"/>
    <x v="0"/>
  </r>
  <r>
    <s v="TRIP03505"/>
    <x v="54"/>
    <x v="2"/>
    <s v="Kolkata"/>
    <n v="6.1"/>
    <d v="1900-01-16T23:02:24"/>
    <n v="75.349999999999994"/>
    <n v="2"/>
    <n v="150.69999999999999"/>
    <n v="4.3"/>
    <x v="4"/>
    <x v="1"/>
  </r>
  <r>
    <s v="TRIP03506"/>
    <x v="319"/>
    <x v="0"/>
    <s v="Delhi"/>
    <n v="28.55"/>
    <d v="1900-04-15T04:48:00"/>
    <n v="329.91"/>
    <n v="1.5"/>
    <n v="494.86"/>
    <n v="3.8"/>
    <x v="4"/>
    <x v="3"/>
  </r>
  <r>
    <s v="TRIP03507"/>
    <x v="124"/>
    <x v="2"/>
    <s v="Bangalore"/>
    <n v="23.41"/>
    <d v="1900-02-25T01:55:12"/>
    <n v="248.37"/>
    <n v="1.5"/>
    <n v="372.56"/>
    <n v="3.3"/>
    <x v="4"/>
    <x v="0"/>
  </r>
  <r>
    <s v="TRIP03508"/>
    <x v="71"/>
    <x v="3"/>
    <s v="Chennai"/>
    <n v="8.09"/>
    <d v="1900-01-27T03:36:00"/>
    <n v="157.81"/>
    <n v="2"/>
    <n v="315.62"/>
    <n v="3.5"/>
    <x v="0"/>
    <x v="0"/>
  </r>
  <r>
    <s v="TRIP03509"/>
    <x v="147"/>
    <x v="3"/>
    <s v="Mumbai"/>
    <n v="2.65"/>
    <d v="1900-01-05T09:36:00"/>
    <n v="28.88"/>
    <n v="2"/>
    <n v="57.76"/>
    <n v="3.1"/>
    <x v="1"/>
    <x v="0"/>
  </r>
  <r>
    <s v="TRIP03510"/>
    <x v="272"/>
    <x v="1"/>
    <s v="Bangalore"/>
    <n v="25.03"/>
    <d v="1900-02-24T15:36:00"/>
    <n v="481.03"/>
    <n v="1"/>
    <n v="481.03"/>
    <n v="3.3"/>
    <x v="1"/>
    <x v="3"/>
  </r>
  <r>
    <s v="TRIP03511"/>
    <x v="300"/>
    <x v="1"/>
    <s v="Mumbai"/>
    <n v="14.37"/>
    <d v="1900-02-20T17:31:12"/>
    <n v="238.47"/>
    <n v="1.5"/>
    <n v="357.7"/>
    <n v="4.3"/>
    <x v="1"/>
    <x v="0"/>
  </r>
  <r>
    <s v="TRIP03512"/>
    <x v="193"/>
    <x v="2"/>
    <s v="Mumbai"/>
    <n v="5.29"/>
    <d v="1900-01-17T11:16:48"/>
    <n v="86.55"/>
    <n v="1.2"/>
    <n v="103.86"/>
    <n v="4.0999999999999996"/>
    <x v="1"/>
    <x v="0"/>
  </r>
  <r>
    <s v="TRIP03513"/>
    <x v="286"/>
    <x v="0"/>
    <s v="Delhi"/>
    <n v="26.24"/>
    <d v="1900-03-14T12:14:24"/>
    <n v="434.16"/>
    <n v="1.2"/>
    <n v="520.99"/>
    <n v="4.8"/>
    <x v="0"/>
    <x v="1"/>
  </r>
  <r>
    <s v="TRIP03514"/>
    <x v="102"/>
    <x v="2"/>
    <s v="Mumbai"/>
    <n v="22.43"/>
    <d v="1900-02-26T06:00:00"/>
    <n v="324.82"/>
    <n v="1.5"/>
    <n v="487.23"/>
    <n v="3.9"/>
    <x v="0"/>
    <x v="2"/>
  </r>
  <r>
    <s v="TRIP03515"/>
    <x v="250"/>
    <x v="2"/>
    <s v="Mumbai"/>
    <n v="23.16"/>
    <d v="1900-03-04T14:52:48"/>
    <n v="382.18"/>
    <n v="1"/>
    <n v="382.18"/>
    <n v="4.4000000000000004"/>
    <x v="0"/>
    <x v="3"/>
  </r>
  <r>
    <s v="TRIP03516"/>
    <x v="52"/>
    <x v="3"/>
    <s v="Kolkata"/>
    <n v="24.13"/>
    <d v="1900-03-04T14:52:48"/>
    <n v="303.10000000000002"/>
    <n v="1"/>
    <n v="303.10000000000002"/>
    <n v="3.5"/>
    <x v="1"/>
    <x v="1"/>
  </r>
  <r>
    <s v="TRIP03517"/>
    <x v="179"/>
    <x v="0"/>
    <s v="Delhi"/>
    <n v="26.74"/>
    <d v="1900-03-05T19:40:48"/>
    <n v="290.19"/>
    <n v="2"/>
    <n v="580.38"/>
    <n v="4.4000000000000004"/>
    <x v="1"/>
    <x v="2"/>
  </r>
  <r>
    <s v="TRIP03518"/>
    <x v="246"/>
    <x v="2"/>
    <s v="Mumbai"/>
    <n v="11.69"/>
    <d v="1900-02-04T05:16:48"/>
    <n v="203.91"/>
    <n v="1"/>
    <n v="203.91"/>
    <n v="3.8"/>
    <x v="4"/>
    <x v="1"/>
  </r>
  <r>
    <s v="TRIP03519"/>
    <x v="14"/>
    <x v="0"/>
    <s v="Bangalore"/>
    <n v="9.64"/>
    <d v="1900-02-06T03:21:36"/>
    <n v="115.97"/>
    <n v="1.2"/>
    <n v="139.16"/>
    <n v="4.0999999999999996"/>
    <x v="4"/>
    <x v="3"/>
  </r>
  <r>
    <s v="TRIP03520"/>
    <x v="272"/>
    <x v="0"/>
    <s v="Bangalore"/>
    <n v="21.37"/>
    <d v="1900-03-17T09:50:24"/>
    <n v="287.13"/>
    <n v="1"/>
    <n v="287.13"/>
    <n v="4"/>
    <x v="2"/>
    <x v="3"/>
  </r>
  <r>
    <s v="TRIP03521"/>
    <x v="277"/>
    <x v="1"/>
    <s v="Delhi"/>
    <n v="1.88"/>
    <d v="1900-01-03T21:21:36"/>
    <n v="33.79"/>
    <n v="1.2"/>
    <n v="40.549999999999997"/>
    <n v="3.5"/>
    <x v="1"/>
    <x v="0"/>
  </r>
  <r>
    <s v="TRIP03522"/>
    <x v="85"/>
    <x v="1"/>
    <s v="Kolkata"/>
    <n v="8.43"/>
    <d v="1900-01-16T20:38:24"/>
    <n v="112.75"/>
    <n v="1.2"/>
    <n v="135.30000000000001"/>
    <n v="3.1"/>
    <x v="2"/>
    <x v="3"/>
  </r>
  <r>
    <s v="TRIP03523"/>
    <x v="303"/>
    <x v="4"/>
    <s v="Delhi"/>
    <n v="19.73"/>
    <d v="1900-03-16T20:09:36"/>
    <n v="217.11"/>
    <n v="1"/>
    <n v="217.11"/>
    <n v="3.3"/>
    <x v="4"/>
    <x v="2"/>
  </r>
  <r>
    <s v="TRIP03524"/>
    <x v="44"/>
    <x v="4"/>
    <s v="Bangalore"/>
    <n v="20.45"/>
    <d v="1900-03-01T03:50:24"/>
    <n v="391.16"/>
    <n v="1"/>
    <n v="391.16"/>
    <n v="3.6"/>
    <x v="4"/>
    <x v="2"/>
  </r>
  <r>
    <s v="TRIP03525"/>
    <x v="24"/>
    <x v="2"/>
    <s v="Chennai"/>
    <n v="28.31"/>
    <d v="1900-03-14T17:45:36"/>
    <n v="377.64"/>
    <n v="1"/>
    <n v="377.64"/>
    <n v="3.1"/>
    <x v="4"/>
    <x v="2"/>
  </r>
  <r>
    <s v="TRIP03526"/>
    <x v="268"/>
    <x v="3"/>
    <s v="Mumbai"/>
    <n v="21.59"/>
    <d v="1900-03-10T15:21:36"/>
    <n v="420.18"/>
    <n v="1"/>
    <n v="420.18"/>
    <n v="3.6"/>
    <x v="4"/>
    <x v="3"/>
  </r>
  <r>
    <s v="TRIP03527"/>
    <x v="52"/>
    <x v="0"/>
    <s v="Chennai"/>
    <n v="7.36"/>
    <d v="1900-01-24T12:14:24"/>
    <n v="111.73"/>
    <n v="1.5"/>
    <n v="167.6"/>
    <n v="3.1"/>
    <x v="3"/>
    <x v="1"/>
  </r>
  <r>
    <s v="TRIP03528"/>
    <x v="73"/>
    <x v="2"/>
    <s v="Mumbai"/>
    <n v="20.11"/>
    <d v="1900-03-02T23:16:48"/>
    <n v="203.2"/>
    <n v="1.2"/>
    <n v="243.84"/>
    <n v="4"/>
    <x v="4"/>
    <x v="1"/>
  </r>
  <r>
    <s v="TRIP03529"/>
    <x v="214"/>
    <x v="0"/>
    <s v="Kolkata"/>
    <n v="9"/>
    <d v="1900-01-25T23:45:36"/>
    <n v="118.08"/>
    <n v="1"/>
    <n v="118.08"/>
    <n v="4.9000000000000004"/>
    <x v="3"/>
    <x v="2"/>
  </r>
  <r>
    <s v="TRIP03530"/>
    <x v="21"/>
    <x v="3"/>
    <s v="Chennai"/>
    <n v="21.19"/>
    <d v="1900-02-13T22:04:48"/>
    <n v="220.45"/>
    <n v="2"/>
    <n v="440.9"/>
    <n v="3.8"/>
    <x v="2"/>
    <x v="2"/>
  </r>
  <r>
    <s v="TRIP03531"/>
    <x v="309"/>
    <x v="0"/>
    <s v="Chennai"/>
    <n v="24.98"/>
    <d v="1900-02-18T10:33:36"/>
    <n v="449.13"/>
    <n v="1.5"/>
    <n v="673.7"/>
    <n v="3.3"/>
    <x v="3"/>
    <x v="3"/>
  </r>
  <r>
    <s v="TRIP03532"/>
    <x v="329"/>
    <x v="1"/>
    <s v="Mumbai"/>
    <n v="18.09"/>
    <d v="1900-02-06T04:19:12"/>
    <n v="190.06"/>
    <n v="1.5"/>
    <n v="285.08999999999997"/>
    <n v="3.6"/>
    <x v="2"/>
    <x v="0"/>
  </r>
  <r>
    <s v="TRIP03533"/>
    <x v="126"/>
    <x v="1"/>
    <s v="Chennai"/>
    <n v="11.03"/>
    <d v="1900-02-03T16:33:36"/>
    <n v="164.3"/>
    <n v="2"/>
    <n v="328.6"/>
    <n v="3.2"/>
    <x v="0"/>
    <x v="3"/>
  </r>
  <r>
    <s v="TRIP03534"/>
    <x v="72"/>
    <x v="3"/>
    <s v="Kolkata"/>
    <n v="29.53"/>
    <d v="1900-04-19T05:31:12"/>
    <n v="563.89"/>
    <n v="1.2"/>
    <n v="676.67"/>
    <n v="3.1"/>
    <x v="4"/>
    <x v="0"/>
  </r>
  <r>
    <s v="TRIP03535"/>
    <x v="264"/>
    <x v="2"/>
    <s v="Delhi"/>
    <n v="21.56"/>
    <d v="1900-03-24T15:21:36"/>
    <n v="338.76"/>
    <n v="1.2"/>
    <n v="406.51"/>
    <n v="4.2"/>
    <x v="2"/>
    <x v="3"/>
  </r>
  <r>
    <s v="TRIP03536"/>
    <x v="84"/>
    <x v="1"/>
    <s v="Mumbai"/>
    <n v="20.91"/>
    <d v="1900-02-19T00:43:12"/>
    <n v="291.51"/>
    <n v="1"/>
    <n v="291.51"/>
    <n v="3.9"/>
    <x v="0"/>
    <x v="1"/>
  </r>
  <r>
    <s v="TRIP03537"/>
    <x v="219"/>
    <x v="0"/>
    <s v="Kolkata"/>
    <n v="22.07"/>
    <d v="1900-02-27T00:14:24"/>
    <n v="396.14"/>
    <n v="1.5"/>
    <n v="594.21"/>
    <n v="3"/>
    <x v="1"/>
    <x v="2"/>
  </r>
  <r>
    <s v="TRIP03538"/>
    <x v="147"/>
    <x v="1"/>
    <s v="Mumbai"/>
    <n v="22.45"/>
    <d v="1900-02-13T08:09:36"/>
    <n v="307.48"/>
    <n v="1"/>
    <n v="307.48"/>
    <n v="3.9"/>
    <x v="3"/>
    <x v="0"/>
  </r>
  <r>
    <s v="TRIP03539"/>
    <x v="107"/>
    <x v="1"/>
    <s v="Mumbai"/>
    <n v="8.84"/>
    <d v="1900-01-30T04:48:00"/>
    <n v="104.61"/>
    <n v="1.2"/>
    <n v="125.53"/>
    <n v="3.5"/>
    <x v="0"/>
    <x v="0"/>
  </r>
  <r>
    <s v="TRIP03540"/>
    <x v="105"/>
    <x v="3"/>
    <s v="Mumbai"/>
    <n v="10.39"/>
    <d v="1900-02-07T11:45:36"/>
    <n v="156.41"/>
    <n v="1"/>
    <n v="156.41"/>
    <n v="3.4"/>
    <x v="1"/>
    <x v="0"/>
  </r>
  <r>
    <s v="TRIP03541"/>
    <x v="156"/>
    <x v="2"/>
    <s v="Bangalore"/>
    <n v="1.93"/>
    <d v="1900-01-02T23:16:48"/>
    <n v="30.88"/>
    <n v="1.5"/>
    <n v="46.32"/>
    <n v="3.1"/>
    <x v="1"/>
    <x v="1"/>
  </r>
  <r>
    <s v="TRIP03542"/>
    <x v="41"/>
    <x v="1"/>
    <s v="Chennai"/>
    <n v="6.37"/>
    <d v="1900-01-14T14:38:24"/>
    <n v="105.83"/>
    <n v="1.5"/>
    <n v="158.74"/>
    <n v="3.7"/>
    <x v="3"/>
    <x v="1"/>
  </r>
  <r>
    <s v="TRIP03543"/>
    <x v="184"/>
    <x v="3"/>
    <s v="Mumbai"/>
    <n v="4.72"/>
    <d v="1900-01-16T01:12:00"/>
    <n v="76.319999999999993"/>
    <n v="2"/>
    <n v="152.63999999999999"/>
    <n v="3.5"/>
    <x v="0"/>
    <x v="2"/>
  </r>
  <r>
    <s v="TRIP03544"/>
    <x v="162"/>
    <x v="2"/>
    <s v="Delhi"/>
    <n v="27.69"/>
    <d v="1900-04-18T01:55:12"/>
    <n v="355.87"/>
    <n v="1.2"/>
    <n v="427.04"/>
    <n v="3.5"/>
    <x v="1"/>
    <x v="0"/>
  </r>
  <r>
    <s v="TRIP03545"/>
    <x v="33"/>
    <x v="2"/>
    <s v="Bangalore"/>
    <n v="27.96"/>
    <d v="1900-03-29T12:14:24"/>
    <n v="457.01"/>
    <n v="2"/>
    <n v="914.02"/>
    <n v="4.8"/>
    <x v="4"/>
    <x v="3"/>
  </r>
  <r>
    <s v="TRIP03546"/>
    <x v="283"/>
    <x v="1"/>
    <s v="Kolkata"/>
    <n v="29.23"/>
    <d v="1900-03-19T18:14:24"/>
    <n v="475.93"/>
    <n v="2"/>
    <n v="951.86"/>
    <n v="4.2"/>
    <x v="1"/>
    <x v="0"/>
  </r>
  <r>
    <s v="TRIP03547"/>
    <x v="243"/>
    <x v="0"/>
    <s v="Bangalore"/>
    <n v="21.38"/>
    <d v="1900-03-25T06:57:36"/>
    <n v="354.71"/>
    <n v="2"/>
    <n v="709.42"/>
    <n v="4.0999999999999996"/>
    <x v="1"/>
    <x v="2"/>
  </r>
  <r>
    <s v="TRIP03548"/>
    <x v="223"/>
    <x v="0"/>
    <s v="Delhi"/>
    <n v="24.5"/>
    <d v="1900-03-03T16:48:00"/>
    <n v="276.04000000000002"/>
    <n v="2"/>
    <n v="552.08000000000004"/>
    <n v="3.9"/>
    <x v="2"/>
    <x v="3"/>
  </r>
  <r>
    <s v="TRIP03549"/>
    <x v="191"/>
    <x v="1"/>
    <s v="Bangalore"/>
    <n v="29.93"/>
    <d v="1900-04-08T17:45:36"/>
    <n v="377.82"/>
    <n v="1.2"/>
    <n v="453.38"/>
    <n v="4"/>
    <x v="1"/>
    <x v="1"/>
  </r>
  <r>
    <s v="TRIP03550"/>
    <x v="55"/>
    <x v="1"/>
    <s v="Mumbai"/>
    <n v="29.7"/>
    <d v="1900-03-06T06:43:12"/>
    <n v="335.6"/>
    <n v="2"/>
    <n v="671.2"/>
    <n v="3.9"/>
    <x v="4"/>
    <x v="1"/>
  </r>
  <r>
    <s v="TRIP03551"/>
    <x v="334"/>
    <x v="0"/>
    <s v="Delhi"/>
    <n v="11.81"/>
    <d v="1900-02-08T22:33:36"/>
    <n v="165.99"/>
    <n v="1"/>
    <n v="165.99"/>
    <n v="3.4"/>
    <x v="3"/>
    <x v="3"/>
  </r>
  <r>
    <s v="TRIP03552"/>
    <x v="160"/>
    <x v="3"/>
    <s v="Bangalore"/>
    <n v="16.899999999999999"/>
    <d v="1900-02-20T00:57:36"/>
    <n v="183.91"/>
    <n v="1"/>
    <n v="183.91"/>
    <n v="3.5"/>
    <x v="0"/>
    <x v="3"/>
  </r>
  <r>
    <s v="TRIP03553"/>
    <x v="151"/>
    <x v="0"/>
    <s v="Bangalore"/>
    <n v="24.21"/>
    <d v="1900-03-12T01:55:12"/>
    <n v="437.11"/>
    <n v="2"/>
    <n v="874.22"/>
    <n v="3.8"/>
    <x v="3"/>
    <x v="3"/>
  </r>
  <r>
    <s v="TRIP03554"/>
    <x v="102"/>
    <x v="3"/>
    <s v="Bangalore"/>
    <n v="13.64"/>
    <d v="1900-01-30T08:38:24"/>
    <n v="191.22"/>
    <n v="1.2"/>
    <n v="229.46"/>
    <n v="3.1"/>
    <x v="0"/>
    <x v="3"/>
  </r>
  <r>
    <s v="TRIP03555"/>
    <x v="100"/>
    <x v="4"/>
    <s v="Mumbai"/>
    <n v="14.34"/>
    <d v="1900-02-13T17:31:12"/>
    <n v="264.56"/>
    <n v="2"/>
    <n v="529.12"/>
    <n v="4.8"/>
    <x v="2"/>
    <x v="2"/>
  </r>
  <r>
    <s v="TRIP03556"/>
    <x v="265"/>
    <x v="0"/>
    <s v="Delhi"/>
    <n v="24.64"/>
    <d v="1900-03-17T15:50:24"/>
    <n v="247.55"/>
    <n v="1.5"/>
    <n v="371.33"/>
    <n v="3.1"/>
    <x v="0"/>
    <x v="2"/>
  </r>
  <r>
    <s v="TRIP03557"/>
    <x v="167"/>
    <x v="1"/>
    <s v="Mumbai"/>
    <n v="14.21"/>
    <d v="1900-02-05T19:55:12"/>
    <n v="243.36"/>
    <n v="1.5"/>
    <n v="365.04"/>
    <n v="4.7"/>
    <x v="4"/>
    <x v="2"/>
  </r>
  <r>
    <s v="TRIP03558"/>
    <x v="266"/>
    <x v="2"/>
    <s v="Delhi"/>
    <n v="29.6"/>
    <d v="1900-03-15T21:07:12"/>
    <n v="389.34"/>
    <n v="1.5"/>
    <n v="584.01"/>
    <n v="4.9000000000000004"/>
    <x v="4"/>
    <x v="0"/>
  </r>
  <r>
    <s v="TRIP03559"/>
    <x v="293"/>
    <x v="3"/>
    <s v="Chennai"/>
    <n v="16.89"/>
    <d v="1900-02-25T16:04:48"/>
    <n v="214.82"/>
    <n v="1"/>
    <n v="214.82"/>
    <n v="3.9"/>
    <x v="3"/>
    <x v="1"/>
  </r>
  <r>
    <s v="TRIP03560"/>
    <x v="108"/>
    <x v="3"/>
    <s v="Bangalore"/>
    <n v="2.37"/>
    <d v="1900-01-04T09:07:12"/>
    <n v="28.22"/>
    <n v="1.5"/>
    <n v="42.33"/>
    <n v="4.7"/>
    <x v="3"/>
    <x v="3"/>
  </r>
  <r>
    <s v="TRIP03561"/>
    <x v="205"/>
    <x v="2"/>
    <s v="Mumbai"/>
    <n v="3.58"/>
    <d v="1900-01-08T16:04:48"/>
    <n v="68.430000000000007"/>
    <n v="1.5"/>
    <n v="102.65"/>
    <n v="3.2"/>
    <x v="1"/>
    <x v="1"/>
  </r>
  <r>
    <s v="TRIP03562"/>
    <x v="92"/>
    <x v="4"/>
    <s v="Kolkata"/>
    <n v="28.75"/>
    <d v="1900-03-11T13:12:00"/>
    <n v="547.72"/>
    <n v="2"/>
    <n v="1095.44"/>
    <n v="4.3"/>
    <x v="1"/>
    <x v="1"/>
  </r>
  <r>
    <s v="TRIP03563"/>
    <x v="274"/>
    <x v="2"/>
    <s v="Delhi"/>
    <n v="11.84"/>
    <d v="1900-01-25T23:16:48"/>
    <n v="222.74"/>
    <n v="1"/>
    <n v="222.74"/>
    <n v="3.7"/>
    <x v="4"/>
    <x v="1"/>
  </r>
  <r>
    <s v="TRIP03564"/>
    <x v="202"/>
    <x v="0"/>
    <s v="Mumbai"/>
    <n v="19.920000000000002"/>
    <d v="1900-02-28T00:57:36"/>
    <n v="229.07"/>
    <n v="1"/>
    <n v="229.07"/>
    <n v="4.3"/>
    <x v="4"/>
    <x v="3"/>
  </r>
  <r>
    <s v="TRIP03565"/>
    <x v="28"/>
    <x v="0"/>
    <s v="Delhi"/>
    <n v="22.02"/>
    <d v="1900-02-19T02:24:00"/>
    <n v="374.81"/>
    <n v="1"/>
    <n v="374.81"/>
    <n v="4.2"/>
    <x v="3"/>
    <x v="0"/>
  </r>
  <r>
    <s v="TRIP03566"/>
    <x v="197"/>
    <x v="4"/>
    <s v="Mumbai"/>
    <n v="4.92"/>
    <d v="1900-01-11T22:33:36"/>
    <n v="64.95"/>
    <n v="1.2"/>
    <n v="77.94"/>
    <n v="3.6"/>
    <x v="0"/>
    <x v="3"/>
  </r>
  <r>
    <s v="TRIP03567"/>
    <x v="274"/>
    <x v="3"/>
    <s v="Bangalore"/>
    <n v="25.04"/>
    <d v="1900-03-28T04:33:36"/>
    <n v="297.05"/>
    <n v="2"/>
    <n v="594.1"/>
    <n v="3.8"/>
    <x v="0"/>
    <x v="1"/>
  </r>
  <r>
    <s v="TRIP03568"/>
    <x v="213"/>
    <x v="1"/>
    <s v="Mumbai"/>
    <n v="2.75"/>
    <d v="1900-01-07T01:40:48"/>
    <n v="54.85"/>
    <n v="1.5"/>
    <n v="82.28"/>
    <n v="3.7"/>
    <x v="1"/>
    <x v="0"/>
  </r>
  <r>
    <s v="TRIP03569"/>
    <x v="193"/>
    <x v="2"/>
    <s v="Mumbai"/>
    <n v="16.89"/>
    <d v="1900-02-12T18:28:48"/>
    <n v="184.03"/>
    <n v="1"/>
    <n v="184.03"/>
    <n v="3"/>
    <x v="0"/>
    <x v="1"/>
  </r>
  <r>
    <s v="TRIP03570"/>
    <x v="130"/>
    <x v="4"/>
    <s v="Mumbai"/>
    <n v="9.09"/>
    <d v="1900-01-19T19:12:00"/>
    <n v="121.02"/>
    <n v="1.2"/>
    <n v="145.22"/>
    <n v="3.2"/>
    <x v="3"/>
    <x v="0"/>
  </r>
  <r>
    <s v="TRIP03571"/>
    <x v="269"/>
    <x v="3"/>
    <s v="Bangalore"/>
    <n v="12.23"/>
    <d v="1900-02-04T15:21:36"/>
    <n v="177.94"/>
    <n v="1.5"/>
    <n v="266.91000000000003"/>
    <n v="3.3"/>
    <x v="4"/>
    <x v="1"/>
  </r>
  <r>
    <s v="TRIP03572"/>
    <x v="100"/>
    <x v="0"/>
    <s v="Kolkata"/>
    <n v="18.03"/>
    <d v="1900-02-24T14:38:24"/>
    <n v="315.48"/>
    <n v="1.5"/>
    <n v="473.22"/>
    <n v="4.2"/>
    <x v="4"/>
    <x v="2"/>
  </r>
  <r>
    <s v="TRIP03573"/>
    <x v="168"/>
    <x v="2"/>
    <s v="Chennai"/>
    <n v="23.45"/>
    <d v="1900-03-15T07:40:48"/>
    <n v="350.46"/>
    <n v="1.5"/>
    <n v="525.69000000000005"/>
    <n v="4.9000000000000004"/>
    <x v="4"/>
    <x v="0"/>
  </r>
  <r>
    <s v="TRIP03574"/>
    <x v="46"/>
    <x v="0"/>
    <s v="Chennai"/>
    <n v="7.38"/>
    <d v="1900-01-22T17:45:36"/>
    <n v="119.85"/>
    <n v="1.2"/>
    <n v="143.82"/>
    <n v="4"/>
    <x v="0"/>
    <x v="1"/>
  </r>
  <r>
    <s v="TRIP03575"/>
    <x v="206"/>
    <x v="3"/>
    <s v="Mumbai"/>
    <n v="5.7"/>
    <d v="1900-01-19T22:48:00"/>
    <n v="102.42"/>
    <n v="1.5"/>
    <n v="153.63"/>
    <n v="5"/>
    <x v="3"/>
    <x v="0"/>
  </r>
  <r>
    <s v="TRIP03576"/>
    <x v="350"/>
    <x v="2"/>
    <s v="Delhi"/>
    <n v="27.54"/>
    <d v="1900-03-11T19:40:48"/>
    <n v="479.71"/>
    <n v="1.2"/>
    <n v="575.65"/>
    <n v="3.6"/>
    <x v="0"/>
    <x v="3"/>
  </r>
  <r>
    <s v="TRIP03577"/>
    <x v="202"/>
    <x v="3"/>
    <s v="Kolkata"/>
    <n v="22.67"/>
    <d v="1900-03-19T05:31:12"/>
    <n v="344.08"/>
    <n v="1.5"/>
    <n v="516.12"/>
    <n v="4.7"/>
    <x v="0"/>
    <x v="1"/>
  </r>
  <r>
    <s v="TRIP03578"/>
    <x v="116"/>
    <x v="2"/>
    <s v="Mumbai"/>
    <n v="1.83"/>
    <d v="1900-01-02T21:36:00"/>
    <n v="25.32"/>
    <n v="1.2"/>
    <n v="30.38"/>
    <n v="4.7"/>
    <x v="2"/>
    <x v="0"/>
  </r>
  <r>
    <s v="TRIP03579"/>
    <x v="113"/>
    <x v="0"/>
    <s v="Kolkata"/>
    <n v="8.14"/>
    <d v="1900-01-23T12:57:36"/>
    <n v="92.95"/>
    <n v="1"/>
    <n v="92.95"/>
    <n v="4.7"/>
    <x v="2"/>
    <x v="0"/>
  </r>
  <r>
    <s v="TRIP03580"/>
    <x v="342"/>
    <x v="3"/>
    <s v="Chennai"/>
    <n v="8.56"/>
    <d v="1900-02-01T12:00:00"/>
    <n v="152.1"/>
    <n v="1.5"/>
    <n v="228.15"/>
    <n v="3.9"/>
    <x v="3"/>
    <x v="0"/>
  </r>
  <r>
    <s v="TRIP03581"/>
    <x v="71"/>
    <x v="4"/>
    <s v="Chennai"/>
    <n v="25.34"/>
    <d v="1900-03-29T03:36:00"/>
    <n v="405.13"/>
    <n v="2"/>
    <n v="810.26"/>
    <n v="4.0999999999999996"/>
    <x v="3"/>
    <x v="0"/>
  </r>
  <r>
    <s v="TRIP03582"/>
    <x v="352"/>
    <x v="4"/>
    <s v="Chennai"/>
    <n v="28.36"/>
    <d v="1900-03-19T11:45:36"/>
    <n v="433.45"/>
    <n v="1.5"/>
    <n v="650.16999999999996"/>
    <n v="4.2"/>
    <x v="1"/>
    <x v="3"/>
  </r>
  <r>
    <s v="TRIP03583"/>
    <x v="329"/>
    <x v="3"/>
    <s v="Kolkata"/>
    <n v="5.75"/>
    <d v="1900-01-19T10:19:12"/>
    <n v="106.99"/>
    <n v="1"/>
    <n v="106.99"/>
    <n v="5"/>
    <x v="4"/>
    <x v="1"/>
  </r>
  <r>
    <s v="TRIP03584"/>
    <x v="253"/>
    <x v="4"/>
    <s v="Bangalore"/>
    <n v="20.16"/>
    <d v="1900-02-19T13:40:48"/>
    <n v="355.37"/>
    <n v="1.5"/>
    <n v="533.05999999999995"/>
    <n v="4.9000000000000004"/>
    <x v="3"/>
    <x v="1"/>
  </r>
  <r>
    <s v="TRIP03585"/>
    <x v="56"/>
    <x v="3"/>
    <s v="Delhi"/>
    <n v="13.75"/>
    <d v="1900-02-19T00:43:12"/>
    <n v="239.1"/>
    <n v="1"/>
    <n v="239.1"/>
    <n v="4.4000000000000004"/>
    <x v="4"/>
    <x v="2"/>
  </r>
  <r>
    <s v="TRIP03586"/>
    <x v="104"/>
    <x v="3"/>
    <s v="Bangalore"/>
    <n v="3.66"/>
    <d v="1900-01-07T03:36:00"/>
    <n v="40.57"/>
    <n v="2"/>
    <n v="81.14"/>
    <n v="3.1"/>
    <x v="1"/>
    <x v="3"/>
  </r>
  <r>
    <s v="TRIP03587"/>
    <x v="209"/>
    <x v="0"/>
    <s v="Bangalore"/>
    <n v="22.5"/>
    <d v="1900-03-26T12:00:00"/>
    <n v="231.47"/>
    <n v="1.5"/>
    <n v="347.2"/>
    <n v="4.4000000000000004"/>
    <x v="1"/>
    <x v="3"/>
  </r>
  <r>
    <s v="TRIP03588"/>
    <x v="146"/>
    <x v="3"/>
    <s v="Delhi"/>
    <n v="25.73"/>
    <d v="1900-03-30T22:33:36"/>
    <n v="344.85"/>
    <n v="2"/>
    <n v="689.7"/>
    <n v="3.7"/>
    <x v="2"/>
    <x v="3"/>
  </r>
  <r>
    <s v="TRIP03589"/>
    <x v="39"/>
    <x v="0"/>
    <s v="Delhi"/>
    <n v="7.9"/>
    <d v="1900-01-26T13:55:12"/>
    <n v="114.26"/>
    <n v="1.2"/>
    <n v="137.11000000000001"/>
    <n v="3.7"/>
    <x v="2"/>
    <x v="2"/>
  </r>
  <r>
    <s v="TRIP03590"/>
    <x v="207"/>
    <x v="3"/>
    <s v="Chennai"/>
    <n v="12.18"/>
    <d v="1900-01-31T17:16:48"/>
    <n v="221.27"/>
    <n v="1"/>
    <n v="221.27"/>
    <n v="3.1"/>
    <x v="3"/>
    <x v="1"/>
  </r>
  <r>
    <s v="TRIP03591"/>
    <x v="285"/>
    <x v="3"/>
    <s v="Delhi"/>
    <n v="3.66"/>
    <d v="1900-01-06T17:31:12"/>
    <n v="49.9"/>
    <n v="1"/>
    <n v="49.9"/>
    <n v="3.2"/>
    <x v="2"/>
    <x v="1"/>
  </r>
  <r>
    <s v="TRIP03592"/>
    <x v="250"/>
    <x v="3"/>
    <s v="Bangalore"/>
    <n v="16.53"/>
    <d v="1900-02-01T14:24:00"/>
    <n v="206.84"/>
    <n v="1.5"/>
    <n v="310.26"/>
    <n v="4.5"/>
    <x v="1"/>
    <x v="2"/>
  </r>
  <r>
    <s v="TRIP03593"/>
    <x v="96"/>
    <x v="3"/>
    <s v="Chennai"/>
    <n v="24.17"/>
    <d v="1900-04-04T19:12:00"/>
    <n v="436.64"/>
    <n v="1.5"/>
    <n v="654.96"/>
    <n v="4.7"/>
    <x v="4"/>
    <x v="3"/>
  </r>
  <r>
    <s v="TRIP03594"/>
    <x v="290"/>
    <x v="3"/>
    <s v="Delhi"/>
    <n v="1.89"/>
    <d v="1900-01-03T03:21:36"/>
    <n v="23.04"/>
    <n v="1.2"/>
    <n v="27.65"/>
    <n v="3"/>
    <x v="3"/>
    <x v="0"/>
  </r>
  <r>
    <s v="TRIP03595"/>
    <x v="65"/>
    <x v="2"/>
    <s v="Mumbai"/>
    <n v="26"/>
    <d v="1900-03-24T00:57:36"/>
    <n v="501.33"/>
    <n v="1.2"/>
    <n v="601.6"/>
    <n v="3.7"/>
    <x v="1"/>
    <x v="3"/>
  </r>
  <r>
    <s v="TRIP03596"/>
    <x v="90"/>
    <x v="0"/>
    <s v="Chennai"/>
    <n v="2.99"/>
    <d v="1900-01-08T19:26:24"/>
    <n v="53.14"/>
    <n v="1.2"/>
    <n v="63.77"/>
    <n v="4"/>
    <x v="4"/>
    <x v="3"/>
  </r>
  <r>
    <s v="TRIP03597"/>
    <x v="329"/>
    <x v="3"/>
    <s v="Mumbai"/>
    <n v="29.86"/>
    <d v="1900-03-01T05:45:36"/>
    <n v="567.29"/>
    <n v="1.5"/>
    <n v="850.94"/>
    <n v="3.9"/>
    <x v="3"/>
    <x v="3"/>
  </r>
  <r>
    <s v="TRIP03598"/>
    <x v="340"/>
    <x v="4"/>
    <s v="Bangalore"/>
    <n v="5.89"/>
    <d v="1900-01-19T16:48:00"/>
    <n v="61.88"/>
    <n v="1"/>
    <n v="61.88"/>
    <n v="4.9000000000000004"/>
    <x v="4"/>
    <x v="2"/>
  </r>
  <r>
    <s v="TRIP03599"/>
    <x v="306"/>
    <x v="1"/>
    <s v="Chennai"/>
    <n v="4.01"/>
    <d v="1900-01-13T21:36:00"/>
    <n v="61.06"/>
    <n v="1.5"/>
    <n v="91.59"/>
    <n v="3.6"/>
    <x v="0"/>
    <x v="2"/>
  </r>
  <r>
    <s v="TRIP03600"/>
    <x v="19"/>
    <x v="3"/>
    <s v="Kolkata"/>
    <n v="27.3"/>
    <d v="1900-03-26T20:09:36"/>
    <n v="474.55"/>
    <n v="1"/>
    <n v="474.55"/>
    <n v="3.9"/>
    <x v="2"/>
    <x v="2"/>
  </r>
  <r>
    <s v="TRIP03601"/>
    <x v="332"/>
    <x v="3"/>
    <s v="Chennai"/>
    <n v="8.76"/>
    <d v="1900-02-02T03:50:24"/>
    <n v="103.84"/>
    <n v="1.2"/>
    <n v="124.61"/>
    <n v="3.7"/>
    <x v="0"/>
    <x v="0"/>
  </r>
  <r>
    <s v="TRIP03602"/>
    <x v="356"/>
    <x v="4"/>
    <s v="Bangalore"/>
    <n v="6.73"/>
    <d v="1900-01-17T00:28:48"/>
    <n v="120.77"/>
    <n v="2"/>
    <n v="241.54"/>
    <n v="4.5"/>
    <x v="3"/>
    <x v="1"/>
  </r>
  <r>
    <s v="TRIP03603"/>
    <x v="210"/>
    <x v="1"/>
    <s v="Delhi"/>
    <n v="27.59"/>
    <d v="1900-02-27T16:19:12"/>
    <n v="504.86"/>
    <n v="1.5"/>
    <n v="757.29"/>
    <n v="4.5999999999999996"/>
    <x v="4"/>
    <x v="1"/>
  </r>
  <r>
    <s v="TRIP03604"/>
    <x v="306"/>
    <x v="3"/>
    <s v="Bangalore"/>
    <n v="24.84"/>
    <d v="1900-03-13T04:04:48"/>
    <n v="296.20999999999998"/>
    <n v="1"/>
    <n v="296.20999999999998"/>
    <n v="3.1"/>
    <x v="0"/>
    <x v="0"/>
  </r>
  <r>
    <s v="TRIP03605"/>
    <x v="286"/>
    <x v="2"/>
    <s v="Chennai"/>
    <n v="26.7"/>
    <d v="1900-03-28T03:36:00"/>
    <n v="305.49"/>
    <n v="1"/>
    <n v="305.49"/>
    <n v="3.5"/>
    <x v="0"/>
    <x v="2"/>
  </r>
  <r>
    <s v="TRIP03606"/>
    <x v="293"/>
    <x v="2"/>
    <s v="Kolkata"/>
    <n v="13.57"/>
    <d v="1900-02-11T06:43:12"/>
    <n v="241.17"/>
    <n v="1"/>
    <n v="241.17"/>
    <n v="4.0999999999999996"/>
    <x v="1"/>
    <x v="3"/>
  </r>
  <r>
    <s v="TRIP03607"/>
    <x v="110"/>
    <x v="2"/>
    <s v="Delhi"/>
    <n v="4.33"/>
    <d v="1900-01-12T16:33:36"/>
    <n v="73.260000000000005"/>
    <n v="1.2"/>
    <n v="87.91"/>
    <n v="3.4"/>
    <x v="0"/>
    <x v="2"/>
  </r>
  <r>
    <s v="TRIP03608"/>
    <x v="253"/>
    <x v="0"/>
    <s v="Chennai"/>
    <n v="29.36"/>
    <d v="1900-03-28T18:57:36"/>
    <n v="537.51"/>
    <n v="1.2"/>
    <n v="645.01"/>
    <n v="3.2"/>
    <x v="4"/>
    <x v="3"/>
  </r>
  <r>
    <s v="TRIP03609"/>
    <x v="362"/>
    <x v="4"/>
    <s v="Kolkata"/>
    <n v="8.35"/>
    <d v="1900-01-29T08:38:24"/>
    <n v="165.82"/>
    <n v="2"/>
    <n v="331.64"/>
    <n v="3.7"/>
    <x v="2"/>
    <x v="3"/>
  </r>
  <r>
    <s v="TRIP03610"/>
    <x v="6"/>
    <x v="3"/>
    <s v="Mumbai"/>
    <n v="17.649999999999999"/>
    <d v="1900-03-06T23:02:24"/>
    <n v="332.19"/>
    <n v="1.2"/>
    <n v="398.63"/>
    <n v="3.2"/>
    <x v="0"/>
    <x v="2"/>
  </r>
  <r>
    <s v="TRIP03611"/>
    <x v="43"/>
    <x v="2"/>
    <s v="Delhi"/>
    <n v="7.5"/>
    <d v="1900-01-15T14:09:36"/>
    <n v="146.54"/>
    <n v="2"/>
    <n v="293.08"/>
    <n v="4"/>
    <x v="0"/>
    <x v="2"/>
  </r>
  <r>
    <s v="TRIP03612"/>
    <x v="23"/>
    <x v="2"/>
    <s v="Delhi"/>
    <n v="27.06"/>
    <d v="1900-03-30T18:43:12"/>
    <n v="437.84"/>
    <n v="1"/>
    <n v="437.84"/>
    <n v="3.7"/>
    <x v="0"/>
    <x v="2"/>
  </r>
  <r>
    <s v="TRIP03613"/>
    <x v="100"/>
    <x v="0"/>
    <s v="Chennai"/>
    <n v="2.93"/>
    <d v="1900-01-07T21:36:00"/>
    <n v="38.47"/>
    <n v="1.2"/>
    <n v="46.16"/>
    <n v="3.6"/>
    <x v="0"/>
    <x v="0"/>
  </r>
  <r>
    <s v="TRIP03614"/>
    <x v="315"/>
    <x v="1"/>
    <s v="Bangalore"/>
    <n v="10.63"/>
    <d v="1900-02-03T11:45:36"/>
    <n v="133.80000000000001"/>
    <n v="1"/>
    <n v="133.80000000000001"/>
    <n v="3.8"/>
    <x v="4"/>
    <x v="0"/>
  </r>
  <r>
    <s v="TRIP03615"/>
    <x v="208"/>
    <x v="3"/>
    <s v="Delhi"/>
    <n v="8.24"/>
    <d v="1900-01-31T00:00:00"/>
    <n v="161"/>
    <n v="1"/>
    <n v="161"/>
    <n v="3.4"/>
    <x v="0"/>
    <x v="2"/>
  </r>
  <r>
    <s v="TRIP03616"/>
    <x v="170"/>
    <x v="0"/>
    <s v="Delhi"/>
    <n v="19.760000000000002"/>
    <d v="1900-03-13T21:21:36"/>
    <n v="350.92"/>
    <n v="2"/>
    <n v="701.84"/>
    <n v="4.8"/>
    <x v="1"/>
    <x v="1"/>
  </r>
  <r>
    <s v="TRIP03617"/>
    <x v="257"/>
    <x v="0"/>
    <s v="Bangalore"/>
    <n v="20.88"/>
    <d v="1900-03-22T12:00:00"/>
    <n v="220.78"/>
    <n v="1"/>
    <n v="220.78"/>
    <n v="3.5"/>
    <x v="2"/>
    <x v="3"/>
  </r>
  <r>
    <s v="TRIP03618"/>
    <x v="50"/>
    <x v="2"/>
    <s v="Mumbai"/>
    <n v="5.66"/>
    <d v="1900-01-21T08:52:48"/>
    <n v="74.430000000000007"/>
    <n v="2"/>
    <n v="148.86000000000001"/>
    <n v="4.0999999999999996"/>
    <x v="0"/>
    <x v="2"/>
  </r>
  <r>
    <s v="TRIP03619"/>
    <x v="2"/>
    <x v="2"/>
    <s v="Bangalore"/>
    <n v="17.8"/>
    <d v="1900-02-05T16:33:36"/>
    <n v="204.64"/>
    <n v="2"/>
    <n v="409.28"/>
    <n v="3.6"/>
    <x v="1"/>
    <x v="0"/>
  </r>
  <r>
    <s v="TRIP03620"/>
    <x v="45"/>
    <x v="3"/>
    <s v="Bangalore"/>
    <n v="18.37"/>
    <d v="1900-02-05T14:24:00"/>
    <n v="216.55"/>
    <n v="2"/>
    <n v="433.1"/>
    <n v="3"/>
    <x v="0"/>
    <x v="1"/>
  </r>
  <r>
    <s v="TRIP03621"/>
    <x v="291"/>
    <x v="2"/>
    <s v="Kolkata"/>
    <n v="6.51"/>
    <d v="1900-01-22T01:55:12"/>
    <n v="96.93"/>
    <n v="1"/>
    <n v="96.93"/>
    <n v="4.8"/>
    <x v="2"/>
    <x v="0"/>
  </r>
  <r>
    <s v="TRIP03622"/>
    <x v="17"/>
    <x v="1"/>
    <s v="Mumbai"/>
    <n v="18.72"/>
    <d v="1900-03-02T09:07:12"/>
    <n v="312.55"/>
    <n v="1.5"/>
    <n v="468.83"/>
    <n v="3"/>
    <x v="0"/>
    <x v="0"/>
  </r>
  <r>
    <s v="TRIP03623"/>
    <x v="1"/>
    <x v="0"/>
    <s v="Kolkata"/>
    <n v="27.26"/>
    <d v="1900-03-13T18:43:12"/>
    <n v="330.06"/>
    <n v="2"/>
    <n v="660.12"/>
    <n v="4.4000000000000004"/>
    <x v="2"/>
    <x v="2"/>
  </r>
  <r>
    <s v="TRIP03624"/>
    <x v="124"/>
    <x v="2"/>
    <s v="Chennai"/>
    <n v="22.29"/>
    <d v="1900-03-26T12:14:24"/>
    <n v="243.65"/>
    <n v="1.2"/>
    <n v="292.38"/>
    <n v="3.1"/>
    <x v="4"/>
    <x v="2"/>
  </r>
  <r>
    <s v="TRIP03625"/>
    <x v="93"/>
    <x v="1"/>
    <s v="Delhi"/>
    <n v="15.44"/>
    <d v="1900-02-15T14:52:48"/>
    <n v="200.82"/>
    <n v="2"/>
    <n v="401.64"/>
    <n v="4.3"/>
    <x v="4"/>
    <x v="1"/>
  </r>
  <r>
    <s v="TRIP03626"/>
    <x v="293"/>
    <x v="4"/>
    <s v="Bangalore"/>
    <n v="17.760000000000002"/>
    <d v="1900-02-07T13:26:24"/>
    <n v="262.31"/>
    <n v="2"/>
    <n v="524.62"/>
    <n v="4"/>
    <x v="3"/>
    <x v="0"/>
  </r>
  <r>
    <s v="TRIP03627"/>
    <x v="217"/>
    <x v="0"/>
    <s v="Mumbai"/>
    <n v="15.33"/>
    <d v="1900-02-02T01:55:12"/>
    <n v="171.13"/>
    <n v="1"/>
    <n v="171.13"/>
    <n v="4.5999999999999996"/>
    <x v="3"/>
    <x v="0"/>
  </r>
  <r>
    <s v="TRIP03628"/>
    <x v="227"/>
    <x v="1"/>
    <s v="Chennai"/>
    <n v="24.66"/>
    <d v="1900-03-01T11:45:36"/>
    <n v="352.83"/>
    <n v="1.2"/>
    <n v="423.4"/>
    <n v="4.0999999999999996"/>
    <x v="0"/>
    <x v="0"/>
  </r>
  <r>
    <s v="TRIP03629"/>
    <x v="332"/>
    <x v="3"/>
    <s v="Mumbai"/>
    <n v="22.38"/>
    <d v="1900-03-15T15:21:36"/>
    <n v="345.34"/>
    <n v="1.5"/>
    <n v="518.01"/>
    <n v="3.7"/>
    <x v="2"/>
    <x v="0"/>
  </r>
  <r>
    <s v="TRIP03630"/>
    <x v="140"/>
    <x v="2"/>
    <s v="Mumbai"/>
    <n v="15.35"/>
    <d v="1900-03-01T05:45:36"/>
    <n v="223.67"/>
    <n v="2"/>
    <n v="447.34"/>
    <n v="4.0999999999999996"/>
    <x v="1"/>
    <x v="1"/>
  </r>
  <r>
    <s v="TRIP03631"/>
    <x v="35"/>
    <x v="2"/>
    <s v="Kolkata"/>
    <n v="2.35"/>
    <d v="1900-01-04T21:07:12"/>
    <n v="31.81"/>
    <n v="1.2"/>
    <n v="38.17"/>
    <n v="4.5"/>
    <x v="0"/>
    <x v="3"/>
  </r>
  <r>
    <s v="TRIP03632"/>
    <x v="113"/>
    <x v="2"/>
    <s v="Bangalore"/>
    <n v="1.83"/>
    <d v="1900-01-04T22:04:48"/>
    <n v="25.83"/>
    <n v="2"/>
    <n v="51.66"/>
    <n v="4"/>
    <x v="0"/>
    <x v="1"/>
  </r>
  <r>
    <s v="TRIP03633"/>
    <x v="333"/>
    <x v="1"/>
    <s v="Delhi"/>
    <n v="21.56"/>
    <d v="1900-02-20T13:26:24"/>
    <n v="379.67"/>
    <n v="1.2"/>
    <n v="455.6"/>
    <n v="4.5"/>
    <x v="1"/>
    <x v="2"/>
  </r>
  <r>
    <s v="TRIP03634"/>
    <x v="32"/>
    <x v="0"/>
    <s v="Bangalore"/>
    <n v="1.98"/>
    <d v="1900-01-04T17:31:12"/>
    <n v="33.25"/>
    <n v="1"/>
    <n v="33.25"/>
    <n v="3.9"/>
    <x v="2"/>
    <x v="1"/>
  </r>
  <r>
    <s v="TRIP03635"/>
    <x v="220"/>
    <x v="4"/>
    <s v="Kolkata"/>
    <n v="28.32"/>
    <d v="1900-03-21T07:55:12"/>
    <n v="562.27"/>
    <n v="2"/>
    <n v="1124.54"/>
    <n v="4.3"/>
    <x v="0"/>
    <x v="2"/>
  </r>
  <r>
    <s v="TRIP03636"/>
    <x v="188"/>
    <x v="4"/>
    <s v="Kolkata"/>
    <n v="17.850000000000001"/>
    <d v="1900-02-21T13:40:48"/>
    <n v="351.8"/>
    <n v="2"/>
    <n v="703.6"/>
    <n v="3.4"/>
    <x v="3"/>
    <x v="3"/>
  </r>
  <r>
    <s v="TRIP03637"/>
    <x v="254"/>
    <x v="1"/>
    <s v="Chennai"/>
    <n v="21.05"/>
    <d v="1900-02-21T00:00:00"/>
    <n v="400.3"/>
    <n v="1.5"/>
    <n v="600.45000000000005"/>
    <n v="4"/>
    <x v="1"/>
    <x v="3"/>
  </r>
  <r>
    <s v="TRIP03638"/>
    <x v="62"/>
    <x v="3"/>
    <s v="Chennai"/>
    <n v="12.28"/>
    <d v="1900-02-13T11:02:24"/>
    <n v="200.98"/>
    <n v="1.5"/>
    <n v="301.47000000000003"/>
    <n v="4.4000000000000004"/>
    <x v="4"/>
    <x v="2"/>
  </r>
  <r>
    <s v="TRIP03639"/>
    <x v="41"/>
    <x v="3"/>
    <s v="Delhi"/>
    <n v="6.55"/>
    <d v="1900-01-17T12:00:00"/>
    <n v="76.650000000000006"/>
    <n v="1"/>
    <n v="76.650000000000006"/>
    <n v="3"/>
    <x v="2"/>
    <x v="1"/>
  </r>
  <r>
    <s v="TRIP03640"/>
    <x v="23"/>
    <x v="3"/>
    <s v="Chennai"/>
    <n v="16.55"/>
    <d v="1900-02-17T00:57:36"/>
    <n v="248.5"/>
    <n v="1.5"/>
    <n v="372.75"/>
    <n v="3.2"/>
    <x v="3"/>
    <x v="0"/>
  </r>
  <r>
    <s v="TRIP03641"/>
    <x v="256"/>
    <x v="1"/>
    <s v="Chennai"/>
    <n v="21.42"/>
    <d v="1900-02-26T04:19:12"/>
    <n v="402.95"/>
    <n v="2"/>
    <n v="805.9"/>
    <n v="4.8"/>
    <x v="0"/>
    <x v="2"/>
  </r>
  <r>
    <s v="TRIP03642"/>
    <x v="213"/>
    <x v="4"/>
    <s v="Delhi"/>
    <n v="26.1"/>
    <d v="1900-04-04T03:07:12"/>
    <n v="293.14999999999998"/>
    <n v="1.5"/>
    <n v="439.72"/>
    <n v="3.5"/>
    <x v="1"/>
    <x v="1"/>
  </r>
  <r>
    <s v="TRIP03643"/>
    <x v="269"/>
    <x v="3"/>
    <s v="Mumbai"/>
    <n v="19.91"/>
    <d v="1900-03-14T01:55:12"/>
    <n v="227.03"/>
    <n v="1"/>
    <n v="227.03"/>
    <n v="3.2"/>
    <x v="2"/>
    <x v="3"/>
  </r>
  <r>
    <s v="TRIP03644"/>
    <x v="87"/>
    <x v="2"/>
    <s v="Delhi"/>
    <n v="12.3"/>
    <d v="1900-01-23T23:16:48"/>
    <n v="233.49"/>
    <n v="1.2"/>
    <n v="280.19"/>
    <n v="4.5999999999999996"/>
    <x v="0"/>
    <x v="3"/>
  </r>
  <r>
    <s v="TRIP03645"/>
    <x v="24"/>
    <x v="3"/>
    <s v="Kolkata"/>
    <n v="2.74"/>
    <d v="1900-01-05T17:31:12"/>
    <n v="34.51"/>
    <n v="2"/>
    <n v="69.02"/>
    <n v="4.7"/>
    <x v="2"/>
    <x v="0"/>
  </r>
  <r>
    <s v="TRIP03646"/>
    <x v="115"/>
    <x v="0"/>
    <s v="Delhi"/>
    <n v="12.21"/>
    <d v="1900-01-28T10:04:48"/>
    <n v="130.04"/>
    <n v="1"/>
    <n v="130.04"/>
    <n v="4.7"/>
    <x v="3"/>
    <x v="0"/>
  </r>
  <r>
    <s v="TRIP03647"/>
    <x v="51"/>
    <x v="2"/>
    <s v="Delhi"/>
    <n v="13.9"/>
    <d v="1900-02-15T23:45:36"/>
    <n v="233.84"/>
    <n v="1.5"/>
    <n v="350.76"/>
    <n v="3.1"/>
    <x v="3"/>
    <x v="1"/>
  </r>
  <r>
    <s v="TRIP03648"/>
    <x v="131"/>
    <x v="3"/>
    <s v="Chennai"/>
    <n v="22.9"/>
    <d v="1900-03-18T19:55:12"/>
    <n v="315.57"/>
    <n v="1.5"/>
    <n v="473.36"/>
    <n v="3.6"/>
    <x v="0"/>
    <x v="3"/>
  </r>
  <r>
    <s v="TRIP03649"/>
    <x v="355"/>
    <x v="3"/>
    <s v="Mumbai"/>
    <n v="9.36"/>
    <d v="1900-01-17T21:21:36"/>
    <n v="115.13"/>
    <n v="1.5"/>
    <n v="172.7"/>
    <n v="3.5"/>
    <x v="3"/>
    <x v="2"/>
  </r>
  <r>
    <s v="TRIP03650"/>
    <x v="162"/>
    <x v="2"/>
    <s v="Bangalore"/>
    <n v="4.0199999999999996"/>
    <d v="1900-01-14T06:00:00"/>
    <n v="63.74"/>
    <n v="2"/>
    <n v="127.48"/>
    <n v="3.4"/>
    <x v="1"/>
    <x v="0"/>
  </r>
  <r>
    <s v="TRIP03651"/>
    <x v="276"/>
    <x v="0"/>
    <s v="Bangalore"/>
    <n v="20.64"/>
    <d v="1900-02-17T17:31:12"/>
    <n v="334.03"/>
    <n v="1.5"/>
    <n v="501.04"/>
    <n v="3.5"/>
    <x v="1"/>
    <x v="0"/>
  </r>
  <r>
    <s v="TRIP03652"/>
    <x v="65"/>
    <x v="1"/>
    <s v="Mumbai"/>
    <n v="28.01"/>
    <d v="1900-03-27T02:38:24"/>
    <n v="539.74"/>
    <n v="1.2"/>
    <n v="647.69000000000005"/>
    <n v="4.3"/>
    <x v="1"/>
    <x v="3"/>
  </r>
  <r>
    <s v="TRIP03653"/>
    <x v="59"/>
    <x v="1"/>
    <s v="Chennai"/>
    <n v="22.51"/>
    <d v="1900-03-01T08:52:48"/>
    <n v="275.63"/>
    <n v="2"/>
    <n v="551.26"/>
    <n v="4.4000000000000004"/>
    <x v="0"/>
    <x v="0"/>
  </r>
  <r>
    <s v="TRIP03654"/>
    <x v="302"/>
    <x v="0"/>
    <s v="Chennai"/>
    <n v="28.91"/>
    <d v="1900-03-12T15:07:12"/>
    <n v="530.73"/>
    <n v="2"/>
    <n v="1061.46"/>
    <n v="3.3"/>
    <x v="4"/>
    <x v="3"/>
  </r>
  <r>
    <s v="TRIP03655"/>
    <x v="214"/>
    <x v="3"/>
    <s v="Bangalore"/>
    <n v="29.22"/>
    <d v="1900-04-23T01:26:24"/>
    <n v="294.44"/>
    <n v="1"/>
    <n v="294.44"/>
    <n v="3"/>
    <x v="0"/>
    <x v="2"/>
  </r>
  <r>
    <s v="TRIP03656"/>
    <x v="107"/>
    <x v="0"/>
    <s v="Bangalore"/>
    <n v="21.45"/>
    <d v="1900-03-24T23:16:48"/>
    <n v="222.94"/>
    <n v="1"/>
    <n v="222.94"/>
    <n v="4.3"/>
    <x v="0"/>
    <x v="1"/>
  </r>
  <r>
    <s v="TRIP03657"/>
    <x v="89"/>
    <x v="3"/>
    <s v="Delhi"/>
    <n v="4.41"/>
    <d v="1900-01-15T21:36:00"/>
    <n v="71.89"/>
    <n v="1.5"/>
    <n v="107.84"/>
    <n v="4.3"/>
    <x v="4"/>
    <x v="3"/>
  </r>
  <r>
    <s v="TRIP03658"/>
    <x v="307"/>
    <x v="2"/>
    <s v="Mumbai"/>
    <n v="2.41"/>
    <d v="1900-01-04T17:31:12"/>
    <n v="25.7"/>
    <n v="1.2"/>
    <n v="30.84"/>
    <n v="3.5"/>
    <x v="2"/>
    <x v="0"/>
  </r>
  <r>
    <s v="TRIP03659"/>
    <x v="195"/>
    <x v="4"/>
    <s v="Chennai"/>
    <n v="4.43"/>
    <d v="1900-01-09T08:09:36"/>
    <n v="64.05"/>
    <n v="1.5"/>
    <n v="96.07"/>
    <n v="3.2"/>
    <x v="1"/>
    <x v="1"/>
  </r>
  <r>
    <s v="TRIP03660"/>
    <x v="230"/>
    <x v="1"/>
    <s v="Mumbai"/>
    <n v="13.45"/>
    <d v="1900-02-12T05:45:36"/>
    <n v="260.55"/>
    <n v="2"/>
    <n v="521.1"/>
    <n v="3.9"/>
    <x v="2"/>
    <x v="1"/>
  </r>
  <r>
    <s v="TRIP03661"/>
    <x v="251"/>
    <x v="2"/>
    <s v="Kolkata"/>
    <n v="25.73"/>
    <d v="1900-03-17T12:28:48"/>
    <n v="454.5"/>
    <n v="1.2"/>
    <n v="545.4"/>
    <n v="3.9"/>
    <x v="0"/>
    <x v="0"/>
  </r>
  <r>
    <s v="TRIP03662"/>
    <x v="28"/>
    <x v="2"/>
    <s v="Mumbai"/>
    <n v="27.79"/>
    <d v="1900-03-30T21:36:00"/>
    <n v="307.32"/>
    <n v="1.2"/>
    <n v="368.78"/>
    <n v="4.7"/>
    <x v="3"/>
    <x v="1"/>
  </r>
  <r>
    <s v="TRIP03663"/>
    <x v="213"/>
    <x v="2"/>
    <s v="Chennai"/>
    <n v="22.78"/>
    <d v="1900-02-15T05:31:12"/>
    <n v="409.8"/>
    <n v="1.2"/>
    <n v="491.76"/>
    <n v="3.4"/>
    <x v="0"/>
    <x v="1"/>
  </r>
  <r>
    <s v="TRIP03664"/>
    <x v="333"/>
    <x v="2"/>
    <s v="Chennai"/>
    <n v="17.739999999999998"/>
    <d v="1900-02-12T21:07:12"/>
    <n v="294.72000000000003"/>
    <n v="2"/>
    <n v="589.44000000000005"/>
    <n v="4.9000000000000004"/>
    <x v="2"/>
    <x v="2"/>
  </r>
  <r>
    <s v="TRIP03665"/>
    <x v="187"/>
    <x v="0"/>
    <s v="Bangalore"/>
    <n v="12.82"/>
    <d v="1900-02-13T09:50:24"/>
    <n v="183.63"/>
    <n v="1"/>
    <n v="183.63"/>
    <n v="3.7"/>
    <x v="2"/>
    <x v="2"/>
  </r>
  <r>
    <s v="TRIP03666"/>
    <x v="297"/>
    <x v="2"/>
    <s v="Chennai"/>
    <n v="11.08"/>
    <d v="1900-02-11T16:33:36"/>
    <n v="157.97999999999999"/>
    <n v="1.2"/>
    <n v="189.58"/>
    <n v="5"/>
    <x v="4"/>
    <x v="2"/>
  </r>
  <r>
    <s v="TRIP03667"/>
    <x v="195"/>
    <x v="0"/>
    <s v="Mumbai"/>
    <n v="29.86"/>
    <d v="1900-04-13T16:33:36"/>
    <n v="420.63"/>
    <n v="1.5"/>
    <n v="630.94000000000005"/>
    <n v="3.8"/>
    <x v="2"/>
    <x v="0"/>
  </r>
  <r>
    <s v="TRIP03668"/>
    <x v="223"/>
    <x v="2"/>
    <s v="Delhi"/>
    <n v="10.199999999999999"/>
    <d v="1900-02-03T13:40:48"/>
    <n v="178.08"/>
    <n v="1"/>
    <n v="178.08"/>
    <n v="4.0999999999999996"/>
    <x v="2"/>
    <x v="3"/>
  </r>
  <r>
    <s v="TRIP03669"/>
    <x v="183"/>
    <x v="0"/>
    <s v="Chennai"/>
    <n v="5.43"/>
    <d v="1900-01-10T05:16:48"/>
    <n v="67.7"/>
    <n v="1"/>
    <n v="67.7"/>
    <n v="4.7"/>
    <x v="0"/>
    <x v="3"/>
  </r>
  <r>
    <s v="TRIP03670"/>
    <x v="225"/>
    <x v="1"/>
    <s v="Delhi"/>
    <n v="18.28"/>
    <d v="1900-03-10T12:43:12"/>
    <n v="264.2"/>
    <n v="1.5"/>
    <n v="396.3"/>
    <n v="3.9"/>
    <x v="2"/>
    <x v="0"/>
  </r>
  <r>
    <s v="TRIP03671"/>
    <x v="96"/>
    <x v="4"/>
    <s v="Bangalore"/>
    <n v="22.04"/>
    <d v="1900-03-24T07:12:00"/>
    <n v="311.31"/>
    <n v="2"/>
    <n v="622.62"/>
    <n v="3.6"/>
    <x v="1"/>
    <x v="2"/>
  </r>
  <r>
    <s v="TRIP03672"/>
    <x v="192"/>
    <x v="4"/>
    <s v="Bangalore"/>
    <n v="16.149999999999999"/>
    <d v="1900-02-19T16:33:36"/>
    <n v="204.84"/>
    <n v="1"/>
    <n v="204.84"/>
    <n v="4.8"/>
    <x v="0"/>
    <x v="3"/>
  </r>
  <r>
    <s v="TRIP03673"/>
    <x v="182"/>
    <x v="0"/>
    <s v="Chennai"/>
    <n v="28.32"/>
    <d v="1900-04-02T00:57:36"/>
    <n v="377.54"/>
    <n v="2"/>
    <n v="755.08"/>
    <n v="3.3"/>
    <x v="0"/>
    <x v="3"/>
  </r>
  <r>
    <s v="TRIP03674"/>
    <x v="23"/>
    <x v="3"/>
    <s v="Chennai"/>
    <n v="9.39"/>
    <d v="1900-02-03T12:00:00"/>
    <n v="110.14"/>
    <n v="1.5"/>
    <n v="165.21"/>
    <n v="4.4000000000000004"/>
    <x v="4"/>
    <x v="3"/>
  </r>
  <r>
    <s v="TRIP03675"/>
    <x v="42"/>
    <x v="1"/>
    <s v="Kolkata"/>
    <n v="21.75"/>
    <d v="1900-02-16T07:12:00"/>
    <n v="276.01"/>
    <n v="1.5"/>
    <n v="414.02"/>
    <n v="4.7"/>
    <x v="3"/>
    <x v="1"/>
  </r>
  <r>
    <s v="TRIP03676"/>
    <x v="321"/>
    <x v="3"/>
    <s v="Bangalore"/>
    <n v="18.79"/>
    <d v="1900-02-07T12:57:36"/>
    <n v="207.09"/>
    <n v="2"/>
    <n v="414.18"/>
    <n v="4.3"/>
    <x v="3"/>
    <x v="3"/>
  </r>
  <r>
    <s v="TRIP03677"/>
    <x v="102"/>
    <x v="3"/>
    <s v="Mumbai"/>
    <n v="18.27"/>
    <d v="1900-02-12T13:55:12"/>
    <n v="238.26"/>
    <n v="2"/>
    <n v="476.52"/>
    <n v="4.5999999999999996"/>
    <x v="1"/>
    <x v="0"/>
  </r>
  <r>
    <s v="TRIP03678"/>
    <x v="227"/>
    <x v="3"/>
    <s v="Delhi"/>
    <n v="24.82"/>
    <d v="1900-03-21T08:24:00"/>
    <n v="483.93"/>
    <n v="1"/>
    <n v="483.93"/>
    <n v="4.5"/>
    <x v="1"/>
    <x v="2"/>
  </r>
  <r>
    <s v="TRIP03679"/>
    <x v="208"/>
    <x v="3"/>
    <s v="Kolkata"/>
    <n v="21.27"/>
    <d v="1900-02-21T15:21:36"/>
    <n v="367.79"/>
    <n v="1.5"/>
    <n v="551.69000000000005"/>
    <n v="3.7"/>
    <x v="1"/>
    <x v="0"/>
  </r>
  <r>
    <s v="TRIP03680"/>
    <x v="295"/>
    <x v="1"/>
    <s v="Kolkata"/>
    <n v="13.89"/>
    <d v="1900-02-05T02:24:00"/>
    <n v="203.7"/>
    <n v="1.5"/>
    <n v="305.55"/>
    <n v="3.5"/>
    <x v="4"/>
    <x v="1"/>
  </r>
  <r>
    <s v="TRIP03681"/>
    <x v="46"/>
    <x v="1"/>
    <s v="Kolkata"/>
    <n v="12.71"/>
    <d v="1900-02-08T21:21:36"/>
    <n v="222.81"/>
    <n v="1.5"/>
    <n v="334.22"/>
    <n v="4.5999999999999996"/>
    <x v="0"/>
    <x v="1"/>
  </r>
  <r>
    <s v="TRIP03682"/>
    <x v="283"/>
    <x v="3"/>
    <s v="Mumbai"/>
    <n v="20.94"/>
    <d v="1900-02-28T18:00:00"/>
    <n v="319.14"/>
    <n v="1.5"/>
    <n v="478.71"/>
    <n v="5"/>
    <x v="0"/>
    <x v="1"/>
  </r>
  <r>
    <s v="TRIP03683"/>
    <x v="208"/>
    <x v="4"/>
    <s v="Delhi"/>
    <n v="25.11"/>
    <d v="1900-03-22T16:19:12"/>
    <n v="392.7"/>
    <n v="1.2"/>
    <n v="471.24"/>
    <n v="3.4"/>
    <x v="1"/>
    <x v="2"/>
  </r>
  <r>
    <s v="TRIP03684"/>
    <x v="247"/>
    <x v="4"/>
    <s v="Bangalore"/>
    <n v="28.8"/>
    <d v="1900-03-24T04:48:00"/>
    <n v="451.07"/>
    <n v="2"/>
    <n v="902.14"/>
    <n v="3.7"/>
    <x v="0"/>
    <x v="3"/>
  </r>
  <r>
    <s v="TRIP03685"/>
    <x v="63"/>
    <x v="1"/>
    <s v="Chennai"/>
    <n v="25.8"/>
    <d v="1900-04-01T17:31:12"/>
    <n v="457.8"/>
    <n v="1.5"/>
    <n v="686.7"/>
    <n v="4.9000000000000004"/>
    <x v="4"/>
    <x v="2"/>
  </r>
  <r>
    <s v="TRIP03686"/>
    <x v="17"/>
    <x v="1"/>
    <s v="Mumbai"/>
    <n v="13.24"/>
    <d v="1900-02-19T15:36:00"/>
    <n v="137.09"/>
    <n v="2"/>
    <n v="274.18"/>
    <n v="4.4000000000000004"/>
    <x v="3"/>
    <x v="3"/>
  </r>
  <r>
    <s v="TRIP03687"/>
    <x v="303"/>
    <x v="3"/>
    <s v="Mumbai"/>
    <n v="24.54"/>
    <d v="1900-03-15T06:28:48"/>
    <n v="327.88"/>
    <n v="2"/>
    <n v="655.76"/>
    <n v="3.7"/>
    <x v="3"/>
    <x v="2"/>
  </r>
  <r>
    <s v="TRIP03688"/>
    <x v="230"/>
    <x v="4"/>
    <s v="Bangalore"/>
    <n v="14.13"/>
    <d v="1900-02-07T17:31:12"/>
    <n v="146.93"/>
    <n v="1"/>
    <n v="146.93"/>
    <n v="4.5"/>
    <x v="4"/>
    <x v="2"/>
  </r>
  <r>
    <s v="TRIP03689"/>
    <x v="54"/>
    <x v="4"/>
    <s v="Kolkata"/>
    <n v="9.58"/>
    <d v="1900-01-21T07:26:24"/>
    <n v="143.99"/>
    <n v="2"/>
    <n v="287.98"/>
    <n v="4.9000000000000004"/>
    <x v="0"/>
    <x v="2"/>
  </r>
  <r>
    <s v="TRIP03690"/>
    <x v="57"/>
    <x v="0"/>
    <s v="Kolkata"/>
    <n v="22.26"/>
    <d v="1900-02-28T15:07:12"/>
    <n v="264.08"/>
    <n v="1.2"/>
    <n v="316.89999999999998"/>
    <n v="4.9000000000000004"/>
    <x v="1"/>
    <x v="3"/>
  </r>
  <r>
    <s v="TRIP03691"/>
    <x v="237"/>
    <x v="3"/>
    <s v="Delhi"/>
    <n v="22.07"/>
    <d v="1900-03-05T09:50:24"/>
    <n v="336.7"/>
    <n v="2"/>
    <n v="673.4"/>
    <n v="4.7"/>
    <x v="4"/>
    <x v="0"/>
  </r>
  <r>
    <s v="TRIP03692"/>
    <x v="187"/>
    <x v="1"/>
    <s v="Mumbai"/>
    <n v="27.93"/>
    <d v="1900-04-03T00:57:36"/>
    <n v="284.22000000000003"/>
    <n v="1.2"/>
    <n v="341.06"/>
    <n v="3.1"/>
    <x v="0"/>
    <x v="3"/>
  </r>
  <r>
    <s v="TRIP03693"/>
    <x v="50"/>
    <x v="3"/>
    <s v="Bangalore"/>
    <n v="29.84"/>
    <d v="1900-04-28T03:07:12"/>
    <n v="554.30999999999995"/>
    <n v="2"/>
    <n v="1108.6199999999999"/>
    <n v="4.5"/>
    <x v="3"/>
    <x v="2"/>
  </r>
  <r>
    <s v="TRIP03694"/>
    <x v="87"/>
    <x v="3"/>
    <s v="Mumbai"/>
    <n v="19.170000000000002"/>
    <d v="1900-03-05T21:50:24"/>
    <n v="219.05"/>
    <n v="2"/>
    <n v="438.1"/>
    <n v="3.9"/>
    <x v="0"/>
    <x v="0"/>
  </r>
  <r>
    <s v="TRIP03695"/>
    <x v="288"/>
    <x v="2"/>
    <s v="Kolkata"/>
    <n v="13.52"/>
    <d v="1900-02-19T01:55:12"/>
    <n v="177.37"/>
    <n v="1"/>
    <n v="177.37"/>
    <n v="3.3"/>
    <x v="0"/>
    <x v="3"/>
  </r>
  <r>
    <s v="TRIP03696"/>
    <x v="58"/>
    <x v="2"/>
    <s v="Mumbai"/>
    <n v="20.84"/>
    <d v="1900-03-04T18:00:00"/>
    <n v="350.81"/>
    <n v="2"/>
    <n v="701.62"/>
    <n v="3.3"/>
    <x v="4"/>
    <x v="3"/>
  </r>
  <r>
    <s v="TRIP03697"/>
    <x v="347"/>
    <x v="1"/>
    <s v="Chennai"/>
    <n v="26.58"/>
    <d v="1900-02-22T20:52:48"/>
    <n v="465.6"/>
    <n v="2"/>
    <n v="931.2"/>
    <n v="3.5"/>
    <x v="1"/>
    <x v="2"/>
  </r>
  <r>
    <s v="TRIP03698"/>
    <x v="188"/>
    <x v="1"/>
    <s v="Delhi"/>
    <n v="29.22"/>
    <d v="1900-03-15T04:33:36"/>
    <n v="359.69"/>
    <n v="2"/>
    <n v="719.38"/>
    <n v="3.8"/>
    <x v="0"/>
    <x v="3"/>
  </r>
  <r>
    <s v="TRIP03699"/>
    <x v="30"/>
    <x v="3"/>
    <s v="Mumbai"/>
    <n v="27.72"/>
    <d v="1900-03-26T11:45:36"/>
    <n v="289.7"/>
    <n v="1.5"/>
    <n v="434.55"/>
    <n v="3.6"/>
    <x v="3"/>
    <x v="1"/>
  </r>
  <r>
    <s v="TRIP03700"/>
    <x v="303"/>
    <x v="0"/>
    <s v="Delhi"/>
    <n v="5.69"/>
    <d v="1900-01-12T10:33:36"/>
    <n v="89.43"/>
    <n v="1"/>
    <n v="89.43"/>
    <n v="4.5"/>
    <x v="1"/>
    <x v="3"/>
  </r>
  <r>
    <s v="TRIP03701"/>
    <x v="309"/>
    <x v="2"/>
    <s v="Mumbai"/>
    <n v="24.39"/>
    <d v="1900-04-01T20:38:24"/>
    <n v="436.72"/>
    <n v="1.5"/>
    <n v="655.08000000000004"/>
    <n v="4.5"/>
    <x v="1"/>
    <x v="1"/>
  </r>
  <r>
    <s v="TRIP03702"/>
    <x v="40"/>
    <x v="3"/>
    <s v="Mumbai"/>
    <n v="24.27"/>
    <d v="1900-03-28T18:57:36"/>
    <n v="473.61"/>
    <n v="1"/>
    <n v="473.61"/>
    <n v="3.2"/>
    <x v="0"/>
    <x v="0"/>
  </r>
  <r>
    <s v="TRIP03703"/>
    <x v="172"/>
    <x v="0"/>
    <s v="Kolkata"/>
    <n v="17.84"/>
    <d v="1900-02-15T10:19:12"/>
    <n v="328.15"/>
    <n v="1"/>
    <n v="328.15"/>
    <n v="3.8"/>
    <x v="3"/>
    <x v="3"/>
  </r>
  <r>
    <s v="TRIP03704"/>
    <x v="3"/>
    <x v="3"/>
    <s v="Mumbai"/>
    <n v="29.92"/>
    <d v="1900-03-15T08:38:24"/>
    <n v="519.25"/>
    <n v="2"/>
    <n v="1038.5"/>
    <n v="4.7"/>
    <x v="2"/>
    <x v="2"/>
  </r>
  <r>
    <s v="TRIP03705"/>
    <x v="257"/>
    <x v="1"/>
    <s v="Delhi"/>
    <n v="5.66"/>
    <d v="1900-01-20T11:02:24"/>
    <n v="90.3"/>
    <n v="1"/>
    <n v="90.3"/>
    <n v="3.9"/>
    <x v="4"/>
    <x v="2"/>
  </r>
  <r>
    <s v="TRIP03706"/>
    <x v="90"/>
    <x v="0"/>
    <s v="Chennai"/>
    <n v="29.35"/>
    <d v="1900-04-13T16:33:36"/>
    <n v="463.89"/>
    <n v="1"/>
    <n v="463.89"/>
    <n v="3"/>
    <x v="2"/>
    <x v="0"/>
  </r>
  <r>
    <s v="TRIP03707"/>
    <x v="51"/>
    <x v="0"/>
    <s v="Bangalore"/>
    <n v="29.43"/>
    <d v="1900-04-26T11:45:36"/>
    <n v="434.56"/>
    <n v="1.2"/>
    <n v="521.47"/>
    <n v="3.3"/>
    <x v="0"/>
    <x v="0"/>
  </r>
  <r>
    <s v="TRIP03708"/>
    <x v="168"/>
    <x v="3"/>
    <s v="Bangalore"/>
    <n v="7.51"/>
    <d v="1900-01-28T05:16:48"/>
    <n v="76.13"/>
    <n v="1.5"/>
    <n v="114.2"/>
    <n v="3.7"/>
    <x v="2"/>
    <x v="1"/>
  </r>
  <r>
    <s v="TRIP03709"/>
    <x v="311"/>
    <x v="4"/>
    <s v="Mumbai"/>
    <n v="9.31"/>
    <d v="1900-01-19T06:14:24"/>
    <n v="173.12"/>
    <n v="2"/>
    <n v="346.24"/>
    <n v="4.5"/>
    <x v="3"/>
    <x v="2"/>
  </r>
  <r>
    <s v="TRIP03710"/>
    <x v="65"/>
    <x v="3"/>
    <s v="Mumbai"/>
    <n v="20.96"/>
    <d v="1900-03-22T15:07:12"/>
    <n v="316.47000000000003"/>
    <n v="2"/>
    <n v="632.94000000000005"/>
    <n v="3.3"/>
    <x v="4"/>
    <x v="0"/>
  </r>
  <r>
    <s v="TRIP03711"/>
    <x v="266"/>
    <x v="4"/>
    <s v="Bangalore"/>
    <n v="15.04"/>
    <d v="1900-02-23T12:43:12"/>
    <n v="247.34"/>
    <n v="2"/>
    <n v="494.68"/>
    <n v="4.2"/>
    <x v="2"/>
    <x v="1"/>
  </r>
  <r>
    <s v="TRIP03712"/>
    <x v="127"/>
    <x v="2"/>
    <s v="Kolkata"/>
    <n v="6.54"/>
    <d v="1900-01-20T13:55:12"/>
    <n v="78.459999999999994"/>
    <n v="2"/>
    <n v="156.91999999999999"/>
    <n v="3.6"/>
    <x v="0"/>
    <x v="3"/>
  </r>
  <r>
    <s v="TRIP03713"/>
    <x v="350"/>
    <x v="2"/>
    <s v="Bangalore"/>
    <n v="29.92"/>
    <d v="1900-03-01T16:04:48"/>
    <n v="326.5"/>
    <n v="1"/>
    <n v="326.5"/>
    <n v="3.4"/>
    <x v="1"/>
    <x v="0"/>
  </r>
  <r>
    <s v="TRIP03714"/>
    <x v="323"/>
    <x v="1"/>
    <s v="Kolkata"/>
    <n v="24.83"/>
    <d v="1900-03-31T13:55:12"/>
    <n v="431.29"/>
    <n v="2"/>
    <n v="862.58"/>
    <n v="4.8"/>
    <x v="3"/>
    <x v="3"/>
  </r>
  <r>
    <s v="TRIP03715"/>
    <x v="194"/>
    <x v="4"/>
    <s v="Kolkata"/>
    <n v="3.56"/>
    <d v="1900-01-06T12:43:12"/>
    <n v="65.94"/>
    <n v="1"/>
    <n v="65.94"/>
    <n v="4.8"/>
    <x v="1"/>
    <x v="3"/>
  </r>
  <r>
    <s v="TRIP03716"/>
    <x v="227"/>
    <x v="3"/>
    <s v="Mumbai"/>
    <n v="10.85"/>
    <d v="1900-01-28T22:33:36"/>
    <n v="212.46"/>
    <n v="1"/>
    <n v="212.46"/>
    <n v="4.5999999999999996"/>
    <x v="0"/>
    <x v="1"/>
  </r>
  <r>
    <s v="TRIP03717"/>
    <x v="177"/>
    <x v="0"/>
    <s v="Chennai"/>
    <n v="9.98"/>
    <d v="1900-01-19T17:45:36"/>
    <n v="173.91"/>
    <n v="2"/>
    <n v="347.82"/>
    <n v="3.9"/>
    <x v="1"/>
    <x v="3"/>
  </r>
  <r>
    <s v="TRIP03718"/>
    <x v="188"/>
    <x v="4"/>
    <s v="Mumbai"/>
    <n v="15.83"/>
    <d v="1900-02-11T20:09:36"/>
    <n v="191.68"/>
    <n v="1"/>
    <n v="191.68"/>
    <n v="3.6"/>
    <x v="0"/>
    <x v="2"/>
  </r>
  <r>
    <s v="TRIP03719"/>
    <x v="343"/>
    <x v="4"/>
    <s v="Delhi"/>
    <n v="24.17"/>
    <d v="1900-03-15T11:31:12"/>
    <n v="442.8"/>
    <n v="1.2"/>
    <n v="531.36"/>
    <n v="4.0999999999999996"/>
    <x v="3"/>
    <x v="1"/>
  </r>
  <r>
    <s v="TRIP03720"/>
    <x v="209"/>
    <x v="4"/>
    <s v="Bangalore"/>
    <n v="2.4900000000000002"/>
    <d v="1900-01-08T17:02:24"/>
    <n v="42.4"/>
    <n v="2"/>
    <n v="84.8"/>
    <n v="3.8"/>
    <x v="0"/>
    <x v="1"/>
  </r>
  <r>
    <s v="TRIP03721"/>
    <x v="42"/>
    <x v="2"/>
    <s v="Mumbai"/>
    <n v="27.18"/>
    <d v="1900-04-11T19:55:12"/>
    <n v="491.62"/>
    <n v="2"/>
    <n v="983.24"/>
    <n v="5"/>
    <x v="3"/>
    <x v="2"/>
  </r>
  <r>
    <s v="TRIP03722"/>
    <x v="57"/>
    <x v="2"/>
    <s v="Mumbai"/>
    <n v="1.82"/>
    <d v="1900-01-02T23:02:24"/>
    <n v="30.02"/>
    <n v="2"/>
    <n v="60.04"/>
    <n v="3.7"/>
    <x v="3"/>
    <x v="3"/>
  </r>
  <r>
    <s v="TRIP03723"/>
    <x v="353"/>
    <x v="1"/>
    <s v="Mumbai"/>
    <n v="7.7"/>
    <d v="1900-01-24T09:36:00"/>
    <n v="95.7"/>
    <n v="1"/>
    <n v="95.7"/>
    <n v="4.5999999999999996"/>
    <x v="3"/>
    <x v="0"/>
  </r>
  <r>
    <s v="TRIP03724"/>
    <x v="110"/>
    <x v="2"/>
    <s v="Bangalore"/>
    <n v="6.15"/>
    <d v="1900-01-22T01:55:12"/>
    <n v="93.84"/>
    <n v="1.2"/>
    <n v="112.61"/>
    <n v="3.7"/>
    <x v="1"/>
    <x v="1"/>
  </r>
  <r>
    <s v="TRIP03725"/>
    <x v="84"/>
    <x v="3"/>
    <s v="Chennai"/>
    <n v="6"/>
    <d v="1900-01-11T05:16:48"/>
    <n v="65.63"/>
    <n v="1.5"/>
    <n v="98.44"/>
    <n v="4.0999999999999996"/>
    <x v="4"/>
    <x v="0"/>
  </r>
  <r>
    <s v="TRIP03726"/>
    <x v="351"/>
    <x v="2"/>
    <s v="Mumbai"/>
    <n v="27.01"/>
    <d v="1900-04-12T06:14:24"/>
    <n v="523.28"/>
    <n v="1"/>
    <n v="523.28"/>
    <n v="4.4000000000000004"/>
    <x v="1"/>
    <x v="1"/>
  </r>
  <r>
    <s v="TRIP03727"/>
    <x v="61"/>
    <x v="0"/>
    <s v="Mumbai"/>
    <n v="16.37"/>
    <d v="1900-02-05T00:28:48"/>
    <n v="186.14"/>
    <n v="2"/>
    <n v="372.28"/>
    <n v="4"/>
    <x v="1"/>
    <x v="0"/>
  </r>
  <r>
    <s v="TRIP03728"/>
    <x v="105"/>
    <x v="1"/>
    <s v="Mumbai"/>
    <n v="25.2"/>
    <d v="1900-03-04T08:09:36"/>
    <n v="369.45"/>
    <n v="1.5"/>
    <n v="554.16999999999996"/>
    <n v="4.9000000000000004"/>
    <x v="3"/>
    <x v="2"/>
  </r>
  <r>
    <s v="TRIP03729"/>
    <x v="3"/>
    <x v="0"/>
    <s v="Delhi"/>
    <n v="10.5"/>
    <d v="1900-01-29T07:55:12"/>
    <n v="152.79"/>
    <n v="1.2"/>
    <n v="183.35"/>
    <n v="3.7"/>
    <x v="0"/>
    <x v="3"/>
  </r>
  <r>
    <s v="TRIP03730"/>
    <x v="3"/>
    <x v="3"/>
    <s v="Bangalore"/>
    <n v="1.79"/>
    <d v="1900-01-05T02:52:48"/>
    <n v="33.74"/>
    <n v="2"/>
    <n v="67.48"/>
    <n v="4.9000000000000004"/>
    <x v="2"/>
    <x v="2"/>
  </r>
  <r>
    <s v="TRIP03731"/>
    <x v="307"/>
    <x v="4"/>
    <s v="Bangalore"/>
    <n v="5.73"/>
    <d v="1900-01-12T23:45:36"/>
    <n v="70.78"/>
    <n v="2"/>
    <n v="141.56"/>
    <n v="3.4"/>
    <x v="3"/>
    <x v="2"/>
  </r>
  <r>
    <s v="TRIP03732"/>
    <x v="23"/>
    <x v="3"/>
    <s v="Chennai"/>
    <n v="16.13"/>
    <d v="1900-02-06T11:02:24"/>
    <n v="204.22"/>
    <n v="1"/>
    <n v="204.22"/>
    <n v="4.5999999999999996"/>
    <x v="2"/>
    <x v="0"/>
  </r>
  <r>
    <s v="TRIP03733"/>
    <x v="69"/>
    <x v="1"/>
    <s v="Delhi"/>
    <n v="13.76"/>
    <d v="1900-02-06T07:40:48"/>
    <n v="215.31"/>
    <n v="2"/>
    <n v="430.62"/>
    <n v="4.0999999999999996"/>
    <x v="1"/>
    <x v="0"/>
  </r>
  <r>
    <s v="TRIP03734"/>
    <x v="292"/>
    <x v="0"/>
    <s v="Bangalore"/>
    <n v="1.71"/>
    <d v="1900-01-03T06:43:12"/>
    <n v="18.670000000000002"/>
    <n v="2"/>
    <n v="37.340000000000003"/>
    <n v="3.7"/>
    <x v="4"/>
    <x v="0"/>
  </r>
  <r>
    <s v="TRIP03735"/>
    <x v="125"/>
    <x v="2"/>
    <s v="Delhi"/>
    <n v="21.77"/>
    <d v="1900-03-10T03:21:36"/>
    <n v="403.29"/>
    <n v="1"/>
    <n v="403.29"/>
    <n v="4.4000000000000004"/>
    <x v="0"/>
    <x v="3"/>
  </r>
  <r>
    <s v="TRIP03736"/>
    <x v="201"/>
    <x v="2"/>
    <s v="Mumbai"/>
    <n v="12.58"/>
    <d v="1900-02-03T06:00:00"/>
    <n v="176.79"/>
    <n v="1.5"/>
    <n v="265.18"/>
    <n v="4.9000000000000004"/>
    <x v="1"/>
    <x v="1"/>
  </r>
  <r>
    <s v="TRIP03737"/>
    <x v="231"/>
    <x v="1"/>
    <s v="Delhi"/>
    <n v="5.0199999999999996"/>
    <d v="1900-01-12T11:02:24"/>
    <n v="66.23"/>
    <n v="1"/>
    <n v="66.23"/>
    <n v="4.5999999999999996"/>
    <x v="1"/>
    <x v="3"/>
  </r>
  <r>
    <s v="TRIP03738"/>
    <x v="220"/>
    <x v="1"/>
    <s v="Bangalore"/>
    <n v="9.48"/>
    <d v="1900-02-03T09:21:36"/>
    <n v="126.98"/>
    <n v="1.5"/>
    <n v="190.47"/>
    <n v="4.3"/>
    <x v="1"/>
    <x v="0"/>
  </r>
  <r>
    <s v="TRIP03739"/>
    <x v="84"/>
    <x v="2"/>
    <s v="Kolkata"/>
    <n v="5.0199999999999996"/>
    <d v="1900-01-10T23:02:24"/>
    <n v="58.01"/>
    <n v="1"/>
    <n v="58.01"/>
    <n v="3.4"/>
    <x v="0"/>
    <x v="1"/>
  </r>
  <r>
    <s v="TRIP03740"/>
    <x v="219"/>
    <x v="2"/>
    <s v="Bangalore"/>
    <n v="20.02"/>
    <d v="1900-03-12T05:16:48"/>
    <n v="286.85000000000002"/>
    <n v="1.2"/>
    <n v="344.22"/>
    <n v="4.5999999999999996"/>
    <x v="3"/>
    <x v="0"/>
  </r>
  <r>
    <s v="TRIP03741"/>
    <x v="190"/>
    <x v="3"/>
    <s v="Mumbai"/>
    <n v="17.52"/>
    <d v="1900-02-10T08:24:00"/>
    <n v="235.33"/>
    <n v="1.5"/>
    <n v="353"/>
    <n v="4.8"/>
    <x v="1"/>
    <x v="2"/>
  </r>
  <r>
    <s v="TRIP03742"/>
    <x v="89"/>
    <x v="1"/>
    <s v="Mumbai"/>
    <n v="29.98"/>
    <d v="1900-04-08T02:09:36"/>
    <n v="411.45"/>
    <n v="2"/>
    <n v="822.9"/>
    <n v="3.8"/>
    <x v="3"/>
    <x v="0"/>
  </r>
  <r>
    <s v="TRIP03743"/>
    <x v="69"/>
    <x v="2"/>
    <s v="Chennai"/>
    <n v="26.27"/>
    <d v="1900-03-17T08:38:24"/>
    <n v="355.54"/>
    <n v="1.5"/>
    <n v="533.30999999999995"/>
    <n v="4.9000000000000004"/>
    <x v="0"/>
    <x v="1"/>
  </r>
  <r>
    <s v="TRIP03744"/>
    <x v="66"/>
    <x v="1"/>
    <s v="Kolkata"/>
    <n v="4.46"/>
    <d v="1900-01-10T16:33:36"/>
    <n v="63.97"/>
    <n v="1.2"/>
    <n v="76.760000000000005"/>
    <n v="4.2"/>
    <x v="3"/>
    <x v="3"/>
  </r>
  <r>
    <s v="TRIP03745"/>
    <x v="140"/>
    <x v="2"/>
    <s v="Chennai"/>
    <n v="1.18"/>
    <d v="1900-01-02T20:24:00"/>
    <n v="19.05"/>
    <n v="1"/>
    <n v="19.05"/>
    <n v="3.4"/>
    <x v="4"/>
    <x v="1"/>
  </r>
  <r>
    <s v="TRIP03746"/>
    <x v="247"/>
    <x v="0"/>
    <s v="Kolkata"/>
    <n v="1.74"/>
    <d v="1900-01-03T05:45:36"/>
    <n v="29.44"/>
    <n v="1.5"/>
    <n v="44.16"/>
    <n v="4.5"/>
    <x v="4"/>
    <x v="2"/>
  </r>
  <r>
    <s v="TRIP03747"/>
    <x v="216"/>
    <x v="2"/>
    <s v="Delhi"/>
    <n v="18.91"/>
    <d v="1900-02-25T10:04:48"/>
    <n v="333.06"/>
    <n v="1"/>
    <n v="333.06"/>
    <n v="4.0999999999999996"/>
    <x v="4"/>
    <x v="3"/>
  </r>
  <r>
    <s v="TRIP03748"/>
    <x v="304"/>
    <x v="1"/>
    <s v="Mumbai"/>
    <n v="2.65"/>
    <d v="1900-01-04T12:14:24"/>
    <n v="52.66"/>
    <n v="1.5"/>
    <n v="78.989999999999995"/>
    <n v="3.1"/>
    <x v="2"/>
    <x v="3"/>
  </r>
  <r>
    <s v="TRIP03749"/>
    <x v="207"/>
    <x v="3"/>
    <s v="Chennai"/>
    <n v="3.8"/>
    <d v="1900-01-07T03:07:12"/>
    <n v="44.09"/>
    <n v="1"/>
    <n v="44.09"/>
    <n v="3.4"/>
    <x v="1"/>
    <x v="1"/>
  </r>
  <r>
    <s v="TRIP03750"/>
    <x v="306"/>
    <x v="4"/>
    <s v="Bangalore"/>
    <n v="13.94"/>
    <d v="1900-02-11T12:57:36"/>
    <n v="139.44999999999999"/>
    <n v="1.5"/>
    <n v="209.18"/>
    <n v="5"/>
    <x v="2"/>
    <x v="1"/>
  </r>
  <r>
    <s v="TRIP03751"/>
    <x v="202"/>
    <x v="1"/>
    <s v="Chennai"/>
    <n v="2.5499999999999998"/>
    <d v="1900-01-04T18:43:12"/>
    <n v="31.41"/>
    <n v="1.5"/>
    <n v="47.12"/>
    <n v="4.5"/>
    <x v="1"/>
    <x v="3"/>
  </r>
  <r>
    <s v="TRIP03752"/>
    <x v="238"/>
    <x v="1"/>
    <s v="Bangalore"/>
    <n v="4.8499999999999996"/>
    <d v="1900-01-15T20:38:24"/>
    <n v="89.97"/>
    <n v="2"/>
    <n v="179.94"/>
    <n v="4.9000000000000004"/>
    <x v="3"/>
    <x v="0"/>
  </r>
  <r>
    <s v="TRIP03753"/>
    <x v="156"/>
    <x v="0"/>
    <s v="Bangalore"/>
    <n v="13.78"/>
    <d v="1900-02-13T18:00:00"/>
    <n v="272.64"/>
    <n v="2"/>
    <n v="545.28"/>
    <n v="3.7"/>
    <x v="2"/>
    <x v="3"/>
  </r>
  <r>
    <s v="TRIP03754"/>
    <x v="122"/>
    <x v="3"/>
    <s v="Delhi"/>
    <n v="18.86"/>
    <d v="1900-03-11T07:40:48"/>
    <n v="345.34"/>
    <n v="2"/>
    <n v="690.68"/>
    <n v="3.7"/>
    <x v="2"/>
    <x v="0"/>
  </r>
  <r>
    <s v="TRIP03755"/>
    <x v="92"/>
    <x v="1"/>
    <s v="Bangalore"/>
    <n v="22.01"/>
    <d v="1900-02-15T15:50:24"/>
    <n v="350.2"/>
    <n v="1"/>
    <n v="350.2"/>
    <n v="3.4"/>
    <x v="1"/>
    <x v="1"/>
  </r>
  <r>
    <s v="TRIP03756"/>
    <x v="269"/>
    <x v="2"/>
    <s v="Mumbai"/>
    <n v="25.54"/>
    <d v="1900-03-14T07:26:24"/>
    <n v="453.37"/>
    <n v="1.2"/>
    <n v="544.04"/>
    <n v="3.5"/>
    <x v="2"/>
    <x v="0"/>
  </r>
  <r>
    <s v="TRIP03757"/>
    <x v="276"/>
    <x v="0"/>
    <s v="Delhi"/>
    <n v="3.16"/>
    <d v="1900-01-07T12:28:48"/>
    <n v="38.74"/>
    <n v="2"/>
    <n v="77.48"/>
    <n v="3.1"/>
    <x v="2"/>
    <x v="3"/>
  </r>
  <r>
    <s v="TRIP03758"/>
    <x v="289"/>
    <x v="1"/>
    <s v="Chennai"/>
    <n v="15.94"/>
    <d v="1900-02-02T15:21:36"/>
    <n v="276.62"/>
    <n v="2"/>
    <n v="553.24"/>
    <n v="4.4000000000000004"/>
    <x v="4"/>
    <x v="1"/>
  </r>
  <r>
    <s v="TRIP03759"/>
    <x v="112"/>
    <x v="2"/>
    <s v="Bangalore"/>
    <n v="17.59"/>
    <d v="1900-03-01T16:33:36"/>
    <n v="308.18"/>
    <n v="2"/>
    <n v="616.36"/>
    <n v="4.8"/>
    <x v="0"/>
    <x v="1"/>
  </r>
  <r>
    <s v="TRIP03760"/>
    <x v="296"/>
    <x v="2"/>
    <s v="Chennai"/>
    <n v="3.06"/>
    <d v="1900-01-07T01:55:12"/>
    <n v="45.09"/>
    <n v="1.5"/>
    <n v="67.64"/>
    <n v="4.0999999999999996"/>
    <x v="4"/>
    <x v="3"/>
  </r>
  <r>
    <s v="TRIP03761"/>
    <x v="24"/>
    <x v="1"/>
    <s v="Mumbai"/>
    <n v="22.06"/>
    <d v="1900-03-14T17:02:24"/>
    <n v="265.70999999999998"/>
    <n v="1.5"/>
    <n v="398.56"/>
    <n v="4.9000000000000004"/>
    <x v="4"/>
    <x v="0"/>
  </r>
  <r>
    <s v="TRIP03762"/>
    <x v="327"/>
    <x v="2"/>
    <s v="Bangalore"/>
    <n v="15.68"/>
    <d v="1900-02-07T05:16:48"/>
    <n v="262.31"/>
    <n v="1.5"/>
    <n v="393.46"/>
    <n v="3.8"/>
    <x v="1"/>
    <x v="0"/>
  </r>
  <r>
    <s v="TRIP03763"/>
    <x v="195"/>
    <x v="4"/>
    <s v="Mumbai"/>
    <n v="5.7"/>
    <d v="1900-01-11T13:55:12"/>
    <n v="72.349999999999994"/>
    <n v="1"/>
    <n v="72.349999999999994"/>
    <n v="3"/>
    <x v="1"/>
    <x v="2"/>
  </r>
  <r>
    <s v="TRIP03764"/>
    <x v="228"/>
    <x v="3"/>
    <s v="Delhi"/>
    <n v="22.63"/>
    <d v="1900-02-21T01:55:12"/>
    <n v="363.4"/>
    <n v="2"/>
    <n v="726.8"/>
    <n v="3.8"/>
    <x v="1"/>
    <x v="3"/>
  </r>
  <r>
    <s v="TRIP03765"/>
    <x v="339"/>
    <x v="1"/>
    <s v="Bangalore"/>
    <n v="5.73"/>
    <d v="1900-01-15T16:48:00"/>
    <n v="103.18"/>
    <n v="1.2"/>
    <n v="123.82"/>
    <n v="4.5999999999999996"/>
    <x v="0"/>
    <x v="0"/>
  </r>
  <r>
    <s v="TRIP03766"/>
    <x v="356"/>
    <x v="2"/>
    <s v="Bangalore"/>
    <n v="18.489999999999998"/>
    <d v="1900-02-21T15:21:36"/>
    <n v="220.34"/>
    <n v="1.2"/>
    <n v="264.41000000000003"/>
    <n v="4.4000000000000004"/>
    <x v="3"/>
    <x v="1"/>
  </r>
  <r>
    <s v="TRIP03767"/>
    <x v="304"/>
    <x v="2"/>
    <s v="Delhi"/>
    <n v="22.14"/>
    <d v="1900-03-12T10:33:36"/>
    <n v="442.37"/>
    <n v="1.5"/>
    <n v="663.56"/>
    <n v="4"/>
    <x v="4"/>
    <x v="3"/>
  </r>
  <r>
    <s v="TRIP03768"/>
    <x v="246"/>
    <x v="2"/>
    <s v="Kolkata"/>
    <n v="11.44"/>
    <d v="1900-01-30T03:36:00"/>
    <n v="145.94999999999999"/>
    <n v="1.2"/>
    <n v="175.14"/>
    <n v="3.8"/>
    <x v="1"/>
    <x v="0"/>
  </r>
  <r>
    <s v="TRIP03769"/>
    <x v="267"/>
    <x v="3"/>
    <s v="Chennai"/>
    <n v="10.18"/>
    <d v="1900-01-25T13:40:48"/>
    <n v="112.34"/>
    <n v="1.2"/>
    <n v="134.81"/>
    <n v="4"/>
    <x v="1"/>
    <x v="1"/>
  </r>
  <r>
    <s v="TRIP03770"/>
    <x v="192"/>
    <x v="1"/>
    <s v="Chennai"/>
    <n v="17.61"/>
    <d v="1900-03-06T22:19:12"/>
    <n v="247.97"/>
    <n v="2"/>
    <n v="495.94"/>
    <n v="4.2"/>
    <x v="4"/>
    <x v="3"/>
  </r>
  <r>
    <s v="TRIP03771"/>
    <x v="99"/>
    <x v="1"/>
    <s v="Delhi"/>
    <n v="13.5"/>
    <d v="1900-02-05T14:24:00"/>
    <n v="268.75"/>
    <n v="1"/>
    <n v="268.75"/>
    <n v="4.0999999999999996"/>
    <x v="0"/>
    <x v="0"/>
  </r>
  <r>
    <s v="TRIP03772"/>
    <x v="323"/>
    <x v="2"/>
    <s v="Kolkata"/>
    <n v="14.01"/>
    <d v="1900-02-20T04:48:00"/>
    <n v="261.91000000000003"/>
    <n v="2"/>
    <n v="523.82000000000005"/>
    <n v="4.5999999999999996"/>
    <x v="0"/>
    <x v="3"/>
  </r>
  <r>
    <s v="TRIP03773"/>
    <x v="363"/>
    <x v="3"/>
    <s v="Delhi"/>
    <n v="1.1000000000000001"/>
    <d v="1900-01-02T00:57:36"/>
    <n v="17.61"/>
    <n v="1"/>
    <n v="17.61"/>
    <n v="4.2"/>
    <x v="0"/>
    <x v="3"/>
  </r>
  <r>
    <s v="TRIP03774"/>
    <x v="151"/>
    <x v="3"/>
    <s v="Kolkata"/>
    <n v="4.62"/>
    <d v="1900-01-09T19:40:48"/>
    <n v="85.57"/>
    <n v="1.5"/>
    <n v="128.35"/>
    <n v="3.4"/>
    <x v="2"/>
    <x v="2"/>
  </r>
  <r>
    <s v="TRIP03775"/>
    <x v="183"/>
    <x v="2"/>
    <s v="Bangalore"/>
    <n v="20.260000000000002"/>
    <d v="1900-03-04T17:45:36"/>
    <n v="243.71"/>
    <n v="1"/>
    <n v="243.71"/>
    <n v="3"/>
    <x v="3"/>
    <x v="3"/>
  </r>
  <r>
    <s v="TRIP03776"/>
    <x v="30"/>
    <x v="1"/>
    <s v="Delhi"/>
    <n v="16.579999999999998"/>
    <d v="1900-02-01T18:43:12"/>
    <n v="323.89999999999998"/>
    <n v="2"/>
    <n v="647.79999999999995"/>
    <n v="3.3"/>
    <x v="4"/>
    <x v="3"/>
  </r>
  <r>
    <s v="TRIP03777"/>
    <x v="78"/>
    <x v="2"/>
    <s v="Bangalore"/>
    <n v="18.88"/>
    <d v="1900-03-12T14:52:48"/>
    <n v="206.93"/>
    <n v="1.2"/>
    <n v="248.32"/>
    <n v="3.1"/>
    <x v="4"/>
    <x v="0"/>
  </r>
  <r>
    <s v="TRIP03778"/>
    <x v="161"/>
    <x v="1"/>
    <s v="Chennai"/>
    <n v="25.23"/>
    <d v="1900-03-09T16:04:48"/>
    <n v="268.36"/>
    <n v="2"/>
    <n v="536.72"/>
    <n v="3.3"/>
    <x v="4"/>
    <x v="2"/>
  </r>
  <r>
    <s v="TRIP03779"/>
    <x v="315"/>
    <x v="4"/>
    <s v="Chennai"/>
    <n v="28.42"/>
    <d v="1900-03-18T01:55:12"/>
    <n v="563.53"/>
    <n v="1.5"/>
    <n v="845.3"/>
    <n v="4.4000000000000004"/>
    <x v="2"/>
    <x v="0"/>
  </r>
  <r>
    <s v="TRIP03780"/>
    <x v="231"/>
    <x v="3"/>
    <s v="Delhi"/>
    <n v="8.7200000000000006"/>
    <d v="1900-01-18T16:48:00"/>
    <n v="137.56"/>
    <n v="1.2"/>
    <n v="165.07"/>
    <n v="3.7"/>
    <x v="1"/>
    <x v="3"/>
  </r>
  <r>
    <s v="TRIP03781"/>
    <x v="22"/>
    <x v="1"/>
    <s v="Bangalore"/>
    <n v="16.66"/>
    <d v="1900-02-14T09:36:00"/>
    <n v="196.89"/>
    <n v="2"/>
    <n v="393.78"/>
    <n v="3.9"/>
    <x v="2"/>
    <x v="2"/>
  </r>
  <r>
    <s v="TRIP03782"/>
    <x v="23"/>
    <x v="0"/>
    <s v="Mumbai"/>
    <n v="18.399999999999999"/>
    <d v="1900-02-27T06:28:48"/>
    <n v="278.18"/>
    <n v="2"/>
    <n v="556.36"/>
    <n v="3.9"/>
    <x v="1"/>
    <x v="0"/>
  </r>
  <r>
    <s v="TRIP03783"/>
    <x v="250"/>
    <x v="1"/>
    <s v="Mumbai"/>
    <n v="4.07"/>
    <d v="1900-01-07T08:09:36"/>
    <n v="74.260000000000005"/>
    <n v="1.5"/>
    <n v="111.39"/>
    <n v="4.3"/>
    <x v="4"/>
    <x v="1"/>
  </r>
  <r>
    <s v="TRIP03784"/>
    <x v="328"/>
    <x v="3"/>
    <s v="Delhi"/>
    <n v="9.06"/>
    <d v="1900-01-26T01:26:24"/>
    <n v="130.16"/>
    <n v="1.5"/>
    <n v="195.24"/>
    <n v="3.7"/>
    <x v="0"/>
    <x v="1"/>
  </r>
  <r>
    <s v="TRIP03785"/>
    <x v="199"/>
    <x v="0"/>
    <s v="Kolkata"/>
    <n v="4.67"/>
    <d v="1900-01-08T20:09:36"/>
    <n v="82.55"/>
    <n v="2"/>
    <n v="165.1"/>
    <n v="4.5999999999999996"/>
    <x v="0"/>
    <x v="1"/>
  </r>
  <r>
    <s v="TRIP03786"/>
    <x v="151"/>
    <x v="4"/>
    <s v="Mumbai"/>
    <n v="6.06"/>
    <d v="1900-01-13T23:45:36"/>
    <n v="95.46"/>
    <n v="2"/>
    <n v="190.92"/>
    <n v="4"/>
    <x v="1"/>
    <x v="3"/>
  </r>
  <r>
    <s v="TRIP03787"/>
    <x v="86"/>
    <x v="0"/>
    <s v="Mumbai"/>
    <n v="15.11"/>
    <d v="1900-02-16T04:19:12"/>
    <n v="189.03"/>
    <n v="1"/>
    <n v="189.03"/>
    <n v="3.8"/>
    <x v="1"/>
    <x v="2"/>
  </r>
  <r>
    <s v="TRIP03788"/>
    <x v="281"/>
    <x v="1"/>
    <s v="Bangalore"/>
    <n v="3.38"/>
    <d v="1900-01-09T07:40:48"/>
    <n v="62.18"/>
    <n v="2"/>
    <n v="124.36"/>
    <n v="4.4000000000000004"/>
    <x v="0"/>
    <x v="1"/>
  </r>
  <r>
    <s v="TRIP03789"/>
    <x v="138"/>
    <x v="0"/>
    <s v="Bangalore"/>
    <n v="3.33"/>
    <d v="1900-01-11T07:26:24"/>
    <n v="35.99"/>
    <n v="1"/>
    <n v="35.99"/>
    <n v="4.9000000000000004"/>
    <x v="1"/>
    <x v="3"/>
  </r>
  <r>
    <s v="TRIP03790"/>
    <x v="285"/>
    <x v="3"/>
    <s v="Chennai"/>
    <n v="10.53"/>
    <d v="1900-01-21T23:45:36"/>
    <n v="166.97"/>
    <n v="1"/>
    <n v="166.97"/>
    <n v="3.8"/>
    <x v="3"/>
    <x v="2"/>
  </r>
  <r>
    <s v="TRIP03791"/>
    <x v="253"/>
    <x v="3"/>
    <s v="Delhi"/>
    <n v="10.02"/>
    <d v="1900-01-26T10:19:12"/>
    <n v="132.31"/>
    <n v="1"/>
    <n v="132.31"/>
    <n v="4.4000000000000004"/>
    <x v="0"/>
    <x v="3"/>
  </r>
  <r>
    <s v="TRIP03792"/>
    <x v="147"/>
    <x v="3"/>
    <s v="Chennai"/>
    <n v="20.59"/>
    <d v="1900-02-21T08:38:24"/>
    <n v="278.14"/>
    <n v="1.5"/>
    <n v="417.21"/>
    <n v="3.7"/>
    <x v="2"/>
    <x v="0"/>
  </r>
  <r>
    <s v="TRIP03793"/>
    <x v="228"/>
    <x v="0"/>
    <s v="Bangalore"/>
    <n v="15.27"/>
    <d v="1900-02-06T08:24:00"/>
    <n v="161.27000000000001"/>
    <n v="1.5"/>
    <n v="241.91"/>
    <n v="4.8"/>
    <x v="1"/>
    <x v="3"/>
  </r>
  <r>
    <s v="TRIP03794"/>
    <x v="273"/>
    <x v="2"/>
    <s v="Delhi"/>
    <n v="13.36"/>
    <d v="1900-02-16T19:55:12"/>
    <n v="155.88"/>
    <n v="1.5"/>
    <n v="233.82"/>
    <n v="4"/>
    <x v="2"/>
    <x v="2"/>
  </r>
  <r>
    <s v="TRIP03795"/>
    <x v="1"/>
    <x v="2"/>
    <s v="Kolkata"/>
    <n v="18.079999999999998"/>
    <d v="1900-02-28T22:48:00"/>
    <n v="344.43"/>
    <n v="1.5"/>
    <n v="516.64"/>
    <n v="3.2"/>
    <x v="4"/>
    <x v="1"/>
  </r>
  <r>
    <s v="TRIP03796"/>
    <x v="134"/>
    <x v="3"/>
    <s v="Bangalore"/>
    <n v="17.600000000000001"/>
    <d v="1900-02-10T07:26:24"/>
    <n v="297.27999999999997"/>
    <n v="1.2"/>
    <n v="356.74"/>
    <n v="4.2"/>
    <x v="4"/>
    <x v="2"/>
  </r>
  <r>
    <s v="TRIP03797"/>
    <x v="329"/>
    <x v="1"/>
    <s v="Chennai"/>
    <n v="19.78"/>
    <d v="1900-03-15T02:38:24"/>
    <n v="286.85000000000002"/>
    <n v="1.5"/>
    <n v="430.28"/>
    <n v="3.2"/>
    <x v="4"/>
    <x v="1"/>
  </r>
  <r>
    <s v="TRIP03798"/>
    <x v="184"/>
    <x v="2"/>
    <s v="Chennai"/>
    <n v="5.53"/>
    <d v="1900-01-15T20:38:24"/>
    <n v="88.28"/>
    <n v="1.5"/>
    <n v="132.41999999999999"/>
    <n v="4.5999999999999996"/>
    <x v="4"/>
    <x v="3"/>
  </r>
  <r>
    <s v="TRIP03799"/>
    <x v="338"/>
    <x v="3"/>
    <s v="Kolkata"/>
    <n v="6.89"/>
    <d v="1900-01-24T15:50:24"/>
    <n v="92.5"/>
    <n v="2"/>
    <n v="185"/>
    <n v="3.1"/>
    <x v="2"/>
    <x v="1"/>
  </r>
  <r>
    <s v="TRIP03800"/>
    <x v="169"/>
    <x v="4"/>
    <s v="Mumbai"/>
    <n v="15.1"/>
    <d v="1900-02-16T05:31:12"/>
    <n v="188.4"/>
    <n v="2"/>
    <n v="376.8"/>
    <n v="3.7"/>
    <x v="2"/>
    <x v="0"/>
  </r>
  <r>
    <s v="TRIP03801"/>
    <x v="304"/>
    <x v="3"/>
    <s v="Kolkata"/>
    <n v="18.64"/>
    <d v="1900-02-23T14:24:00"/>
    <n v="222.94"/>
    <n v="2"/>
    <n v="445.88"/>
    <n v="4.4000000000000004"/>
    <x v="0"/>
    <x v="0"/>
  </r>
  <r>
    <s v="TRIP03802"/>
    <x v="45"/>
    <x v="3"/>
    <s v="Mumbai"/>
    <n v="8.23"/>
    <d v="1900-01-26T14:09:36"/>
    <n v="92.66"/>
    <n v="1.5"/>
    <n v="138.99"/>
    <n v="4.9000000000000004"/>
    <x v="4"/>
    <x v="2"/>
  </r>
  <r>
    <s v="TRIP03803"/>
    <x v="312"/>
    <x v="1"/>
    <s v="Bangalore"/>
    <n v="11.48"/>
    <d v="1900-02-05T11:45:36"/>
    <n v="114.92"/>
    <n v="2"/>
    <n v="229.84"/>
    <n v="4.9000000000000004"/>
    <x v="1"/>
    <x v="0"/>
  </r>
  <r>
    <s v="TRIP03804"/>
    <x v="191"/>
    <x v="2"/>
    <s v="Delhi"/>
    <n v="14.55"/>
    <d v="1900-02-16T16:04:48"/>
    <n v="183.51"/>
    <n v="1"/>
    <n v="183.51"/>
    <n v="3.4"/>
    <x v="2"/>
    <x v="1"/>
  </r>
  <r>
    <s v="TRIP03805"/>
    <x v="140"/>
    <x v="2"/>
    <s v="Chennai"/>
    <n v="24.97"/>
    <d v="1900-03-03T11:31:12"/>
    <n v="385.48"/>
    <n v="2"/>
    <n v="770.96"/>
    <n v="4.9000000000000004"/>
    <x v="1"/>
    <x v="0"/>
  </r>
  <r>
    <s v="TRIP03806"/>
    <x v="49"/>
    <x v="3"/>
    <s v="Delhi"/>
    <n v="5.65"/>
    <d v="1900-01-16T01:40:48"/>
    <n v="78.41"/>
    <n v="1.5"/>
    <n v="117.62"/>
    <n v="4.3"/>
    <x v="3"/>
    <x v="3"/>
  </r>
  <r>
    <s v="TRIP03807"/>
    <x v="89"/>
    <x v="2"/>
    <s v="Chennai"/>
    <n v="11.14"/>
    <d v="1900-01-31T19:55:12"/>
    <n v="198.9"/>
    <n v="2"/>
    <n v="397.8"/>
    <n v="4.4000000000000004"/>
    <x v="3"/>
    <x v="2"/>
  </r>
  <r>
    <s v="TRIP03808"/>
    <x v="107"/>
    <x v="0"/>
    <s v="Mumbai"/>
    <n v="5.57"/>
    <d v="1900-01-10T22:19:12"/>
    <n v="56.25"/>
    <n v="1.2"/>
    <n v="67.5"/>
    <n v="4.5"/>
    <x v="3"/>
    <x v="0"/>
  </r>
  <r>
    <s v="TRIP03809"/>
    <x v="330"/>
    <x v="3"/>
    <s v="Chennai"/>
    <n v="7.99"/>
    <d v="1900-01-16T00:14:24"/>
    <n v="122.24"/>
    <n v="1.5"/>
    <n v="183.36"/>
    <n v="3.3"/>
    <x v="2"/>
    <x v="0"/>
  </r>
  <r>
    <s v="TRIP03810"/>
    <x v="339"/>
    <x v="2"/>
    <s v="Kolkata"/>
    <n v="1.23"/>
    <d v="1900-01-03T12:43:12"/>
    <n v="24.04"/>
    <n v="1.2"/>
    <n v="28.85"/>
    <n v="3.2"/>
    <x v="3"/>
    <x v="1"/>
  </r>
  <r>
    <s v="TRIP03811"/>
    <x v="316"/>
    <x v="3"/>
    <s v="Chennai"/>
    <n v="28.07"/>
    <d v="1900-03-07T21:07:12"/>
    <n v="559.87"/>
    <n v="1"/>
    <n v="559.87"/>
    <n v="4.5"/>
    <x v="2"/>
    <x v="0"/>
  </r>
  <r>
    <s v="TRIP03812"/>
    <x v="324"/>
    <x v="2"/>
    <s v="Delhi"/>
    <n v="11.47"/>
    <d v="1900-02-03T11:02:24"/>
    <n v="189.7"/>
    <n v="2"/>
    <n v="379.4"/>
    <n v="3.9"/>
    <x v="0"/>
    <x v="0"/>
  </r>
  <r>
    <s v="TRIP03813"/>
    <x v="0"/>
    <x v="4"/>
    <s v="Chennai"/>
    <n v="3.39"/>
    <d v="1900-01-08T04:33:36"/>
    <n v="48.61"/>
    <n v="1"/>
    <n v="48.61"/>
    <n v="3.4"/>
    <x v="0"/>
    <x v="1"/>
  </r>
  <r>
    <s v="TRIP03814"/>
    <x v="75"/>
    <x v="4"/>
    <s v="Bangalore"/>
    <n v="5.03"/>
    <d v="1900-01-12T18:00:00"/>
    <n v="75.12"/>
    <n v="1.5"/>
    <n v="112.68"/>
    <n v="4.4000000000000004"/>
    <x v="3"/>
    <x v="1"/>
  </r>
  <r>
    <s v="TRIP03815"/>
    <x v="127"/>
    <x v="1"/>
    <s v="Bangalore"/>
    <n v="23.19"/>
    <d v="1900-03-20T06:43:12"/>
    <n v="271.99"/>
    <n v="1.2"/>
    <n v="326.39"/>
    <n v="3.5"/>
    <x v="1"/>
    <x v="2"/>
  </r>
  <r>
    <s v="TRIP03816"/>
    <x v="50"/>
    <x v="3"/>
    <s v="Mumbai"/>
    <n v="29.49"/>
    <d v="1900-04-12T01:55:12"/>
    <n v="464.69"/>
    <n v="1.5"/>
    <n v="697.04"/>
    <n v="3.1"/>
    <x v="0"/>
    <x v="1"/>
  </r>
  <r>
    <s v="TRIP03817"/>
    <x v="231"/>
    <x v="2"/>
    <s v="Delhi"/>
    <n v="1.44"/>
    <d v="1900-01-03T20:52:48"/>
    <n v="15.82"/>
    <n v="1"/>
    <n v="15.82"/>
    <n v="4.8"/>
    <x v="2"/>
    <x v="3"/>
  </r>
  <r>
    <s v="TRIP03818"/>
    <x v="26"/>
    <x v="0"/>
    <s v="Mumbai"/>
    <n v="8.85"/>
    <d v="1900-01-27T19:55:12"/>
    <n v="169.69"/>
    <n v="2"/>
    <n v="339.38"/>
    <n v="4.2"/>
    <x v="3"/>
    <x v="1"/>
  </r>
  <r>
    <s v="TRIP03819"/>
    <x v="209"/>
    <x v="4"/>
    <s v="Mumbai"/>
    <n v="4.09"/>
    <d v="1900-01-08T06:00:00"/>
    <n v="43.44"/>
    <n v="1.5"/>
    <n v="65.16"/>
    <n v="4.9000000000000004"/>
    <x v="2"/>
    <x v="1"/>
  </r>
  <r>
    <s v="TRIP03820"/>
    <x v="280"/>
    <x v="4"/>
    <s v="Bangalore"/>
    <n v="10.31"/>
    <d v="1900-02-03T04:33:36"/>
    <n v="192.82"/>
    <n v="2"/>
    <n v="385.64"/>
    <n v="3.6"/>
    <x v="0"/>
    <x v="0"/>
  </r>
  <r>
    <s v="TRIP03821"/>
    <x v="216"/>
    <x v="3"/>
    <s v="Mumbai"/>
    <n v="3.97"/>
    <d v="1900-01-12T13:55:12"/>
    <n v="54.1"/>
    <n v="2"/>
    <n v="108.2"/>
    <n v="3.5"/>
    <x v="4"/>
    <x v="0"/>
  </r>
  <r>
    <s v="TRIP03822"/>
    <x v="345"/>
    <x v="2"/>
    <s v="Mumbai"/>
    <n v="10.81"/>
    <d v="1900-01-25T08:09:36"/>
    <n v="202.3"/>
    <n v="2"/>
    <n v="404.6"/>
    <n v="3.3"/>
    <x v="4"/>
    <x v="3"/>
  </r>
  <r>
    <s v="TRIP03823"/>
    <x v="173"/>
    <x v="1"/>
    <s v="Bangalore"/>
    <n v="11.29"/>
    <d v="1900-02-03T16:04:48"/>
    <n v="195.71"/>
    <n v="1.5"/>
    <n v="293.56"/>
    <n v="3.8"/>
    <x v="2"/>
    <x v="3"/>
  </r>
  <r>
    <s v="TRIP03824"/>
    <x v="104"/>
    <x v="0"/>
    <s v="Kolkata"/>
    <n v="28.63"/>
    <d v="1900-03-12T06:28:48"/>
    <n v="546.5"/>
    <n v="1.2"/>
    <n v="655.8"/>
    <n v="4.8"/>
    <x v="4"/>
    <x v="1"/>
  </r>
  <r>
    <s v="TRIP03825"/>
    <x v="204"/>
    <x v="1"/>
    <s v="Delhi"/>
    <n v="22.87"/>
    <d v="1900-02-24T15:50:24"/>
    <n v="397.39"/>
    <n v="1.2"/>
    <n v="476.87"/>
    <n v="4.5999999999999996"/>
    <x v="1"/>
    <x v="0"/>
  </r>
  <r>
    <s v="TRIP03826"/>
    <x v="178"/>
    <x v="2"/>
    <s v="Mumbai"/>
    <n v="21.76"/>
    <d v="1900-03-18T20:38:24"/>
    <n v="295.63"/>
    <n v="1.2"/>
    <n v="354.76"/>
    <n v="4.0999999999999996"/>
    <x v="0"/>
    <x v="0"/>
  </r>
  <r>
    <s v="TRIP03827"/>
    <x v="319"/>
    <x v="2"/>
    <s v="Mumbai"/>
    <n v="29.75"/>
    <d v="1900-03-19T11:16:48"/>
    <n v="360.05"/>
    <n v="2"/>
    <n v="720.1"/>
    <n v="4.0999999999999996"/>
    <x v="0"/>
    <x v="3"/>
  </r>
  <r>
    <s v="TRIP03828"/>
    <x v="320"/>
    <x v="1"/>
    <s v="Chennai"/>
    <n v="5.73"/>
    <d v="1900-01-15T23:31:12"/>
    <n v="83.86"/>
    <n v="2"/>
    <n v="167.72"/>
    <n v="3.9"/>
    <x v="4"/>
    <x v="0"/>
  </r>
  <r>
    <s v="TRIP03829"/>
    <x v="7"/>
    <x v="0"/>
    <s v="Chennai"/>
    <n v="18.57"/>
    <d v="1900-02-09T21:21:36"/>
    <n v="370.75"/>
    <n v="2"/>
    <n v="741.5"/>
    <n v="4"/>
    <x v="1"/>
    <x v="2"/>
  </r>
  <r>
    <s v="TRIP03830"/>
    <x v="214"/>
    <x v="3"/>
    <s v="Chennai"/>
    <n v="13.01"/>
    <d v="1900-02-07T02:09:36"/>
    <n v="198.02"/>
    <n v="1.2"/>
    <n v="237.62"/>
    <n v="3.2"/>
    <x v="0"/>
    <x v="3"/>
  </r>
  <r>
    <s v="TRIP03831"/>
    <x v="332"/>
    <x v="1"/>
    <s v="Chennai"/>
    <n v="27.19"/>
    <d v="1900-03-03T06:43:12"/>
    <n v="295.37"/>
    <n v="1.2"/>
    <n v="354.44"/>
    <n v="3.5"/>
    <x v="0"/>
    <x v="2"/>
  </r>
  <r>
    <s v="TRIP03832"/>
    <x v="94"/>
    <x v="1"/>
    <s v="Chennai"/>
    <n v="27.69"/>
    <d v="1900-03-15T10:48:00"/>
    <n v="361.82"/>
    <n v="1.5"/>
    <n v="542.73"/>
    <n v="4.0999999999999996"/>
    <x v="2"/>
    <x v="3"/>
  </r>
  <r>
    <s v="TRIP03833"/>
    <x v="180"/>
    <x v="1"/>
    <s v="Bangalore"/>
    <n v="5.89"/>
    <d v="1900-01-15T18:00:00"/>
    <n v="113.57"/>
    <n v="1.2"/>
    <n v="136.28"/>
    <n v="3.5"/>
    <x v="4"/>
    <x v="0"/>
  </r>
  <r>
    <s v="TRIP03834"/>
    <x v="222"/>
    <x v="2"/>
    <s v="Kolkata"/>
    <n v="8.7899999999999991"/>
    <d v="1900-01-19T07:12:00"/>
    <n v="134.82"/>
    <n v="1.2"/>
    <n v="161.78"/>
    <n v="4.7"/>
    <x v="0"/>
    <x v="0"/>
  </r>
  <r>
    <s v="TRIP03835"/>
    <x v="39"/>
    <x v="3"/>
    <s v="Chennai"/>
    <n v="20.39"/>
    <d v="1900-03-10T11:31:12"/>
    <n v="397.25"/>
    <n v="1.2"/>
    <n v="476.7"/>
    <n v="3.5"/>
    <x v="0"/>
    <x v="2"/>
  </r>
  <r>
    <s v="TRIP03836"/>
    <x v="250"/>
    <x v="0"/>
    <s v="Kolkata"/>
    <n v="20.83"/>
    <d v="1900-03-15T07:12:00"/>
    <n v="248.18"/>
    <n v="1.5"/>
    <n v="372.27"/>
    <n v="4"/>
    <x v="4"/>
    <x v="2"/>
  </r>
  <r>
    <s v="TRIP03837"/>
    <x v="313"/>
    <x v="3"/>
    <s v="Delhi"/>
    <n v="26.43"/>
    <d v="1900-02-23T07:55:12"/>
    <n v="344.57"/>
    <n v="2"/>
    <n v="689.14"/>
    <n v="3.1"/>
    <x v="1"/>
    <x v="0"/>
  </r>
  <r>
    <s v="TRIP03838"/>
    <x v="46"/>
    <x v="4"/>
    <s v="Kolkata"/>
    <n v="22.6"/>
    <d v="1900-03-23T01:55:12"/>
    <n v="274.12"/>
    <n v="1.5"/>
    <n v="411.18"/>
    <n v="4"/>
    <x v="3"/>
    <x v="3"/>
  </r>
  <r>
    <s v="TRIP03839"/>
    <x v="346"/>
    <x v="4"/>
    <s v="Delhi"/>
    <n v="28.88"/>
    <d v="1900-03-04T11:45:36"/>
    <n v="493.72"/>
    <n v="1"/>
    <n v="493.72"/>
    <n v="3.5"/>
    <x v="3"/>
    <x v="2"/>
  </r>
  <r>
    <s v="TRIP03840"/>
    <x v="249"/>
    <x v="4"/>
    <s v="Chennai"/>
    <n v="12.37"/>
    <d v="1900-01-25T11:16:48"/>
    <n v="148.71"/>
    <n v="1.5"/>
    <n v="223.06"/>
    <n v="4.8"/>
    <x v="1"/>
    <x v="1"/>
  </r>
  <r>
    <s v="TRIP03841"/>
    <x v="96"/>
    <x v="2"/>
    <s v="Bangalore"/>
    <n v="9.1999999999999993"/>
    <d v="1900-01-20T21:36:00"/>
    <n v="94.46"/>
    <n v="1"/>
    <n v="94.46"/>
    <n v="3.7"/>
    <x v="1"/>
    <x v="1"/>
  </r>
  <r>
    <s v="TRIP03842"/>
    <x v="138"/>
    <x v="2"/>
    <s v="Mumbai"/>
    <n v="28.75"/>
    <d v="1900-04-16T04:04:48"/>
    <n v="385.38"/>
    <n v="2"/>
    <n v="770.76"/>
    <n v="3.8"/>
    <x v="3"/>
    <x v="1"/>
  </r>
  <r>
    <s v="TRIP03843"/>
    <x v="22"/>
    <x v="3"/>
    <s v="Chennai"/>
    <n v="1.78"/>
    <d v="1900-01-03T02:09:36"/>
    <n v="21.96"/>
    <n v="2"/>
    <n v="43.92"/>
    <n v="4.5999999999999996"/>
    <x v="4"/>
    <x v="1"/>
  </r>
  <r>
    <s v="TRIP03844"/>
    <x v="109"/>
    <x v="1"/>
    <s v="Bangalore"/>
    <n v="9.77"/>
    <d v="1900-01-29T13:55:12"/>
    <n v="109.93"/>
    <n v="1"/>
    <n v="109.93"/>
    <n v="4.5999999999999996"/>
    <x v="3"/>
    <x v="2"/>
  </r>
  <r>
    <s v="TRIP03845"/>
    <x v="328"/>
    <x v="0"/>
    <s v="Chennai"/>
    <n v="7.28"/>
    <d v="1900-01-22T09:21:36"/>
    <n v="109.44"/>
    <n v="2"/>
    <n v="218.88"/>
    <n v="3.4"/>
    <x v="0"/>
    <x v="1"/>
  </r>
  <r>
    <s v="TRIP03846"/>
    <x v="228"/>
    <x v="2"/>
    <s v="Mumbai"/>
    <n v="21.57"/>
    <d v="1900-02-23T14:52:48"/>
    <n v="229.08"/>
    <n v="1.2"/>
    <n v="274.89999999999998"/>
    <n v="3.6"/>
    <x v="1"/>
    <x v="2"/>
  </r>
  <r>
    <s v="TRIP03847"/>
    <x v="116"/>
    <x v="3"/>
    <s v="Delhi"/>
    <n v="6.68"/>
    <d v="1900-01-19T06:00:00"/>
    <n v="127.6"/>
    <n v="1"/>
    <n v="127.6"/>
    <n v="4.5"/>
    <x v="1"/>
    <x v="3"/>
  </r>
  <r>
    <s v="TRIP03848"/>
    <x v="174"/>
    <x v="1"/>
    <s v="Chennai"/>
    <n v="17.600000000000001"/>
    <d v="1900-02-18T04:19:12"/>
    <n v="306.95999999999998"/>
    <n v="1"/>
    <n v="306.95999999999998"/>
    <n v="4.8"/>
    <x v="1"/>
    <x v="0"/>
  </r>
  <r>
    <s v="TRIP03849"/>
    <x v="247"/>
    <x v="1"/>
    <s v="Bangalore"/>
    <n v="5.17"/>
    <d v="1900-01-18T18:43:12"/>
    <n v="86.28"/>
    <n v="1"/>
    <n v="86.28"/>
    <n v="4.4000000000000004"/>
    <x v="0"/>
    <x v="1"/>
  </r>
  <r>
    <s v="TRIP03850"/>
    <x v="333"/>
    <x v="2"/>
    <s v="Mumbai"/>
    <n v="22.62"/>
    <d v="1900-03-20T05:02:24"/>
    <n v="434.28"/>
    <n v="2"/>
    <n v="868.56"/>
    <n v="3.7"/>
    <x v="2"/>
    <x v="2"/>
  </r>
  <r>
    <s v="TRIP03851"/>
    <x v="216"/>
    <x v="2"/>
    <s v="Mumbai"/>
    <n v="19.55"/>
    <d v="1900-02-23T08:24:00"/>
    <n v="311.74"/>
    <n v="1.2"/>
    <n v="374.09"/>
    <n v="4.3"/>
    <x v="2"/>
    <x v="1"/>
  </r>
  <r>
    <s v="TRIP03852"/>
    <x v="134"/>
    <x v="2"/>
    <s v="Delhi"/>
    <n v="3.03"/>
    <d v="1900-01-06T20:24:00"/>
    <n v="51.28"/>
    <n v="1.2"/>
    <n v="61.54"/>
    <n v="3.3"/>
    <x v="4"/>
    <x v="0"/>
  </r>
  <r>
    <s v="TRIP03853"/>
    <x v="153"/>
    <x v="3"/>
    <s v="Mumbai"/>
    <n v="7.34"/>
    <d v="1900-01-23T12:14:24"/>
    <n v="94.39"/>
    <n v="1.2"/>
    <n v="113.27"/>
    <n v="4"/>
    <x v="2"/>
    <x v="2"/>
  </r>
  <r>
    <s v="TRIP03854"/>
    <x v="246"/>
    <x v="2"/>
    <s v="Mumbai"/>
    <n v="24"/>
    <d v="1900-03-03T23:31:12"/>
    <n v="353.38"/>
    <n v="1.2"/>
    <n v="424.06"/>
    <n v="3.4"/>
    <x v="4"/>
    <x v="3"/>
  </r>
  <r>
    <s v="TRIP03855"/>
    <x v="68"/>
    <x v="1"/>
    <s v="Chennai"/>
    <n v="9.4"/>
    <d v="1900-01-24T17:45:36"/>
    <n v="147.05000000000001"/>
    <n v="2"/>
    <n v="294.10000000000002"/>
    <n v="4.5"/>
    <x v="2"/>
    <x v="2"/>
  </r>
  <r>
    <s v="TRIP03856"/>
    <x v="269"/>
    <x v="0"/>
    <s v="Bangalore"/>
    <n v="3.03"/>
    <d v="1900-01-08T18:43:12"/>
    <n v="31.58"/>
    <n v="1.5"/>
    <n v="47.37"/>
    <n v="3.8"/>
    <x v="0"/>
    <x v="0"/>
  </r>
  <r>
    <s v="TRIP03857"/>
    <x v="158"/>
    <x v="1"/>
    <s v="Bangalore"/>
    <n v="28.45"/>
    <d v="1900-04-15T01:55:12"/>
    <n v="290.85000000000002"/>
    <n v="1.2"/>
    <n v="349.02"/>
    <n v="3.1"/>
    <x v="4"/>
    <x v="1"/>
  </r>
  <r>
    <s v="TRIP03858"/>
    <x v="136"/>
    <x v="1"/>
    <s v="Bangalore"/>
    <n v="15.37"/>
    <d v="1900-02-17T06:14:24"/>
    <n v="257.95"/>
    <n v="1.2"/>
    <n v="309.54000000000002"/>
    <n v="4.8"/>
    <x v="1"/>
    <x v="2"/>
  </r>
  <r>
    <s v="TRIP03859"/>
    <x v="315"/>
    <x v="2"/>
    <s v="Delhi"/>
    <n v="24.91"/>
    <d v="1900-04-07T23:45:36"/>
    <n v="323.88"/>
    <n v="2"/>
    <n v="647.76"/>
    <n v="4"/>
    <x v="2"/>
    <x v="0"/>
  </r>
  <r>
    <s v="TRIP03860"/>
    <x v="300"/>
    <x v="0"/>
    <s v="Chennai"/>
    <n v="29.38"/>
    <d v="1900-03-05T14:52:48"/>
    <n v="420.64"/>
    <n v="2"/>
    <n v="841.28"/>
    <n v="3.9"/>
    <x v="4"/>
    <x v="3"/>
  </r>
  <r>
    <s v="TRIP03861"/>
    <x v="181"/>
    <x v="4"/>
    <s v="Mumbai"/>
    <n v="28.51"/>
    <d v="1900-03-25T11:16:48"/>
    <n v="401.85"/>
    <n v="1.2"/>
    <n v="482.22"/>
    <n v="4.9000000000000004"/>
    <x v="3"/>
    <x v="2"/>
  </r>
  <r>
    <s v="TRIP03862"/>
    <x v="133"/>
    <x v="3"/>
    <s v="Kolkata"/>
    <n v="26.86"/>
    <d v="1900-03-14T18:57:36"/>
    <n v="418.86"/>
    <n v="1.5"/>
    <n v="628.29"/>
    <n v="3.1"/>
    <x v="4"/>
    <x v="2"/>
  </r>
  <r>
    <s v="TRIP03863"/>
    <x v="86"/>
    <x v="3"/>
    <s v="Kolkata"/>
    <n v="28.32"/>
    <d v="1900-04-19T12:14:24"/>
    <n v="518.58000000000004"/>
    <n v="1"/>
    <n v="518.58000000000004"/>
    <n v="4.7"/>
    <x v="4"/>
    <x v="1"/>
  </r>
  <r>
    <s v="TRIP03864"/>
    <x v="145"/>
    <x v="3"/>
    <s v="Delhi"/>
    <n v="2.83"/>
    <d v="1900-01-05T01:55:12"/>
    <n v="35.42"/>
    <n v="1"/>
    <n v="35.42"/>
    <n v="5"/>
    <x v="0"/>
    <x v="3"/>
  </r>
  <r>
    <s v="TRIP03865"/>
    <x v="137"/>
    <x v="4"/>
    <s v="Delhi"/>
    <n v="10.33"/>
    <d v="1900-02-05T06:57:36"/>
    <n v="121.26"/>
    <n v="1.2"/>
    <n v="145.51"/>
    <n v="4.3"/>
    <x v="0"/>
    <x v="0"/>
  </r>
  <r>
    <s v="TRIP03866"/>
    <x v="82"/>
    <x v="0"/>
    <s v="Kolkata"/>
    <n v="27.82"/>
    <d v="1900-03-08T08:38:24"/>
    <n v="415.55"/>
    <n v="1.2"/>
    <n v="498.66"/>
    <n v="4.3"/>
    <x v="4"/>
    <x v="3"/>
  </r>
  <r>
    <s v="TRIP03867"/>
    <x v="364"/>
    <x v="0"/>
    <s v="Delhi"/>
    <n v="2.62"/>
    <d v="1900-01-05T11:02:24"/>
    <n v="42.79"/>
    <n v="1"/>
    <n v="42.79"/>
    <n v="3"/>
    <x v="1"/>
    <x v="3"/>
  </r>
  <r>
    <s v="TRIP03868"/>
    <x v="11"/>
    <x v="0"/>
    <s v="Bangalore"/>
    <n v="14.31"/>
    <d v="1900-02-14T04:19:12"/>
    <n v="178.67"/>
    <n v="1.2"/>
    <n v="214.4"/>
    <n v="4.8"/>
    <x v="0"/>
    <x v="0"/>
  </r>
  <r>
    <s v="TRIP03869"/>
    <x v="288"/>
    <x v="0"/>
    <s v="Mumbai"/>
    <n v="28.43"/>
    <d v="1900-04-04T05:31:12"/>
    <n v="506.88"/>
    <n v="1"/>
    <n v="506.88"/>
    <n v="4.0999999999999996"/>
    <x v="2"/>
    <x v="2"/>
  </r>
  <r>
    <s v="TRIP03870"/>
    <x v="27"/>
    <x v="3"/>
    <s v="Mumbai"/>
    <n v="12.49"/>
    <d v="1900-02-04T13:40:48"/>
    <n v="150.91999999999999"/>
    <n v="1.2"/>
    <n v="181.1"/>
    <n v="5"/>
    <x v="1"/>
    <x v="0"/>
  </r>
  <r>
    <s v="TRIP03871"/>
    <x v="100"/>
    <x v="1"/>
    <s v="Chennai"/>
    <n v="13.46"/>
    <d v="1900-02-21T05:45:36"/>
    <n v="142.30000000000001"/>
    <n v="1.5"/>
    <n v="213.45"/>
    <n v="3.3"/>
    <x v="4"/>
    <x v="3"/>
  </r>
  <r>
    <s v="TRIP03872"/>
    <x v="205"/>
    <x v="4"/>
    <s v="Chennai"/>
    <n v="2.0499999999999998"/>
    <d v="1900-01-04T00:28:48"/>
    <n v="39.06"/>
    <n v="2"/>
    <n v="78.12"/>
    <n v="4.9000000000000004"/>
    <x v="1"/>
    <x v="0"/>
  </r>
  <r>
    <s v="TRIP03873"/>
    <x v="353"/>
    <x v="1"/>
    <s v="Delhi"/>
    <n v="26.76"/>
    <d v="1900-03-13T03:50:24"/>
    <n v="497.51"/>
    <n v="1.5"/>
    <n v="746.26"/>
    <n v="3.4"/>
    <x v="3"/>
    <x v="0"/>
  </r>
  <r>
    <s v="TRIP03874"/>
    <x v="317"/>
    <x v="3"/>
    <s v="Chennai"/>
    <n v="21.55"/>
    <d v="1900-02-12T20:09:36"/>
    <n v="226.57"/>
    <n v="1"/>
    <n v="226.57"/>
    <n v="3.1"/>
    <x v="0"/>
    <x v="2"/>
  </r>
  <r>
    <s v="TRIP03875"/>
    <x v="281"/>
    <x v="4"/>
    <s v="Bangalore"/>
    <n v="20.29"/>
    <d v="1900-02-23T16:04:48"/>
    <n v="366.43"/>
    <n v="1.2"/>
    <n v="439.72"/>
    <n v="4.5"/>
    <x v="0"/>
    <x v="2"/>
  </r>
  <r>
    <s v="TRIP03876"/>
    <x v="322"/>
    <x v="0"/>
    <s v="Chennai"/>
    <n v="24.12"/>
    <d v="1900-04-03T05:16:48"/>
    <n v="255.68"/>
    <n v="2"/>
    <n v="511.36"/>
    <n v="4.0999999999999996"/>
    <x v="0"/>
    <x v="2"/>
  </r>
  <r>
    <s v="TRIP03877"/>
    <x v="193"/>
    <x v="4"/>
    <s v="Mumbai"/>
    <n v="26.16"/>
    <d v="1900-03-07T04:33:36"/>
    <n v="466.44"/>
    <n v="1.5"/>
    <n v="699.66"/>
    <n v="4.8"/>
    <x v="3"/>
    <x v="2"/>
  </r>
  <r>
    <s v="TRIP03878"/>
    <x v="212"/>
    <x v="4"/>
    <s v="Bangalore"/>
    <n v="6.57"/>
    <d v="1900-01-15T00:57:36"/>
    <n v="68.81"/>
    <n v="1.5"/>
    <n v="103.22"/>
    <n v="3.9"/>
    <x v="3"/>
    <x v="3"/>
  </r>
  <r>
    <s v="TRIP03879"/>
    <x v="199"/>
    <x v="4"/>
    <s v="Chennai"/>
    <n v="25.16"/>
    <d v="1900-03-08T18:14:24"/>
    <n v="441.46"/>
    <n v="1.5"/>
    <n v="662.19"/>
    <n v="4.2"/>
    <x v="4"/>
    <x v="3"/>
  </r>
  <r>
    <s v="TRIP03880"/>
    <x v="319"/>
    <x v="4"/>
    <s v="Kolkata"/>
    <n v="29.31"/>
    <d v="1900-03-12T16:19:12"/>
    <n v="545.85"/>
    <n v="1.2"/>
    <n v="655.02"/>
    <n v="3.2"/>
    <x v="0"/>
    <x v="0"/>
  </r>
  <r>
    <s v="TRIP03881"/>
    <x v="137"/>
    <x v="0"/>
    <s v="Bangalore"/>
    <n v="19.899999999999999"/>
    <d v="1900-02-24T16:04:48"/>
    <n v="244.39"/>
    <n v="1.2"/>
    <n v="293.27"/>
    <n v="4.5999999999999996"/>
    <x v="0"/>
    <x v="3"/>
  </r>
  <r>
    <s v="TRIP03882"/>
    <x v="341"/>
    <x v="2"/>
    <s v="Bangalore"/>
    <n v="29.72"/>
    <d v="1900-04-12T07:26:24"/>
    <n v="394.49"/>
    <n v="1.5"/>
    <n v="591.74"/>
    <n v="4.7"/>
    <x v="3"/>
    <x v="3"/>
  </r>
  <r>
    <s v="TRIP03883"/>
    <x v="357"/>
    <x v="2"/>
    <s v="Kolkata"/>
    <n v="9.17"/>
    <d v="1900-01-17T14:24:00"/>
    <n v="102.54"/>
    <n v="1.2"/>
    <n v="123.05"/>
    <n v="4.2"/>
    <x v="0"/>
    <x v="0"/>
  </r>
  <r>
    <s v="TRIP03884"/>
    <x v="311"/>
    <x v="3"/>
    <s v="Delhi"/>
    <n v="12.11"/>
    <d v="1900-01-26T21:36:00"/>
    <n v="142.85"/>
    <n v="1.5"/>
    <n v="214.27"/>
    <n v="4.5999999999999996"/>
    <x v="3"/>
    <x v="3"/>
  </r>
  <r>
    <s v="TRIP03885"/>
    <x v="25"/>
    <x v="4"/>
    <s v="Delhi"/>
    <n v="5.53"/>
    <d v="1900-01-13T06:57:36"/>
    <n v="84.64"/>
    <n v="1.5"/>
    <n v="126.96"/>
    <n v="4.5999999999999996"/>
    <x v="4"/>
    <x v="0"/>
  </r>
  <r>
    <s v="TRIP03886"/>
    <x v="54"/>
    <x v="1"/>
    <s v="Chennai"/>
    <n v="9.84"/>
    <d v="1900-01-23T00:57:36"/>
    <n v="167.13"/>
    <n v="1"/>
    <n v="167.13"/>
    <n v="3.9"/>
    <x v="4"/>
    <x v="0"/>
  </r>
  <r>
    <s v="TRIP03887"/>
    <x v="244"/>
    <x v="1"/>
    <s v="Bangalore"/>
    <n v="8.3800000000000008"/>
    <d v="1900-01-30T04:48:00"/>
    <n v="126.57"/>
    <n v="1"/>
    <n v="126.57"/>
    <n v="4"/>
    <x v="2"/>
    <x v="2"/>
  </r>
  <r>
    <s v="TRIP03888"/>
    <x v="159"/>
    <x v="2"/>
    <s v="Chennai"/>
    <n v="26.11"/>
    <d v="1900-03-19T11:45:36"/>
    <n v="503.21"/>
    <n v="1.2"/>
    <n v="603.85"/>
    <n v="4.8"/>
    <x v="4"/>
    <x v="0"/>
  </r>
  <r>
    <s v="TRIP03889"/>
    <x v="162"/>
    <x v="4"/>
    <s v="Chennai"/>
    <n v="18.309999999999999"/>
    <d v="1900-02-17T14:09:36"/>
    <n v="268.10000000000002"/>
    <n v="1.2"/>
    <n v="321.72000000000003"/>
    <n v="3.5"/>
    <x v="0"/>
    <x v="2"/>
  </r>
  <r>
    <s v="TRIP03890"/>
    <x v="260"/>
    <x v="0"/>
    <s v="Chennai"/>
    <n v="24.86"/>
    <d v="1900-03-19T05:31:12"/>
    <n v="496.54"/>
    <n v="1.2"/>
    <n v="595.85"/>
    <n v="3.3"/>
    <x v="3"/>
    <x v="3"/>
  </r>
  <r>
    <s v="TRIP03891"/>
    <x v="283"/>
    <x v="3"/>
    <s v="Mumbai"/>
    <n v="8.67"/>
    <d v="1900-01-22T03:50:24"/>
    <n v="159.81"/>
    <n v="1.5"/>
    <n v="239.72"/>
    <n v="3.9"/>
    <x v="4"/>
    <x v="3"/>
  </r>
  <r>
    <s v="TRIP03892"/>
    <x v="254"/>
    <x v="1"/>
    <s v="Mumbai"/>
    <n v="27.24"/>
    <d v="1900-03-29T08:09:36"/>
    <n v="334.19"/>
    <n v="1"/>
    <n v="334.19"/>
    <n v="4.5"/>
    <x v="0"/>
    <x v="0"/>
  </r>
  <r>
    <s v="TRIP03893"/>
    <x v="295"/>
    <x v="0"/>
    <s v="Bangalore"/>
    <n v="26.92"/>
    <d v="1900-03-07T15:07:12"/>
    <n v="382.4"/>
    <n v="1"/>
    <n v="382.4"/>
    <n v="4.7"/>
    <x v="3"/>
    <x v="1"/>
  </r>
  <r>
    <s v="TRIP03894"/>
    <x v="201"/>
    <x v="0"/>
    <s v="Kolkata"/>
    <n v="24.6"/>
    <d v="1900-03-14T17:02:24"/>
    <n v="470.24"/>
    <n v="1.5"/>
    <n v="705.36"/>
    <n v="4.3"/>
    <x v="0"/>
    <x v="3"/>
  </r>
  <r>
    <s v="TRIP03895"/>
    <x v="46"/>
    <x v="1"/>
    <s v="Kolkata"/>
    <n v="21.55"/>
    <d v="1900-03-06T08:24:00"/>
    <n v="399.66"/>
    <n v="1.5"/>
    <n v="599.49"/>
    <n v="3"/>
    <x v="4"/>
    <x v="1"/>
  </r>
  <r>
    <s v="TRIP03896"/>
    <x v="165"/>
    <x v="4"/>
    <s v="Bangalore"/>
    <n v="9.51"/>
    <d v="1900-01-30T11:31:12"/>
    <n v="98.92"/>
    <n v="1.2"/>
    <n v="118.7"/>
    <n v="4.2"/>
    <x v="0"/>
    <x v="3"/>
  </r>
  <r>
    <s v="TRIP03897"/>
    <x v="95"/>
    <x v="0"/>
    <s v="Kolkata"/>
    <n v="11.69"/>
    <d v="1900-01-27T10:04:48"/>
    <n v="179.75"/>
    <n v="2"/>
    <n v="359.5"/>
    <n v="4.5"/>
    <x v="2"/>
    <x v="3"/>
  </r>
  <r>
    <s v="TRIP03898"/>
    <x v="159"/>
    <x v="2"/>
    <s v="Mumbai"/>
    <n v="8.32"/>
    <d v="1900-01-20T06:43:12"/>
    <n v="162.16999999999999"/>
    <n v="1.5"/>
    <n v="243.26"/>
    <n v="3.7"/>
    <x v="0"/>
    <x v="1"/>
  </r>
  <r>
    <s v="TRIP03899"/>
    <x v="98"/>
    <x v="4"/>
    <s v="Chennai"/>
    <n v="23.67"/>
    <d v="1900-03-20T10:33:36"/>
    <n v="267.13"/>
    <n v="1.5"/>
    <n v="400.7"/>
    <n v="4.2"/>
    <x v="4"/>
    <x v="0"/>
  </r>
  <r>
    <s v="TRIP03900"/>
    <x v="175"/>
    <x v="0"/>
    <s v="Kolkata"/>
    <n v="21.25"/>
    <d v="1900-03-02T08:38:24"/>
    <n v="253.08"/>
    <n v="1.5"/>
    <n v="379.62"/>
    <n v="3.2"/>
    <x v="4"/>
    <x v="1"/>
  </r>
  <r>
    <s v="TRIP03901"/>
    <x v="7"/>
    <x v="1"/>
    <s v="Bangalore"/>
    <n v="9.43"/>
    <d v="1900-01-24T01:12:00"/>
    <n v="135.69999999999999"/>
    <n v="1.5"/>
    <n v="203.55"/>
    <n v="4.3"/>
    <x v="1"/>
    <x v="2"/>
  </r>
  <r>
    <s v="TRIP03902"/>
    <x v="13"/>
    <x v="0"/>
    <s v="Mumbai"/>
    <n v="14.67"/>
    <d v="1900-01-28T09:21:36"/>
    <n v="196.66"/>
    <n v="1.5"/>
    <n v="294.99"/>
    <n v="3.1"/>
    <x v="0"/>
    <x v="2"/>
  </r>
  <r>
    <s v="TRIP03903"/>
    <x v="38"/>
    <x v="1"/>
    <s v="Bangalore"/>
    <n v="29.12"/>
    <d v="1900-04-24T09:21:36"/>
    <n v="373.25"/>
    <n v="1.2"/>
    <n v="447.9"/>
    <n v="3.3"/>
    <x v="1"/>
    <x v="3"/>
  </r>
  <r>
    <s v="TRIP03904"/>
    <x v="304"/>
    <x v="4"/>
    <s v="Chennai"/>
    <n v="26.33"/>
    <d v="1900-03-22T14:24:00"/>
    <n v="364.7"/>
    <n v="1"/>
    <n v="364.7"/>
    <n v="3.3"/>
    <x v="3"/>
    <x v="0"/>
  </r>
  <r>
    <s v="TRIP03905"/>
    <x v="249"/>
    <x v="2"/>
    <s v="Kolkata"/>
    <n v="16.38"/>
    <d v="1900-02-10T00:43:12"/>
    <n v="221.17"/>
    <n v="1.2"/>
    <n v="265.39999999999998"/>
    <n v="4.2"/>
    <x v="1"/>
    <x v="3"/>
  </r>
  <r>
    <s v="TRIP03906"/>
    <x v="340"/>
    <x v="2"/>
    <s v="Delhi"/>
    <n v="26.35"/>
    <d v="1900-02-26T17:16:48"/>
    <n v="421.99"/>
    <n v="1.2"/>
    <n v="506.39"/>
    <n v="3.5"/>
    <x v="3"/>
    <x v="0"/>
  </r>
  <r>
    <s v="TRIP03907"/>
    <x v="116"/>
    <x v="4"/>
    <s v="Chennai"/>
    <n v="9.81"/>
    <d v="1900-01-24T23:16:48"/>
    <n v="195.19"/>
    <n v="2"/>
    <n v="390.38"/>
    <n v="4.7"/>
    <x v="2"/>
    <x v="2"/>
  </r>
  <r>
    <s v="TRIP03908"/>
    <x v="171"/>
    <x v="0"/>
    <s v="Bangalore"/>
    <n v="28.14"/>
    <d v="1900-03-25T01:55:12"/>
    <n v="282.11"/>
    <n v="1.5"/>
    <n v="423.16"/>
    <n v="3.7"/>
    <x v="1"/>
    <x v="3"/>
  </r>
  <r>
    <s v="TRIP03909"/>
    <x v="154"/>
    <x v="1"/>
    <s v="Mumbai"/>
    <n v="13.07"/>
    <d v="1900-02-14T18:57:36"/>
    <n v="188.04"/>
    <n v="1.2"/>
    <n v="225.65"/>
    <n v="3.9"/>
    <x v="2"/>
    <x v="2"/>
  </r>
  <r>
    <s v="TRIP03910"/>
    <x v="284"/>
    <x v="1"/>
    <s v="Chennai"/>
    <n v="20.83"/>
    <d v="1900-02-12T05:31:12"/>
    <n v="306.14999999999998"/>
    <n v="1.2"/>
    <n v="367.38"/>
    <n v="4.0999999999999996"/>
    <x v="2"/>
    <x v="1"/>
  </r>
  <r>
    <s v="TRIP03911"/>
    <x v="178"/>
    <x v="3"/>
    <s v="Mumbai"/>
    <n v="11.44"/>
    <d v="1900-01-24T04:04:48"/>
    <n v="119.15"/>
    <n v="1.5"/>
    <n v="178.73"/>
    <n v="3.5"/>
    <x v="3"/>
    <x v="2"/>
  </r>
  <r>
    <s v="TRIP03912"/>
    <x v="177"/>
    <x v="1"/>
    <s v="Delhi"/>
    <n v="19.84"/>
    <d v="1900-03-13T06:57:36"/>
    <n v="260.41000000000003"/>
    <n v="1.5"/>
    <n v="390.62"/>
    <n v="3.7"/>
    <x v="3"/>
    <x v="2"/>
  </r>
  <r>
    <s v="TRIP03913"/>
    <x v="332"/>
    <x v="1"/>
    <s v="Delhi"/>
    <n v="12.56"/>
    <d v="1900-01-25T18:57:36"/>
    <n v="154.38999999999999"/>
    <n v="2"/>
    <n v="308.77999999999997"/>
    <n v="3.9"/>
    <x v="3"/>
    <x v="0"/>
  </r>
  <r>
    <s v="TRIP03914"/>
    <x v="342"/>
    <x v="1"/>
    <s v="Kolkata"/>
    <n v="3.51"/>
    <d v="1900-01-07T14:09:36"/>
    <n v="62.1"/>
    <n v="2"/>
    <n v="124.2"/>
    <n v="4.5"/>
    <x v="0"/>
    <x v="3"/>
  </r>
  <r>
    <s v="TRIP03915"/>
    <x v="34"/>
    <x v="4"/>
    <s v="Mumbai"/>
    <n v="7.12"/>
    <d v="1900-01-26T19:26:24"/>
    <n v="126.99"/>
    <n v="1.2"/>
    <n v="152.38999999999999"/>
    <n v="3.9"/>
    <x v="4"/>
    <x v="3"/>
  </r>
  <r>
    <s v="TRIP03916"/>
    <x v="146"/>
    <x v="3"/>
    <s v="Mumbai"/>
    <n v="4.28"/>
    <d v="1900-01-10T15:36:00"/>
    <n v="71.03"/>
    <n v="1.5"/>
    <n v="106.54"/>
    <n v="3.4"/>
    <x v="0"/>
    <x v="0"/>
  </r>
  <r>
    <s v="TRIP03917"/>
    <x v="196"/>
    <x v="0"/>
    <s v="Bangalore"/>
    <n v="8.1"/>
    <d v="1900-01-26T21:07:12"/>
    <n v="110.13"/>
    <n v="1.5"/>
    <n v="165.2"/>
    <n v="3.4"/>
    <x v="0"/>
    <x v="0"/>
  </r>
  <r>
    <s v="TRIP03918"/>
    <x v="242"/>
    <x v="0"/>
    <s v="Bangalore"/>
    <n v="11.5"/>
    <d v="1900-02-01T16:04:48"/>
    <n v="163.74"/>
    <n v="1.2"/>
    <n v="196.49"/>
    <n v="3.8"/>
    <x v="3"/>
    <x v="2"/>
  </r>
  <r>
    <s v="TRIP03919"/>
    <x v="82"/>
    <x v="1"/>
    <s v="Kolkata"/>
    <n v="18.260000000000002"/>
    <d v="1900-02-24T12:43:12"/>
    <n v="351.8"/>
    <n v="1.2"/>
    <n v="422.16"/>
    <n v="3.8"/>
    <x v="0"/>
    <x v="2"/>
  </r>
  <r>
    <s v="TRIP03920"/>
    <x v="169"/>
    <x v="2"/>
    <s v="Delhi"/>
    <n v="2.2200000000000002"/>
    <d v="1900-01-03T18:00:00"/>
    <n v="22.36"/>
    <n v="1"/>
    <n v="22.36"/>
    <n v="3.2"/>
    <x v="2"/>
    <x v="0"/>
  </r>
  <r>
    <s v="TRIP03921"/>
    <x v="156"/>
    <x v="1"/>
    <s v="Mumbai"/>
    <n v="14.59"/>
    <d v="1900-02-21T20:24:00"/>
    <n v="234.79"/>
    <n v="1.2"/>
    <n v="281.75"/>
    <n v="4"/>
    <x v="3"/>
    <x v="2"/>
  </r>
  <r>
    <s v="TRIP03922"/>
    <x v="59"/>
    <x v="3"/>
    <s v="Mumbai"/>
    <n v="25.18"/>
    <d v="1900-02-26T17:02:24"/>
    <n v="265.18"/>
    <n v="1"/>
    <n v="265.18"/>
    <n v="3.6"/>
    <x v="1"/>
    <x v="3"/>
  </r>
  <r>
    <s v="TRIP03923"/>
    <x v="153"/>
    <x v="4"/>
    <s v="Chennai"/>
    <n v="9.19"/>
    <d v="1900-01-29T16:48:00"/>
    <n v="111.92"/>
    <n v="1"/>
    <n v="111.92"/>
    <n v="3.5"/>
    <x v="3"/>
    <x v="3"/>
  </r>
  <r>
    <s v="TRIP03924"/>
    <x v="118"/>
    <x v="0"/>
    <s v="Bangalore"/>
    <n v="5.27"/>
    <d v="1900-01-14T21:36:00"/>
    <n v="101.28"/>
    <n v="2"/>
    <n v="202.56"/>
    <n v="4.7"/>
    <x v="2"/>
    <x v="0"/>
  </r>
  <r>
    <s v="TRIP03925"/>
    <x v="77"/>
    <x v="0"/>
    <s v="Mumbai"/>
    <n v="19.86"/>
    <d v="1900-03-06T13:26:24"/>
    <n v="322.73"/>
    <n v="1.2"/>
    <n v="387.28"/>
    <n v="4.5999999999999996"/>
    <x v="2"/>
    <x v="1"/>
  </r>
  <r>
    <s v="TRIP03926"/>
    <x v="19"/>
    <x v="2"/>
    <s v="Delhi"/>
    <n v="16.77"/>
    <d v="1900-02-14T11:45:36"/>
    <n v="241.91"/>
    <n v="1"/>
    <n v="241.91"/>
    <n v="3.6"/>
    <x v="4"/>
    <x v="0"/>
  </r>
  <r>
    <s v="TRIP03927"/>
    <x v="33"/>
    <x v="0"/>
    <s v="Chennai"/>
    <n v="11.43"/>
    <d v="1900-01-23T07:26:24"/>
    <n v="226.28"/>
    <n v="2"/>
    <n v="452.56"/>
    <n v="4.5"/>
    <x v="0"/>
    <x v="1"/>
  </r>
  <r>
    <s v="TRIP03928"/>
    <x v="220"/>
    <x v="0"/>
    <s v="Kolkata"/>
    <n v="26.85"/>
    <d v="1900-03-19T14:52:48"/>
    <n v="304.92"/>
    <n v="1"/>
    <n v="304.92"/>
    <n v="4.7"/>
    <x v="0"/>
    <x v="0"/>
  </r>
  <r>
    <s v="TRIP03929"/>
    <x v="169"/>
    <x v="1"/>
    <s v="Chennai"/>
    <n v="6.81"/>
    <d v="1900-01-13T07:55:12"/>
    <n v="97.94"/>
    <n v="1.2"/>
    <n v="117.53"/>
    <n v="4.2"/>
    <x v="0"/>
    <x v="0"/>
  </r>
  <r>
    <s v="TRIP03930"/>
    <x v="218"/>
    <x v="0"/>
    <s v="Kolkata"/>
    <n v="18.579999999999998"/>
    <d v="1900-02-12T14:38:24"/>
    <n v="249.7"/>
    <n v="1"/>
    <n v="249.7"/>
    <n v="4.5999999999999996"/>
    <x v="3"/>
    <x v="2"/>
  </r>
  <r>
    <s v="TRIP03931"/>
    <x v="250"/>
    <x v="2"/>
    <s v="Bangalore"/>
    <n v="25.88"/>
    <d v="1900-03-16T19:12:00"/>
    <n v="475.45"/>
    <n v="2"/>
    <n v="950.9"/>
    <n v="3.2"/>
    <x v="4"/>
    <x v="0"/>
  </r>
  <r>
    <s v="TRIP03932"/>
    <x v="186"/>
    <x v="1"/>
    <s v="Kolkata"/>
    <n v="23.62"/>
    <d v="1900-03-28T21:07:12"/>
    <n v="455.19"/>
    <n v="1.2"/>
    <n v="546.23"/>
    <n v="3.2"/>
    <x v="4"/>
    <x v="2"/>
  </r>
  <r>
    <s v="TRIP03933"/>
    <x v="323"/>
    <x v="1"/>
    <s v="Mumbai"/>
    <n v="3"/>
    <d v="1900-01-09T17:45:36"/>
    <n v="53.5"/>
    <n v="1.5"/>
    <n v="80.25"/>
    <n v="3.8"/>
    <x v="4"/>
    <x v="2"/>
  </r>
  <r>
    <s v="TRIP03934"/>
    <x v="313"/>
    <x v="3"/>
    <s v="Chennai"/>
    <n v="18.48"/>
    <d v="1900-02-15T16:04:48"/>
    <n v="264.81"/>
    <n v="2"/>
    <n v="529.62"/>
    <n v="3.2"/>
    <x v="1"/>
    <x v="1"/>
  </r>
  <r>
    <s v="TRIP03935"/>
    <x v="71"/>
    <x v="1"/>
    <s v="Kolkata"/>
    <n v="29.23"/>
    <d v="1900-03-03T03:36:00"/>
    <n v="405.19"/>
    <n v="1.5"/>
    <n v="607.78"/>
    <n v="3.4"/>
    <x v="3"/>
    <x v="3"/>
  </r>
  <r>
    <s v="TRIP03936"/>
    <x v="228"/>
    <x v="4"/>
    <s v="Bangalore"/>
    <n v="8.3800000000000008"/>
    <d v="1900-01-16T06:00:00"/>
    <n v="127.48"/>
    <n v="1"/>
    <n v="127.48"/>
    <n v="5"/>
    <x v="0"/>
    <x v="3"/>
  </r>
  <r>
    <s v="TRIP03937"/>
    <x v="51"/>
    <x v="3"/>
    <s v="Bangalore"/>
    <n v="26.34"/>
    <d v="1900-04-01T03:36:00"/>
    <n v="489.43"/>
    <n v="1.5"/>
    <n v="734.14"/>
    <n v="4.8"/>
    <x v="0"/>
    <x v="1"/>
  </r>
  <r>
    <s v="TRIP03938"/>
    <x v="144"/>
    <x v="4"/>
    <s v="Delhi"/>
    <n v="15.41"/>
    <d v="1900-02-07T18:14:24"/>
    <n v="272.77999999999997"/>
    <n v="1.5"/>
    <n v="409.17"/>
    <n v="4.0999999999999996"/>
    <x v="4"/>
    <x v="2"/>
  </r>
  <r>
    <s v="TRIP03939"/>
    <x v="50"/>
    <x v="4"/>
    <s v="Kolkata"/>
    <n v="4.62"/>
    <d v="1900-01-17T06:28:48"/>
    <n v="91.73"/>
    <n v="1.2"/>
    <n v="110.08"/>
    <n v="3.6"/>
    <x v="2"/>
    <x v="0"/>
  </r>
  <r>
    <s v="TRIP03940"/>
    <x v="168"/>
    <x v="0"/>
    <s v="Delhi"/>
    <n v="9.58"/>
    <d v="1900-01-24T23:02:24"/>
    <n v="163.81"/>
    <n v="2"/>
    <n v="327.62"/>
    <n v="3.8"/>
    <x v="1"/>
    <x v="0"/>
  </r>
  <r>
    <s v="TRIP03941"/>
    <x v="189"/>
    <x v="2"/>
    <s v="Kolkata"/>
    <n v="12.22"/>
    <d v="1900-02-03T15:36:00"/>
    <n v="198.99"/>
    <n v="1.2"/>
    <n v="238.79"/>
    <n v="4.5"/>
    <x v="4"/>
    <x v="2"/>
  </r>
  <r>
    <s v="TRIP03942"/>
    <x v="36"/>
    <x v="3"/>
    <s v="Delhi"/>
    <n v="2.82"/>
    <d v="1900-01-10T01:55:12"/>
    <n v="28.84"/>
    <n v="1.5"/>
    <n v="43.26"/>
    <n v="4.2"/>
    <x v="2"/>
    <x v="2"/>
  </r>
  <r>
    <s v="TRIP03943"/>
    <x v="330"/>
    <x v="4"/>
    <s v="Delhi"/>
    <n v="23.85"/>
    <d v="1900-02-17T08:09:36"/>
    <n v="454.68"/>
    <n v="2"/>
    <n v="909.36"/>
    <n v="4.4000000000000004"/>
    <x v="4"/>
    <x v="3"/>
  </r>
  <r>
    <s v="TRIP03944"/>
    <x v="285"/>
    <x v="1"/>
    <s v="Chennai"/>
    <n v="14.98"/>
    <d v="1900-01-30T07:12:00"/>
    <n v="233.98"/>
    <n v="1"/>
    <n v="233.98"/>
    <n v="3.5"/>
    <x v="4"/>
    <x v="0"/>
  </r>
  <r>
    <s v="TRIP03945"/>
    <x v="61"/>
    <x v="2"/>
    <s v="Bangalore"/>
    <n v="20.82"/>
    <d v="1900-02-13T20:38:24"/>
    <n v="235.88"/>
    <n v="1.2"/>
    <n v="283.06"/>
    <n v="3.7"/>
    <x v="2"/>
    <x v="3"/>
  </r>
  <r>
    <s v="TRIP03946"/>
    <x v="318"/>
    <x v="1"/>
    <s v="Delhi"/>
    <n v="16.7"/>
    <d v="1900-02-27T22:04:48"/>
    <n v="268.94"/>
    <n v="1.5"/>
    <n v="403.41"/>
    <n v="3.9"/>
    <x v="1"/>
    <x v="3"/>
  </r>
  <r>
    <s v="TRIP03947"/>
    <x v="105"/>
    <x v="4"/>
    <s v="Kolkata"/>
    <n v="18.07"/>
    <d v="1900-02-09T02:09:36"/>
    <n v="282.17"/>
    <n v="2"/>
    <n v="564.34"/>
    <n v="3.3"/>
    <x v="0"/>
    <x v="0"/>
  </r>
  <r>
    <s v="TRIP03948"/>
    <x v="279"/>
    <x v="3"/>
    <s v="Mumbai"/>
    <n v="18.29"/>
    <d v="1900-03-11T01:12:00"/>
    <n v="294.36"/>
    <n v="2"/>
    <n v="588.72"/>
    <n v="3.9"/>
    <x v="1"/>
    <x v="3"/>
  </r>
  <r>
    <s v="TRIP03949"/>
    <x v="133"/>
    <x v="4"/>
    <s v="Mumbai"/>
    <n v="15.43"/>
    <d v="1900-02-21T00:43:12"/>
    <n v="281.45999999999998"/>
    <n v="1"/>
    <n v="281.45999999999998"/>
    <n v="4.4000000000000004"/>
    <x v="4"/>
    <x v="0"/>
  </r>
  <r>
    <s v="TRIP03950"/>
    <x v="35"/>
    <x v="2"/>
    <s v="Chennai"/>
    <n v="7.49"/>
    <d v="1900-01-20T18:00:00"/>
    <n v="141.19"/>
    <n v="1.2"/>
    <n v="169.43"/>
    <n v="4.5"/>
    <x v="3"/>
    <x v="2"/>
  </r>
  <r>
    <s v="TRIP03951"/>
    <x v="214"/>
    <x v="4"/>
    <s v="Delhi"/>
    <n v="25.95"/>
    <d v="1900-03-18T15:36:00"/>
    <n v="398.45"/>
    <n v="1.2"/>
    <n v="478.14"/>
    <n v="4.5"/>
    <x v="2"/>
    <x v="1"/>
  </r>
  <r>
    <s v="TRIP03952"/>
    <x v="347"/>
    <x v="1"/>
    <s v="Bangalore"/>
    <n v="3.48"/>
    <d v="1900-01-07T04:48:00"/>
    <n v="48.87"/>
    <n v="1"/>
    <n v="48.87"/>
    <n v="3.8"/>
    <x v="1"/>
    <x v="0"/>
  </r>
  <r>
    <s v="TRIP03953"/>
    <x v="310"/>
    <x v="3"/>
    <s v="Bangalore"/>
    <n v="29.15"/>
    <d v="1900-04-16T22:04:48"/>
    <n v="383.5"/>
    <n v="2"/>
    <n v="767"/>
    <n v="4.8"/>
    <x v="3"/>
    <x v="2"/>
  </r>
  <r>
    <s v="TRIP03954"/>
    <x v="351"/>
    <x v="3"/>
    <s v="Chennai"/>
    <n v="12.4"/>
    <d v="1900-02-10T04:48:00"/>
    <n v="126.05"/>
    <n v="1.5"/>
    <n v="189.08"/>
    <n v="3.8"/>
    <x v="2"/>
    <x v="1"/>
  </r>
  <r>
    <s v="TRIP03955"/>
    <x v="288"/>
    <x v="1"/>
    <s v="Delhi"/>
    <n v="19.72"/>
    <d v="1900-02-21T19:12:00"/>
    <n v="295.93"/>
    <n v="1.2"/>
    <n v="355.12"/>
    <n v="4.7"/>
    <x v="4"/>
    <x v="2"/>
  </r>
  <r>
    <s v="TRIP03956"/>
    <x v="25"/>
    <x v="3"/>
    <s v="Delhi"/>
    <n v="12.55"/>
    <d v="1900-01-27T02:52:48"/>
    <n v="162.37"/>
    <n v="1"/>
    <n v="162.37"/>
    <n v="3.5"/>
    <x v="0"/>
    <x v="0"/>
  </r>
  <r>
    <s v="TRIP03957"/>
    <x v="165"/>
    <x v="2"/>
    <s v="Delhi"/>
    <n v="14.68"/>
    <d v="1900-02-12T00:00:00"/>
    <n v="276.58999999999997"/>
    <n v="1"/>
    <n v="276.58999999999997"/>
    <n v="3.4"/>
    <x v="2"/>
    <x v="3"/>
  </r>
  <r>
    <s v="TRIP03958"/>
    <x v="52"/>
    <x v="0"/>
    <s v="Delhi"/>
    <n v="12.29"/>
    <d v="1900-01-24T06:57:36"/>
    <n v="237.32"/>
    <n v="1.5"/>
    <n v="355.98"/>
    <n v="4.8"/>
    <x v="3"/>
    <x v="1"/>
  </r>
  <r>
    <s v="TRIP03959"/>
    <x v="35"/>
    <x v="2"/>
    <s v="Mumbai"/>
    <n v="21.67"/>
    <d v="1900-02-15T16:48:00"/>
    <n v="313"/>
    <n v="1"/>
    <n v="313"/>
    <n v="4.2"/>
    <x v="2"/>
    <x v="3"/>
  </r>
  <r>
    <s v="TRIP03960"/>
    <x v="170"/>
    <x v="4"/>
    <s v="Mumbai"/>
    <n v="9.3800000000000008"/>
    <d v="1900-01-22T17:16:48"/>
    <n v="122.22"/>
    <n v="2"/>
    <n v="244.44"/>
    <n v="4.7"/>
    <x v="4"/>
    <x v="3"/>
  </r>
  <r>
    <s v="TRIP03961"/>
    <x v="309"/>
    <x v="1"/>
    <s v="Mumbai"/>
    <n v="25.1"/>
    <d v="1900-02-21T02:38:24"/>
    <n v="471.62"/>
    <n v="1.2"/>
    <n v="565.94000000000005"/>
    <n v="3.2"/>
    <x v="1"/>
    <x v="0"/>
  </r>
  <r>
    <s v="TRIP03962"/>
    <x v="51"/>
    <x v="0"/>
    <s v="Mumbai"/>
    <n v="23.2"/>
    <d v="1900-02-18T04:19:12"/>
    <n v="241.37"/>
    <n v="1.5"/>
    <n v="362.06"/>
    <n v="3"/>
    <x v="4"/>
    <x v="0"/>
  </r>
  <r>
    <s v="TRIP03963"/>
    <x v="20"/>
    <x v="4"/>
    <s v="Mumbai"/>
    <n v="16.13"/>
    <d v="1900-02-13T17:02:24"/>
    <n v="292.45"/>
    <n v="1"/>
    <n v="292.45"/>
    <n v="3.4"/>
    <x v="0"/>
    <x v="2"/>
  </r>
  <r>
    <s v="TRIP03964"/>
    <x v="17"/>
    <x v="4"/>
    <s v="Bangalore"/>
    <n v="24.52"/>
    <d v="1900-02-23T20:09:36"/>
    <n v="364.57"/>
    <n v="1"/>
    <n v="364.57"/>
    <n v="4.5"/>
    <x v="4"/>
    <x v="1"/>
  </r>
  <r>
    <s v="TRIP03965"/>
    <x v="270"/>
    <x v="3"/>
    <s v="Mumbai"/>
    <n v="6.52"/>
    <d v="1900-01-13T15:21:36"/>
    <n v="74.25"/>
    <n v="1"/>
    <n v="74.25"/>
    <n v="4.9000000000000004"/>
    <x v="3"/>
    <x v="2"/>
  </r>
  <r>
    <s v="TRIP03966"/>
    <x v="55"/>
    <x v="0"/>
    <s v="Delhi"/>
    <n v="29.28"/>
    <d v="1900-04-02T01:55:12"/>
    <n v="445.84"/>
    <n v="1"/>
    <n v="445.84"/>
    <n v="3.8"/>
    <x v="2"/>
    <x v="2"/>
  </r>
  <r>
    <s v="TRIP03967"/>
    <x v="196"/>
    <x v="0"/>
    <s v="Bangalore"/>
    <n v="24.65"/>
    <d v="1900-03-21T04:33:36"/>
    <n v="288.7"/>
    <n v="1.5"/>
    <n v="433.05"/>
    <n v="4.7"/>
    <x v="0"/>
    <x v="0"/>
  </r>
  <r>
    <s v="TRIP03968"/>
    <x v="59"/>
    <x v="1"/>
    <s v="Chennai"/>
    <n v="2.88"/>
    <d v="1900-01-06T07:12:00"/>
    <n v="40.06"/>
    <n v="1"/>
    <n v="40.06"/>
    <n v="3.1"/>
    <x v="1"/>
    <x v="1"/>
  </r>
  <r>
    <s v="TRIP03969"/>
    <x v="132"/>
    <x v="3"/>
    <s v="Kolkata"/>
    <n v="17.62"/>
    <d v="1900-02-19T19:55:12"/>
    <n v="293.77999999999997"/>
    <n v="1.5"/>
    <n v="440.67"/>
    <n v="3.5"/>
    <x v="2"/>
    <x v="0"/>
  </r>
  <r>
    <s v="TRIP03970"/>
    <x v="294"/>
    <x v="1"/>
    <s v="Bangalore"/>
    <n v="17.88"/>
    <d v="1900-03-06T01:40:48"/>
    <n v="291.81"/>
    <n v="1.2"/>
    <n v="350.17"/>
    <n v="4.0999999999999996"/>
    <x v="1"/>
    <x v="0"/>
  </r>
  <r>
    <s v="TRIP03971"/>
    <x v="152"/>
    <x v="0"/>
    <s v="Bangalore"/>
    <n v="22.27"/>
    <d v="1900-03-17T10:19:12"/>
    <n v="442.51"/>
    <n v="2"/>
    <n v="885.02"/>
    <n v="4.4000000000000004"/>
    <x v="1"/>
    <x v="1"/>
  </r>
  <r>
    <s v="TRIP03972"/>
    <x v="66"/>
    <x v="3"/>
    <s v="Kolkata"/>
    <n v="2.58"/>
    <d v="1900-01-07T01:55:12"/>
    <n v="49.53"/>
    <n v="1"/>
    <n v="49.53"/>
    <n v="4.3"/>
    <x v="0"/>
    <x v="1"/>
  </r>
  <r>
    <s v="TRIP03973"/>
    <x v="25"/>
    <x v="1"/>
    <s v="Mumbai"/>
    <n v="11.16"/>
    <d v="1900-02-08T00:00:00"/>
    <n v="121.05"/>
    <n v="1.2"/>
    <n v="145.26"/>
    <n v="4.5"/>
    <x v="1"/>
    <x v="1"/>
  </r>
  <r>
    <s v="TRIP03974"/>
    <x v="44"/>
    <x v="0"/>
    <s v="Delhi"/>
    <n v="13.63"/>
    <d v="1900-02-21T14:09:36"/>
    <n v="162.9"/>
    <n v="1.2"/>
    <n v="195.48"/>
    <n v="4.8"/>
    <x v="2"/>
    <x v="0"/>
  </r>
  <r>
    <s v="TRIP03975"/>
    <x v="28"/>
    <x v="4"/>
    <s v="Delhi"/>
    <n v="17.75"/>
    <d v="1900-02-14T01:26:24"/>
    <n v="273.66000000000003"/>
    <n v="1.2"/>
    <n v="328.39"/>
    <n v="3.2"/>
    <x v="0"/>
    <x v="0"/>
  </r>
  <r>
    <s v="TRIP03976"/>
    <x v="8"/>
    <x v="2"/>
    <s v="Kolkata"/>
    <n v="9.9700000000000006"/>
    <d v="1900-01-28T13:40:48"/>
    <n v="151.08000000000001"/>
    <n v="2"/>
    <n v="302.16000000000003"/>
    <n v="3.9"/>
    <x v="4"/>
    <x v="3"/>
  </r>
  <r>
    <s v="TRIP03977"/>
    <x v="118"/>
    <x v="0"/>
    <s v="Mumbai"/>
    <n v="29.92"/>
    <d v="1900-03-17T07:26:24"/>
    <n v="487.94"/>
    <n v="1"/>
    <n v="487.94"/>
    <n v="3.1"/>
    <x v="4"/>
    <x v="3"/>
  </r>
  <r>
    <s v="TRIP03978"/>
    <x v="196"/>
    <x v="3"/>
    <s v="Bangalore"/>
    <n v="13.96"/>
    <d v="1900-02-10T17:31:12"/>
    <n v="215.53"/>
    <n v="1.2"/>
    <n v="258.64"/>
    <n v="4"/>
    <x v="1"/>
    <x v="0"/>
  </r>
  <r>
    <s v="TRIP03979"/>
    <x v="197"/>
    <x v="0"/>
    <s v="Chennai"/>
    <n v="17.11"/>
    <d v="1900-02-11T11:16:48"/>
    <n v="331.49"/>
    <n v="1.2"/>
    <n v="397.79"/>
    <n v="3.7"/>
    <x v="0"/>
    <x v="3"/>
  </r>
  <r>
    <s v="TRIP03980"/>
    <x v="37"/>
    <x v="3"/>
    <s v="Kolkata"/>
    <n v="12.06"/>
    <d v="1900-02-04T17:16:48"/>
    <n v="155.76"/>
    <n v="1.2"/>
    <n v="186.91"/>
    <n v="3.4"/>
    <x v="0"/>
    <x v="0"/>
  </r>
  <r>
    <s v="TRIP03981"/>
    <x v="28"/>
    <x v="3"/>
    <s v="Delhi"/>
    <n v="22.17"/>
    <d v="1900-03-15T20:38:24"/>
    <n v="366.77"/>
    <n v="1.5"/>
    <n v="550.16"/>
    <n v="4.3"/>
    <x v="2"/>
    <x v="0"/>
  </r>
  <r>
    <s v="TRIP03982"/>
    <x v="87"/>
    <x v="3"/>
    <s v="Chennai"/>
    <n v="17.14"/>
    <d v="1900-02-25T18:14:24"/>
    <n v="173.29"/>
    <n v="1"/>
    <n v="173.29"/>
    <n v="3.9"/>
    <x v="1"/>
    <x v="2"/>
  </r>
  <r>
    <s v="TRIP03983"/>
    <x v="134"/>
    <x v="3"/>
    <s v="Chennai"/>
    <n v="1.59"/>
    <d v="1900-01-03T21:50:24"/>
    <n v="30.32"/>
    <n v="1"/>
    <n v="30.32"/>
    <n v="4"/>
    <x v="2"/>
    <x v="2"/>
  </r>
  <r>
    <s v="TRIP03984"/>
    <x v="148"/>
    <x v="3"/>
    <s v="Kolkata"/>
    <n v="10.6"/>
    <d v="1900-01-27T18:00:00"/>
    <n v="110.44"/>
    <n v="2"/>
    <n v="220.88"/>
    <n v="4.2"/>
    <x v="2"/>
    <x v="0"/>
  </r>
  <r>
    <s v="TRIP03985"/>
    <x v="36"/>
    <x v="2"/>
    <s v="Kolkata"/>
    <n v="3.52"/>
    <d v="1900-01-09T08:24:00"/>
    <n v="61.67"/>
    <n v="1.5"/>
    <n v="92.5"/>
    <n v="3.2"/>
    <x v="3"/>
    <x v="0"/>
  </r>
  <r>
    <s v="TRIP03986"/>
    <x v="299"/>
    <x v="0"/>
    <s v="Chennai"/>
    <n v="28.01"/>
    <d v="1900-04-11T00:57:36"/>
    <n v="458.88"/>
    <n v="1.2"/>
    <n v="550.66"/>
    <n v="4.3"/>
    <x v="1"/>
    <x v="1"/>
  </r>
  <r>
    <s v="TRIP03987"/>
    <x v="149"/>
    <x v="2"/>
    <s v="Chennai"/>
    <n v="18.87"/>
    <d v="1900-02-10T02:24:00"/>
    <n v="347.7"/>
    <n v="2"/>
    <n v="695.4"/>
    <n v="4.0999999999999996"/>
    <x v="1"/>
    <x v="0"/>
  </r>
  <r>
    <s v="TRIP03988"/>
    <x v="22"/>
    <x v="3"/>
    <s v="Kolkata"/>
    <n v="14.16"/>
    <d v="1900-02-16T11:16:48"/>
    <n v="274.3"/>
    <n v="2"/>
    <n v="548.6"/>
    <n v="4.8"/>
    <x v="3"/>
    <x v="2"/>
  </r>
  <r>
    <s v="TRIP03989"/>
    <x v="118"/>
    <x v="3"/>
    <s v="Bangalore"/>
    <n v="7.03"/>
    <d v="1900-01-20T17:31:12"/>
    <n v="126.19"/>
    <n v="1"/>
    <n v="126.19"/>
    <n v="4"/>
    <x v="4"/>
    <x v="0"/>
  </r>
  <r>
    <s v="TRIP03990"/>
    <x v="161"/>
    <x v="0"/>
    <s v="Delhi"/>
    <n v="7.34"/>
    <d v="1900-01-26T11:16:48"/>
    <n v="77.290000000000006"/>
    <n v="2"/>
    <n v="154.58000000000001"/>
    <n v="3.3"/>
    <x v="0"/>
    <x v="2"/>
  </r>
  <r>
    <s v="TRIP03991"/>
    <x v="298"/>
    <x v="2"/>
    <s v="Delhi"/>
    <n v="10.14"/>
    <d v="1900-02-02T21:36:00"/>
    <n v="180.73"/>
    <n v="1.2"/>
    <n v="216.88"/>
    <n v="3.2"/>
    <x v="0"/>
    <x v="2"/>
  </r>
  <r>
    <s v="TRIP03992"/>
    <x v="98"/>
    <x v="1"/>
    <s v="Mumbai"/>
    <n v="20.89"/>
    <d v="1900-03-06T23:02:24"/>
    <n v="318.62"/>
    <n v="2"/>
    <n v="637.24"/>
    <n v="3.3"/>
    <x v="2"/>
    <x v="1"/>
  </r>
  <r>
    <s v="TRIP03993"/>
    <x v="335"/>
    <x v="0"/>
    <s v="Mumbai"/>
    <n v="9.18"/>
    <d v="1900-01-27T05:45:36"/>
    <n v="108.17"/>
    <n v="2"/>
    <n v="216.34"/>
    <n v="4"/>
    <x v="4"/>
    <x v="1"/>
  </r>
  <r>
    <s v="TRIP03994"/>
    <x v="82"/>
    <x v="3"/>
    <s v="Mumbai"/>
    <n v="14.86"/>
    <d v="1900-02-21T22:19:12"/>
    <n v="215.6"/>
    <n v="2"/>
    <n v="431.2"/>
    <n v="3"/>
    <x v="3"/>
    <x v="0"/>
  </r>
  <r>
    <s v="TRIP03995"/>
    <x v="128"/>
    <x v="2"/>
    <s v="Mumbai"/>
    <n v="11.61"/>
    <d v="1900-01-25T10:33:36"/>
    <n v="196.17"/>
    <n v="1.2"/>
    <n v="235.4"/>
    <n v="3.2"/>
    <x v="3"/>
    <x v="3"/>
  </r>
  <r>
    <s v="TRIP03996"/>
    <x v="191"/>
    <x v="3"/>
    <s v="Kolkata"/>
    <n v="20.59"/>
    <d v="1900-02-20T18:43:12"/>
    <n v="209.08"/>
    <n v="2"/>
    <n v="418.16"/>
    <n v="4.7"/>
    <x v="1"/>
    <x v="3"/>
  </r>
  <r>
    <s v="TRIP03997"/>
    <x v="286"/>
    <x v="4"/>
    <s v="Delhi"/>
    <n v="24.68"/>
    <d v="1900-03-12T07:55:12"/>
    <n v="473.46"/>
    <n v="2"/>
    <n v="946.92"/>
    <n v="3.6"/>
    <x v="1"/>
    <x v="0"/>
  </r>
  <r>
    <s v="TRIP03998"/>
    <x v="341"/>
    <x v="0"/>
    <s v="Delhi"/>
    <n v="25.52"/>
    <d v="1900-02-25T00:00:00"/>
    <n v="264.42"/>
    <n v="2"/>
    <n v="528.84"/>
    <n v="5"/>
    <x v="2"/>
    <x v="2"/>
  </r>
  <r>
    <s v="TRIP03999"/>
    <x v="220"/>
    <x v="0"/>
    <s v="Kolkata"/>
    <n v="12.76"/>
    <d v="1900-02-02T01:26:24"/>
    <n v="171.5"/>
    <n v="1.2"/>
    <n v="205.8"/>
    <n v="4.0999999999999996"/>
    <x v="0"/>
    <x v="3"/>
  </r>
  <r>
    <s v="TRIP04000"/>
    <x v="92"/>
    <x v="3"/>
    <s v="Kolkata"/>
    <n v="2.1"/>
    <d v="1900-01-06T21:21:36"/>
    <n v="27.23"/>
    <n v="1.2"/>
    <n v="32.68"/>
    <n v="4.3"/>
    <x v="4"/>
    <x v="1"/>
  </r>
  <r>
    <s v="TRIP04001"/>
    <x v="320"/>
    <x v="0"/>
    <s v="Mumbai"/>
    <n v="28.28"/>
    <d v="1900-04-11T10:33:36"/>
    <n v="345.19"/>
    <n v="2"/>
    <n v="690.38"/>
    <n v="4.5"/>
    <x v="3"/>
    <x v="2"/>
  </r>
  <r>
    <s v="TRIP04002"/>
    <x v="311"/>
    <x v="3"/>
    <s v="Delhi"/>
    <n v="20.329999999999998"/>
    <d v="1900-02-25T09:07:12"/>
    <n v="342.25"/>
    <n v="1.2"/>
    <n v="410.7"/>
    <n v="4.8"/>
    <x v="4"/>
    <x v="1"/>
  </r>
  <r>
    <s v="TRIP04003"/>
    <x v="325"/>
    <x v="2"/>
    <s v="Kolkata"/>
    <n v="14.52"/>
    <d v="1900-02-22T15:50:24"/>
    <n v="245.18"/>
    <n v="1.2"/>
    <n v="294.22000000000003"/>
    <n v="4.5"/>
    <x v="4"/>
    <x v="0"/>
  </r>
  <r>
    <s v="TRIP04004"/>
    <x v="240"/>
    <x v="0"/>
    <s v="Mumbai"/>
    <n v="13.44"/>
    <d v="1900-02-20T16:04:48"/>
    <n v="157.96"/>
    <n v="1"/>
    <n v="157.96"/>
    <n v="3.9"/>
    <x v="4"/>
    <x v="3"/>
  </r>
  <r>
    <s v="TRIP04005"/>
    <x v="18"/>
    <x v="3"/>
    <s v="Bangalore"/>
    <n v="27"/>
    <d v="1900-04-10T01:40:48"/>
    <n v="407.96"/>
    <n v="1.5"/>
    <n v="611.94000000000005"/>
    <n v="3.4"/>
    <x v="4"/>
    <x v="1"/>
  </r>
  <r>
    <s v="TRIP04006"/>
    <x v="280"/>
    <x v="4"/>
    <s v="Chennai"/>
    <n v="3.01"/>
    <d v="1900-01-08T14:38:24"/>
    <n v="30.51"/>
    <n v="1.5"/>
    <n v="45.76"/>
    <n v="4.5"/>
    <x v="1"/>
    <x v="1"/>
  </r>
  <r>
    <s v="TRIP04007"/>
    <x v="299"/>
    <x v="4"/>
    <s v="Mumbai"/>
    <n v="9.69"/>
    <d v="1900-01-31T17:45:36"/>
    <n v="138.01"/>
    <n v="2"/>
    <n v="276.02"/>
    <n v="4.3"/>
    <x v="3"/>
    <x v="0"/>
  </r>
  <r>
    <s v="TRIP04008"/>
    <x v="9"/>
    <x v="0"/>
    <s v="Delhi"/>
    <n v="26.27"/>
    <d v="1900-02-24T03:21:36"/>
    <n v="359.47"/>
    <n v="2"/>
    <n v="718.94"/>
    <n v="4.8"/>
    <x v="0"/>
    <x v="0"/>
  </r>
  <r>
    <s v="TRIP04009"/>
    <x v="287"/>
    <x v="4"/>
    <s v="Kolkata"/>
    <n v="26.83"/>
    <d v="1900-03-13T18:28:48"/>
    <n v="319.14999999999998"/>
    <n v="2"/>
    <n v="638.29999999999995"/>
    <n v="4.3"/>
    <x v="0"/>
    <x v="1"/>
  </r>
  <r>
    <s v="TRIP04010"/>
    <x v="84"/>
    <x v="4"/>
    <s v="Mumbai"/>
    <n v="5.98"/>
    <d v="1900-01-11T06:14:24"/>
    <n v="79.88"/>
    <n v="1.5"/>
    <n v="119.82"/>
    <n v="4.5999999999999996"/>
    <x v="3"/>
    <x v="2"/>
  </r>
  <r>
    <s v="TRIP04011"/>
    <x v="150"/>
    <x v="4"/>
    <s v="Kolkata"/>
    <n v="24.75"/>
    <d v="1900-04-02T10:19:12"/>
    <n v="383.41"/>
    <n v="1.5"/>
    <n v="575.12"/>
    <n v="3.3"/>
    <x v="2"/>
    <x v="0"/>
  </r>
  <r>
    <s v="TRIP04012"/>
    <x v="54"/>
    <x v="1"/>
    <s v="Kolkata"/>
    <n v="4.8899999999999997"/>
    <d v="1900-01-11T15:36:00"/>
    <n v="87.48"/>
    <n v="1.2"/>
    <n v="104.98"/>
    <n v="4.5999999999999996"/>
    <x v="1"/>
    <x v="0"/>
  </r>
  <r>
    <s v="TRIP04013"/>
    <x v="357"/>
    <x v="4"/>
    <s v="Kolkata"/>
    <n v="12.11"/>
    <d v="1900-02-08T08:24:00"/>
    <n v="143.01"/>
    <n v="1.5"/>
    <n v="214.52"/>
    <n v="5"/>
    <x v="4"/>
    <x v="0"/>
  </r>
  <r>
    <s v="TRIP04014"/>
    <x v="13"/>
    <x v="3"/>
    <s v="Kolkata"/>
    <n v="1.48"/>
    <d v="1900-01-03T10:19:12"/>
    <n v="23.9"/>
    <n v="2"/>
    <n v="47.8"/>
    <n v="3.7"/>
    <x v="0"/>
    <x v="1"/>
  </r>
  <r>
    <s v="TRIP04015"/>
    <x v="175"/>
    <x v="2"/>
    <s v="Bangalore"/>
    <n v="17.190000000000001"/>
    <d v="1900-02-10T01:26:24"/>
    <n v="333.86"/>
    <n v="2"/>
    <n v="667.72"/>
    <n v="3.9"/>
    <x v="0"/>
    <x v="3"/>
  </r>
  <r>
    <s v="TRIP04016"/>
    <x v="269"/>
    <x v="4"/>
    <s v="Kolkata"/>
    <n v="1.35"/>
    <d v="1900-01-02T14:24:00"/>
    <n v="18.809999999999999"/>
    <n v="1"/>
    <n v="18.809999999999999"/>
    <n v="3.1"/>
    <x v="0"/>
    <x v="2"/>
  </r>
  <r>
    <s v="TRIP04017"/>
    <x v="84"/>
    <x v="3"/>
    <s v="Kolkata"/>
    <n v="20.34"/>
    <d v="1900-03-19T02:38:24"/>
    <n v="389.31"/>
    <n v="1.2"/>
    <n v="467.17"/>
    <n v="4.3"/>
    <x v="0"/>
    <x v="3"/>
  </r>
  <r>
    <s v="TRIP04018"/>
    <x v="351"/>
    <x v="1"/>
    <s v="Kolkata"/>
    <n v="24.95"/>
    <d v="1900-03-31T14:38:24"/>
    <n v="456.48"/>
    <n v="2"/>
    <n v="912.96"/>
    <n v="3.3"/>
    <x v="0"/>
    <x v="1"/>
  </r>
  <r>
    <s v="TRIP04019"/>
    <x v="284"/>
    <x v="4"/>
    <s v="Delhi"/>
    <n v="29.51"/>
    <d v="1900-04-24T15:50:24"/>
    <n v="461.65"/>
    <n v="1.5"/>
    <n v="692.47"/>
    <n v="4.5999999999999996"/>
    <x v="2"/>
    <x v="2"/>
  </r>
  <r>
    <s v="TRIP04020"/>
    <x v="89"/>
    <x v="3"/>
    <s v="Chennai"/>
    <n v="16"/>
    <d v="1900-02-12T11:02:24"/>
    <n v="254.86"/>
    <n v="1.2"/>
    <n v="305.83"/>
    <n v="3.4"/>
    <x v="4"/>
    <x v="0"/>
  </r>
  <r>
    <s v="TRIP04021"/>
    <x v="204"/>
    <x v="2"/>
    <s v="Chennai"/>
    <n v="15.22"/>
    <d v="1900-02-23T21:21:36"/>
    <n v="276.02999999999997"/>
    <n v="2"/>
    <n v="552.05999999999995"/>
    <n v="4.5999999999999996"/>
    <x v="1"/>
    <x v="3"/>
  </r>
  <r>
    <s v="TRIP04022"/>
    <x v="38"/>
    <x v="3"/>
    <s v="Delhi"/>
    <n v="20.13"/>
    <d v="1900-02-18T16:33:36"/>
    <n v="333.66"/>
    <n v="1"/>
    <n v="333.66"/>
    <n v="4.9000000000000004"/>
    <x v="0"/>
    <x v="2"/>
  </r>
  <r>
    <s v="TRIP04023"/>
    <x v="38"/>
    <x v="3"/>
    <s v="Delhi"/>
    <n v="3.97"/>
    <d v="1900-01-09T04:19:12"/>
    <n v="43.21"/>
    <n v="2"/>
    <n v="86.42"/>
    <n v="4.9000000000000004"/>
    <x v="1"/>
    <x v="2"/>
  </r>
  <r>
    <s v="TRIP04024"/>
    <x v="45"/>
    <x v="2"/>
    <s v="Chennai"/>
    <n v="27.13"/>
    <d v="1900-04-15T23:02:24"/>
    <n v="518.05999999999995"/>
    <n v="1.5"/>
    <n v="777.09"/>
    <n v="4"/>
    <x v="0"/>
    <x v="2"/>
  </r>
  <r>
    <s v="TRIP04025"/>
    <x v="174"/>
    <x v="2"/>
    <s v="Bangalore"/>
    <n v="3.75"/>
    <d v="1900-01-13T01:55:12"/>
    <n v="38.67"/>
    <n v="1"/>
    <n v="38.67"/>
    <n v="4.8"/>
    <x v="3"/>
    <x v="2"/>
  </r>
  <r>
    <s v="TRIP04026"/>
    <x v="128"/>
    <x v="3"/>
    <s v="Chennai"/>
    <n v="13.17"/>
    <d v="1900-01-29T01:26:24"/>
    <n v="226.95"/>
    <n v="1"/>
    <n v="226.95"/>
    <n v="3.6"/>
    <x v="0"/>
    <x v="0"/>
  </r>
  <r>
    <s v="TRIP04027"/>
    <x v="296"/>
    <x v="2"/>
    <s v="Delhi"/>
    <n v="13.12"/>
    <d v="1900-01-26T23:31:12"/>
    <n v="172.52"/>
    <n v="1"/>
    <n v="172.52"/>
    <n v="4.5"/>
    <x v="3"/>
    <x v="1"/>
  </r>
  <r>
    <s v="TRIP04028"/>
    <x v="336"/>
    <x v="4"/>
    <s v="Mumbai"/>
    <n v="3.28"/>
    <d v="1900-01-10T23:16:48"/>
    <n v="50.76"/>
    <n v="1.2"/>
    <n v="60.91"/>
    <n v="3.5"/>
    <x v="3"/>
    <x v="1"/>
  </r>
  <r>
    <s v="TRIP04029"/>
    <x v="34"/>
    <x v="4"/>
    <s v="Kolkata"/>
    <n v="21.24"/>
    <d v="1900-02-11T22:19:12"/>
    <n v="374.4"/>
    <n v="2"/>
    <n v="748.8"/>
    <n v="3.7"/>
    <x v="3"/>
    <x v="3"/>
  </r>
  <r>
    <s v="TRIP04030"/>
    <x v="138"/>
    <x v="1"/>
    <s v="Chennai"/>
    <n v="12.18"/>
    <d v="1900-01-31T18:28:48"/>
    <n v="193.9"/>
    <n v="1.5"/>
    <n v="290.85000000000002"/>
    <n v="3.9"/>
    <x v="3"/>
    <x v="0"/>
  </r>
  <r>
    <s v="TRIP04031"/>
    <x v="110"/>
    <x v="2"/>
    <s v="Delhi"/>
    <n v="21.58"/>
    <d v="1900-03-18T04:48:00"/>
    <n v="261.5"/>
    <n v="1"/>
    <n v="261.5"/>
    <n v="3.4"/>
    <x v="2"/>
    <x v="2"/>
  </r>
  <r>
    <s v="TRIP04032"/>
    <x v="173"/>
    <x v="2"/>
    <s v="Kolkata"/>
    <n v="27.15"/>
    <d v="1900-03-03T04:33:36"/>
    <n v="363.04"/>
    <n v="1"/>
    <n v="363.04"/>
    <n v="3.3"/>
    <x v="4"/>
    <x v="0"/>
  </r>
  <r>
    <s v="TRIP04033"/>
    <x v="164"/>
    <x v="1"/>
    <s v="Kolkata"/>
    <n v="8.42"/>
    <d v="1900-01-28T16:48:00"/>
    <n v="144.02000000000001"/>
    <n v="2"/>
    <n v="288.04000000000002"/>
    <n v="3.4"/>
    <x v="0"/>
    <x v="0"/>
  </r>
  <r>
    <s v="TRIP04034"/>
    <x v="77"/>
    <x v="2"/>
    <s v="Bangalore"/>
    <n v="19.18"/>
    <d v="1900-03-04T15:21:36"/>
    <n v="215.62"/>
    <n v="1"/>
    <n v="215.62"/>
    <n v="4.4000000000000004"/>
    <x v="3"/>
    <x v="2"/>
  </r>
  <r>
    <s v="TRIP04035"/>
    <x v="298"/>
    <x v="3"/>
    <s v="Bangalore"/>
    <n v="2.46"/>
    <d v="1900-01-04T02:24:00"/>
    <n v="46.59"/>
    <n v="1"/>
    <n v="46.59"/>
    <n v="4.5999999999999996"/>
    <x v="3"/>
    <x v="2"/>
  </r>
  <r>
    <s v="TRIP04036"/>
    <x v="85"/>
    <x v="4"/>
    <s v="Chennai"/>
    <n v="11.37"/>
    <d v="1900-02-09T17:45:36"/>
    <n v="128.32"/>
    <n v="1"/>
    <n v="128.32"/>
    <n v="3.6"/>
    <x v="1"/>
    <x v="1"/>
  </r>
  <r>
    <s v="TRIP04037"/>
    <x v="176"/>
    <x v="3"/>
    <s v="Mumbai"/>
    <n v="29.48"/>
    <d v="1900-04-14T23:02:24"/>
    <n v="523.95000000000005"/>
    <n v="1.5"/>
    <n v="785.92"/>
    <n v="3.4"/>
    <x v="3"/>
    <x v="2"/>
  </r>
  <r>
    <s v="TRIP04038"/>
    <x v="331"/>
    <x v="4"/>
    <s v="Mumbai"/>
    <n v="6.91"/>
    <d v="1900-01-23T08:52:48"/>
    <n v="85.78"/>
    <n v="2"/>
    <n v="171.56"/>
    <n v="4.8"/>
    <x v="2"/>
    <x v="0"/>
  </r>
  <r>
    <s v="TRIP04039"/>
    <x v="316"/>
    <x v="3"/>
    <s v="Delhi"/>
    <n v="29.6"/>
    <d v="1900-04-27T09:21:36"/>
    <n v="553.38"/>
    <n v="1.2"/>
    <n v="664.06"/>
    <n v="3.3"/>
    <x v="2"/>
    <x v="1"/>
  </r>
  <r>
    <s v="TRIP04040"/>
    <x v="75"/>
    <x v="0"/>
    <s v="Chennai"/>
    <n v="22.85"/>
    <d v="1900-03-29T10:04:48"/>
    <n v="233.84"/>
    <n v="1.5"/>
    <n v="350.76"/>
    <n v="4.8"/>
    <x v="4"/>
    <x v="1"/>
  </r>
  <r>
    <s v="TRIP04041"/>
    <x v="189"/>
    <x v="2"/>
    <s v="Mumbai"/>
    <n v="17.18"/>
    <d v="1900-02-18T09:21:36"/>
    <n v="270.72000000000003"/>
    <n v="2"/>
    <n v="541.44000000000005"/>
    <n v="4.0999999999999996"/>
    <x v="0"/>
    <x v="1"/>
  </r>
  <r>
    <s v="TRIP04042"/>
    <x v="47"/>
    <x v="2"/>
    <s v="Mumbai"/>
    <n v="17.010000000000002"/>
    <d v="1900-03-02T19:26:24"/>
    <n v="224.5"/>
    <n v="2"/>
    <n v="449"/>
    <n v="3.2"/>
    <x v="0"/>
    <x v="3"/>
  </r>
  <r>
    <s v="TRIP04043"/>
    <x v="44"/>
    <x v="2"/>
    <s v="Bangalore"/>
    <n v="9.08"/>
    <d v="1900-01-24T01:26:24"/>
    <n v="145.13999999999999"/>
    <n v="1"/>
    <n v="145.13999999999999"/>
    <n v="3.8"/>
    <x v="0"/>
    <x v="0"/>
  </r>
  <r>
    <s v="TRIP04044"/>
    <x v="16"/>
    <x v="3"/>
    <s v="Chennai"/>
    <n v="11.2"/>
    <d v="1900-01-28T11:16:48"/>
    <n v="180.5"/>
    <n v="1"/>
    <n v="180.5"/>
    <n v="3"/>
    <x v="2"/>
    <x v="3"/>
  </r>
  <r>
    <s v="TRIP04045"/>
    <x v="163"/>
    <x v="1"/>
    <s v="Delhi"/>
    <n v="5.05"/>
    <d v="1900-01-15T19:12:00"/>
    <n v="89.67"/>
    <n v="1"/>
    <n v="89.67"/>
    <n v="3.5"/>
    <x v="2"/>
    <x v="1"/>
  </r>
  <r>
    <s v="TRIP04046"/>
    <x v="13"/>
    <x v="1"/>
    <s v="Kolkata"/>
    <n v="29.28"/>
    <d v="1900-03-12T10:19:12"/>
    <n v="476.64"/>
    <n v="1.2"/>
    <n v="571.97"/>
    <n v="4.5999999999999996"/>
    <x v="2"/>
    <x v="2"/>
  </r>
  <r>
    <s v="TRIP04047"/>
    <x v="275"/>
    <x v="0"/>
    <s v="Bangalore"/>
    <n v="18.52"/>
    <d v="1900-02-14T15:21:36"/>
    <n v="340.15"/>
    <n v="1"/>
    <n v="340.15"/>
    <n v="5"/>
    <x v="2"/>
    <x v="2"/>
  </r>
  <r>
    <s v="TRIP04048"/>
    <x v="321"/>
    <x v="1"/>
    <s v="Delhi"/>
    <n v="17.690000000000001"/>
    <d v="1900-02-05T20:09:36"/>
    <n v="279.45"/>
    <n v="2"/>
    <n v="558.9"/>
    <n v="3.4"/>
    <x v="3"/>
    <x v="3"/>
  </r>
  <r>
    <s v="TRIP04049"/>
    <x v="11"/>
    <x v="0"/>
    <s v="Mumbai"/>
    <n v="4.38"/>
    <d v="1900-01-14T13:12:00"/>
    <n v="76.900000000000006"/>
    <n v="2"/>
    <n v="153.80000000000001"/>
    <n v="3.1"/>
    <x v="1"/>
    <x v="0"/>
  </r>
  <r>
    <s v="TRIP04050"/>
    <x v="27"/>
    <x v="2"/>
    <s v="Mumbai"/>
    <n v="19.5"/>
    <d v="1900-03-05T18:43:12"/>
    <n v="206.4"/>
    <n v="2"/>
    <n v="412.8"/>
    <n v="3.9"/>
    <x v="1"/>
    <x v="2"/>
  </r>
  <r>
    <s v="TRIP04051"/>
    <x v="212"/>
    <x v="1"/>
    <s v="Mumbai"/>
    <n v="2.92"/>
    <d v="1900-01-05T15:07:12"/>
    <n v="48.58"/>
    <n v="2"/>
    <n v="97.16"/>
    <n v="4.2"/>
    <x v="3"/>
    <x v="0"/>
  </r>
  <r>
    <s v="TRIP04052"/>
    <x v="94"/>
    <x v="0"/>
    <s v="Kolkata"/>
    <n v="27.47"/>
    <d v="1900-02-23T19:12:00"/>
    <n v="451.23"/>
    <n v="1"/>
    <n v="451.23"/>
    <n v="5"/>
    <x v="1"/>
    <x v="3"/>
  </r>
  <r>
    <s v="TRIP04053"/>
    <x v="269"/>
    <x v="2"/>
    <s v="Mumbai"/>
    <n v="5.37"/>
    <d v="1900-01-14T06:43:12"/>
    <n v="96.79"/>
    <n v="2"/>
    <n v="193.58"/>
    <n v="3.3"/>
    <x v="4"/>
    <x v="3"/>
  </r>
  <r>
    <s v="TRIP04054"/>
    <x v="325"/>
    <x v="1"/>
    <s v="Mumbai"/>
    <n v="12.92"/>
    <d v="1900-01-30T21:36:00"/>
    <n v="195.64"/>
    <n v="1.5"/>
    <n v="293.45999999999998"/>
    <n v="3.1"/>
    <x v="0"/>
    <x v="3"/>
  </r>
  <r>
    <s v="TRIP04055"/>
    <x v="349"/>
    <x v="2"/>
    <s v="Bangalore"/>
    <n v="25.55"/>
    <d v="1900-03-08T09:36:00"/>
    <n v="458.23"/>
    <n v="2"/>
    <n v="916.46"/>
    <n v="3.4"/>
    <x v="2"/>
    <x v="2"/>
  </r>
  <r>
    <s v="TRIP04056"/>
    <x v="47"/>
    <x v="1"/>
    <s v="Mumbai"/>
    <n v="28.5"/>
    <d v="1900-02-25T18:43:12"/>
    <n v="410.5"/>
    <n v="1.5"/>
    <n v="615.75"/>
    <n v="3.7"/>
    <x v="1"/>
    <x v="3"/>
  </r>
  <r>
    <s v="TRIP04057"/>
    <x v="325"/>
    <x v="1"/>
    <s v="Delhi"/>
    <n v="6.11"/>
    <d v="1900-01-23T02:24:00"/>
    <n v="98.69"/>
    <n v="2"/>
    <n v="197.38"/>
    <n v="3.2"/>
    <x v="3"/>
    <x v="1"/>
  </r>
  <r>
    <s v="TRIP04058"/>
    <x v="19"/>
    <x v="0"/>
    <s v="Bangalore"/>
    <n v="6.37"/>
    <d v="1900-01-12T05:45:36"/>
    <n v="73.790000000000006"/>
    <n v="1"/>
    <n v="73.790000000000006"/>
    <n v="4.2"/>
    <x v="4"/>
    <x v="3"/>
  </r>
  <r>
    <s v="TRIP04059"/>
    <x v="178"/>
    <x v="4"/>
    <s v="Mumbai"/>
    <n v="2.48"/>
    <d v="1900-01-06T10:19:12"/>
    <n v="33.049999999999997"/>
    <n v="1.5"/>
    <n v="49.58"/>
    <n v="4.9000000000000004"/>
    <x v="1"/>
    <x v="1"/>
  </r>
  <r>
    <s v="TRIP04060"/>
    <x v="325"/>
    <x v="0"/>
    <s v="Bangalore"/>
    <n v="2.0099999999999998"/>
    <d v="1900-01-04T17:45:36"/>
    <n v="36.409999999999997"/>
    <n v="1.5"/>
    <n v="54.61"/>
    <n v="4.0999999999999996"/>
    <x v="3"/>
    <x v="0"/>
  </r>
  <r>
    <s v="TRIP04061"/>
    <x v="235"/>
    <x v="0"/>
    <s v="Chennai"/>
    <n v="6.18"/>
    <d v="1900-01-14T03:50:24"/>
    <n v="87.95"/>
    <n v="2"/>
    <n v="175.9"/>
    <n v="3.2"/>
    <x v="1"/>
    <x v="1"/>
  </r>
  <r>
    <s v="TRIP04062"/>
    <x v="283"/>
    <x v="0"/>
    <s v="Kolkata"/>
    <n v="17.93"/>
    <d v="1900-02-17T14:38:24"/>
    <n v="204.97"/>
    <n v="2"/>
    <n v="409.94"/>
    <n v="3.4"/>
    <x v="0"/>
    <x v="2"/>
  </r>
  <r>
    <s v="TRIP04063"/>
    <x v="355"/>
    <x v="3"/>
    <s v="Kolkata"/>
    <n v="26.06"/>
    <d v="1900-04-01T13:12:00"/>
    <n v="310.19"/>
    <n v="1.2"/>
    <n v="372.23"/>
    <n v="3.2"/>
    <x v="0"/>
    <x v="2"/>
  </r>
  <r>
    <s v="TRIP04064"/>
    <x v="240"/>
    <x v="0"/>
    <s v="Chennai"/>
    <n v="12.95"/>
    <d v="1900-02-18T00:57:36"/>
    <n v="168.56"/>
    <n v="1.2"/>
    <n v="202.27"/>
    <n v="4.4000000000000004"/>
    <x v="3"/>
    <x v="0"/>
  </r>
  <r>
    <s v="TRIP04065"/>
    <x v="97"/>
    <x v="3"/>
    <s v="Kolkata"/>
    <n v="26.68"/>
    <d v="1900-03-30T19:40:48"/>
    <n v="455.8"/>
    <n v="1.2"/>
    <n v="546.96"/>
    <n v="3.1"/>
    <x v="2"/>
    <x v="0"/>
  </r>
  <r>
    <s v="TRIP04066"/>
    <x v="5"/>
    <x v="2"/>
    <s v="Mumbai"/>
    <n v="8.3800000000000008"/>
    <d v="1900-01-30T23:16:48"/>
    <n v="137.16"/>
    <n v="2"/>
    <n v="274.32"/>
    <n v="3"/>
    <x v="0"/>
    <x v="2"/>
  </r>
  <r>
    <s v="TRIP04067"/>
    <x v="361"/>
    <x v="4"/>
    <s v="Bangalore"/>
    <n v="26"/>
    <d v="1900-04-01T03:36:00"/>
    <n v="331.21"/>
    <n v="1"/>
    <n v="331.21"/>
    <n v="3.9"/>
    <x v="2"/>
    <x v="2"/>
  </r>
  <r>
    <s v="TRIP04068"/>
    <x v="332"/>
    <x v="1"/>
    <s v="Mumbai"/>
    <n v="18.55"/>
    <d v="1900-03-11T07:12:00"/>
    <n v="215.58"/>
    <n v="1"/>
    <n v="215.58"/>
    <n v="4.5"/>
    <x v="0"/>
    <x v="3"/>
  </r>
  <r>
    <s v="TRIP04069"/>
    <x v="193"/>
    <x v="0"/>
    <s v="Chennai"/>
    <n v="2.64"/>
    <d v="1900-01-07T18:57:36"/>
    <n v="32.76"/>
    <n v="1"/>
    <n v="32.76"/>
    <n v="4.7"/>
    <x v="1"/>
    <x v="3"/>
  </r>
  <r>
    <s v="TRIP04070"/>
    <x v="291"/>
    <x v="4"/>
    <s v="Chennai"/>
    <n v="14.51"/>
    <d v="1900-02-01T23:16:48"/>
    <n v="151.13"/>
    <n v="1"/>
    <n v="151.13"/>
    <n v="4.4000000000000004"/>
    <x v="1"/>
    <x v="0"/>
  </r>
  <r>
    <s v="TRIP04071"/>
    <x v="162"/>
    <x v="1"/>
    <s v="Delhi"/>
    <n v="1.82"/>
    <d v="1900-01-04T03:07:12"/>
    <n v="28.81"/>
    <n v="2"/>
    <n v="57.62"/>
    <n v="3.7"/>
    <x v="1"/>
    <x v="3"/>
  </r>
  <r>
    <s v="TRIP04072"/>
    <x v="231"/>
    <x v="2"/>
    <s v="Kolkata"/>
    <n v="18.71"/>
    <d v="1900-02-09T13:40:48"/>
    <n v="314.81"/>
    <n v="1.5"/>
    <n v="472.22"/>
    <n v="4.9000000000000004"/>
    <x v="0"/>
    <x v="2"/>
  </r>
  <r>
    <s v="TRIP04073"/>
    <x v="183"/>
    <x v="4"/>
    <s v="Chennai"/>
    <n v="26.28"/>
    <d v="1900-03-08T10:33:36"/>
    <n v="460.11"/>
    <n v="1.2"/>
    <n v="552.13"/>
    <n v="4.5999999999999996"/>
    <x v="3"/>
    <x v="0"/>
  </r>
  <r>
    <s v="TRIP04074"/>
    <x v="339"/>
    <x v="0"/>
    <s v="Kolkata"/>
    <n v="21.02"/>
    <d v="1900-03-07T00:28:48"/>
    <n v="240.53"/>
    <n v="1.2"/>
    <n v="288.64"/>
    <n v="3.2"/>
    <x v="0"/>
    <x v="3"/>
  </r>
  <r>
    <s v="TRIP04075"/>
    <x v="52"/>
    <x v="3"/>
    <s v="Mumbai"/>
    <n v="8.7100000000000009"/>
    <d v="1900-01-17T10:48:00"/>
    <n v="153.86000000000001"/>
    <n v="2"/>
    <n v="307.72000000000003"/>
    <n v="4.5"/>
    <x v="3"/>
    <x v="1"/>
  </r>
  <r>
    <s v="TRIP04076"/>
    <x v="136"/>
    <x v="2"/>
    <s v="Delhi"/>
    <n v="14.51"/>
    <d v="1900-02-12T12:28:48"/>
    <n v="180.25"/>
    <n v="2"/>
    <n v="360.5"/>
    <n v="3.8"/>
    <x v="3"/>
    <x v="2"/>
  </r>
  <r>
    <s v="TRIP04077"/>
    <x v="246"/>
    <x v="1"/>
    <s v="Bangalore"/>
    <n v="24.15"/>
    <d v="1900-03-25T20:24:00"/>
    <n v="353.4"/>
    <n v="1.5"/>
    <n v="530.1"/>
    <n v="4"/>
    <x v="0"/>
    <x v="1"/>
  </r>
  <r>
    <s v="TRIP04078"/>
    <x v="138"/>
    <x v="2"/>
    <s v="Bangalore"/>
    <n v="10.52"/>
    <d v="1900-01-24T18:28:48"/>
    <n v="154.04"/>
    <n v="2"/>
    <n v="308.08"/>
    <n v="3.3"/>
    <x v="4"/>
    <x v="3"/>
  </r>
  <r>
    <s v="TRIP04079"/>
    <x v="332"/>
    <x v="4"/>
    <s v="Kolkata"/>
    <n v="17.71"/>
    <d v="1900-02-24T11:31:12"/>
    <n v="268.3"/>
    <n v="1.2"/>
    <n v="321.95999999999998"/>
    <n v="3.2"/>
    <x v="0"/>
    <x v="2"/>
  </r>
  <r>
    <s v="TRIP04080"/>
    <x v="130"/>
    <x v="4"/>
    <s v="Mumbai"/>
    <n v="6.01"/>
    <d v="1900-01-20T01:12:00"/>
    <n v="107.66"/>
    <n v="2"/>
    <n v="215.32"/>
    <n v="3.2"/>
    <x v="3"/>
    <x v="3"/>
  </r>
  <r>
    <s v="TRIP04081"/>
    <x v="237"/>
    <x v="0"/>
    <s v="Chennai"/>
    <n v="15.15"/>
    <d v="1900-02-17T08:38:24"/>
    <n v="248.79"/>
    <n v="1"/>
    <n v="248.79"/>
    <n v="4.4000000000000004"/>
    <x v="3"/>
    <x v="2"/>
  </r>
  <r>
    <s v="TRIP04082"/>
    <x v="61"/>
    <x v="3"/>
    <s v="Mumbai"/>
    <n v="22.8"/>
    <d v="1900-03-12T03:07:12"/>
    <n v="255.06"/>
    <n v="2"/>
    <n v="510.12"/>
    <n v="4"/>
    <x v="0"/>
    <x v="1"/>
  </r>
  <r>
    <s v="TRIP04083"/>
    <x v="211"/>
    <x v="3"/>
    <s v="Bangalore"/>
    <n v="16.91"/>
    <d v="1900-02-04T21:07:12"/>
    <n v="228.73"/>
    <n v="2"/>
    <n v="457.46"/>
    <n v="3.1"/>
    <x v="4"/>
    <x v="2"/>
  </r>
  <r>
    <s v="TRIP04084"/>
    <x v="60"/>
    <x v="4"/>
    <s v="Kolkata"/>
    <n v="27.29"/>
    <d v="1900-02-22T16:48:00"/>
    <n v="345.67"/>
    <n v="1"/>
    <n v="345.67"/>
    <n v="3.6"/>
    <x v="3"/>
    <x v="3"/>
  </r>
  <r>
    <s v="TRIP04085"/>
    <x v="321"/>
    <x v="3"/>
    <s v="Mumbai"/>
    <n v="1.3"/>
    <d v="1900-01-03T04:33:36"/>
    <n v="23.26"/>
    <n v="1"/>
    <n v="23.26"/>
    <n v="4.8"/>
    <x v="0"/>
    <x v="0"/>
  </r>
  <r>
    <s v="TRIP04086"/>
    <x v="105"/>
    <x v="4"/>
    <s v="Mumbai"/>
    <n v="11.47"/>
    <d v="1900-02-11T04:33:36"/>
    <n v="116.17"/>
    <n v="1.2"/>
    <n v="139.4"/>
    <n v="4.9000000000000004"/>
    <x v="3"/>
    <x v="1"/>
  </r>
  <r>
    <s v="TRIP04087"/>
    <x v="74"/>
    <x v="0"/>
    <s v="Delhi"/>
    <n v="10.57"/>
    <d v="1900-01-24T03:36:00"/>
    <n v="190.98"/>
    <n v="1.2"/>
    <n v="229.18"/>
    <n v="3.6"/>
    <x v="2"/>
    <x v="0"/>
  </r>
  <r>
    <s v="TRIP04088"/>
    <x v="273"/>
    <x v="2"/>
    <s v="Kolkata"/>
    <n v="9.14"/>
    <d v="1900-01-23T04:33:36"/>
    <n v="117.68"/>
    <n v="2"/>
    <n v="235.36"/>
    <n v="4.5999999999999996"/>
    <x v="0"/>
    <x v="2"/>
  </r>
  <r>
    <s v="TRIP04089"/>
    <x v="273"/>
    <x v="1"/>
    <s v="Mumbai"/>
    <n v="3.93"/>
    <d v="1900-01-13T03:36:00"/>
    <n v="44.03"/>
    <n v="1"/>
    <n v="44.03"/>
    <n v="3.1"/>
    <x v="2"/>
    <x v="2"/>
  </r>
  <r>
    <s v="TRIP04090"/>
    <x v="148"/>
    <x v="4"/>
    <s v="Delhi"/>
    <n v="2.29"/>
    <d v="1900-01-07T04:19:12"/>
    <n v="43.8"/>
    <n v="1.5"/>
    <n v="65.7"/>
    <n v="4.2"/>
    <x v="2"/>
    <x v="0"/>
  </r>
  <r>
    <s v="TRIP04091"/>
    <x v="247"/>
    <x v="3"/>
    <s v="Mumbai"/>
    <n v="21.49"/>
    <d v="1900-03-17T04:19:12"/>
    <n v="379.68"/>
    <n v="1.2"/>
    <n v="455.62"/>
    <n v="4.5"/>
    <x v="0"/>
    <x v="3"/>
  </r>
  <r>
    <s v="TRIP04092"/>
    <x v="244"/>
    <x v="4"/>
    <s v="Delhi"/>
    <n v="28.85"/>
    <d v="1900-03-17T12:28:48"/>
    <n v="568.49"/>
    <n v="2"/>
    <n v="1136.98"/>
    <n v="4.9000000000000004"/>
    <x v="1"/>
    <x v="2"/>
  </r>
  <r>
    <s v="TRIP04093"/>
    <x v="81"/>
    <x v="3"/>
    <s v="Bangalore"/>
    <n v="20.07"/>
    <d v="1900-03-12T21:21:36"/>
    <n v="279.82"/>
    <n v="2"/>
    <n v="559.64"/>
    <n v="4"/>
    <x v="2"/>
    <x v="2"/>
  </r>
  <r>
    <s v="TRIP04094"/>
    <x v="345"/>
    <x v="3"/>
    <s v="Mumbai"/>
    <n v="28.73"/>
    <d v="1900-04-02T08:52:48"/>
    <n v="341.43"/>
    <n v="1.2"/>
    <n v="409.72"/>
    <n v="4.3"/>
    <x v="2"/>
    <x v="1"/>
  </r>
  <r>
    <s v="TRIP04095"/>
    <x v="312"/>
    <x v="2"/>
    <s v="Bangalore"/>
    <n v="1.39"/>
    <d v="1900-01-03T07:26:24"/>
    <n v="16.11"/>
    <n v="1.2"/>
    <n v="19.329999999999998"/>
    <n v="3.1"/>
    <x v="1"/>
    <x v="0"/>
  </r>
  <r>
    <s v="TRIP04096"/>
    <x v="356"/>
    <x v="3"/>
    <s v="Chennai"/>
    <n v="7.36"/>
    <d v="1900-01-25T09:07:12"/>
    <n v="98.05"/>
    <n v="2"/>
    <n v="196.1"/>
    <n v="4.2"/>
    <x v="2"/>
    <x v="2"/>
  </r>
  <r>
    <s v="TRIP04097"/>
    <x v="2"/>
    <x v="4"/>
    <s v="Kolkata"/>
    <n v="27.17"/>
    <d v="1900-03-31T17:45:36"/>
    <n v="288.48"/>
    <n v="2"/>
    <n v="576.96"/>
    <n v="4.7"/>
    <x v="3"/>
    <x v="3"/>
  </r>
  <r>
    <s v="TRIP04098"/>
    <x v="140"/>
    <x v="2"/>
    <s v="Delhi"/>
    <n v="26.72"/>
    <d v="1900-03-10T17:02:24"/>
    <n v="333.4"/>
    <n v="1"/>
    <n v="333.4"/>
    <n v="3.4"/>
    <x v="3"/>
    <x v="3"/>
  </r>
  <r>
    <s v="TRIP04099"/>
    <x v="276"/>
    <x v="1"/>
    <s v="Mumbai"/>
    <n v="5.33"/>
    <d v="1900-01-11T12:57:36"/>
    <n v="68.319999999999993"/>
    <n v="1.5"/>
    <n v="102.48"/>
    <n v="4.7"/>
    <x v="3"/>
    <x v="0"/>
  </r>
  <r>
    <s v="TRIP04100"/>
    <x v="205"/>
    <x v="4"/>
    <s v="Kolkata"/>
    <n v="1.54"/>
    <d v="1900-01-04T00:14:24"/>
    <n v="23.37"/>
    <n v="1.2"/>
    <n v="28.04"/>
    <n v="3.9"/>
    <x v="2"/>
    <x v="3"/>
  </r>
  <r>
    <s v="TRIP04101"/>
    <x v="241"/>
    <x v="0"/>
    <s v="Mumbai"/>
    <n v="20.43"/>
    <d v="1900-03-21T15:36:00"/>
    <n v="238.76"/>
    <n v="1.2"/>
    <n v="286.51"/>
    <n v="3.6"/>
    <x v="0"/>
    <x v="0"/>
  </r>
  <r>
    <s v="TRIP04102"/>
    <x v="244"/>
    <x v="0"/>
    <s v="Kolkata"/>
    <n v="8.81"/>
    <d v="1900-01-23T23:02:24"/>
    <n v="164.1"/>
    <n v="1.5"/>
    <n v="246.15"/>
    <n v="4.0999999999999996"/>
    <x v="2"/>
    <x v="3"/>
  </r>
  <r>
    <s v="TRIP04103"/>
    <x v="94"/>
    <x v="3"/>
    <s v="Delhi"/>
    <n v="14.42"/>
    <d v="1900-02-15T12:00:00"/>
    <n v="182.33"/>
    <n v="1.2"/>
    <n v="218.8"/>
    <n v="4.8"/>
    <x v="4"/>
    <x v="1"/>
  </r>
  <r>
    <s v="TRIP04104"/>
    <x v="26"/>
    <x v="2"/>
    <s v="Bangalore"/>
    <n v="4.18"/>
    <d v="1900-01-13T19:55:12"/>
    <n v="66.09"/>
    <n v="1.5"/>
    <n v="99.14"/>
    <n v="4.0999999999999996"/>
    <x v="0"/>
    <x v="0"/>
  </r>
  <r>
    <s v="TRIP04105"/>
    <x v="123"/>
    <x v="3"/>
    <s v="Bangalore"/>
    <n v="17.66"/>
    <d v="1900-02-03T18:43:12"/>
    <n v="260.52"/>
    <n v="1.5"/>
    <n v="390.78"/>
    <n v="4.5"/>
    <x v="4"/>
    <x v="3"/>
  </r>
  <r>
    <s v="TRIP04106"/>
    <x v="177"/>
    <x v="3"/>
    <s v="Chennai"/>
    <n v="25.12"/>
    <d v="1900-04-01T08:24:00"/>
    <n v="460.42"/>
    <n v="2"/>
    <n v="920.84"/>
    <n v="3"/>
    <x v="4"/>
    <x v="2"/>
  </r>
  <r>
    <s v="TRIP04107"/>
    <x v="330"/>
    <x v="3"/>
    <s v="Mumbai"/>
    <n v="1.42"/>
    <d v="1900-01-04T06:00:00"/>
    <n v="24.47"/>
    <n v="1.2"/>
    <n v="29.36"/>
    <n v="5"/>
    <x v="4"/>
    <x v="3"/>
  </r>
  <r>
    <s v="TRIP04108"/>
    <x v="10"/>
    <x v="3"/>
    <s v="Mumbai"/>
    <n v="3.74"/>
    <d v="1900-01-10T10:19:12"/>
    <n v="48.29"/>
    <n v="1"/>
    <n v="48.29"/>
    <n v="4.0999999999999996"/>
    <x v="4"/>
    <x v="2"/>
  </r>
  <r>
    <s v="TRIP04109"/>
    <x v="222"/>
    <x v="1"/>
    <s v="Delhi"/>
    <n v="26.88"/>
    <d v="1900-02-28T16:04:48"/>
    <n v="352.34"/>
    <n v="1.5"/>
    <n v="528.51"/>
    <n v="3.7"/>
    <x v="0"/>
    <x v="2"/>
  </r>
  <r>
    <s v="TRIP04110"/>
    <x v="167"/>
    <x v="3"/>
    <s v="Delhi"/>
    <n v="24.28"/>
    <d v="1900-03-25T10:33:36"/>
    <n v="419.25"/>
    <n v="1"/>
    <n v="419.25"/>
    <n v="3"/>
    <x v="0"/>
    <x v="0"/>
  </r>
  <r>
    <s v="TRIP04111"/>
    <x v="198"/>
    <x v="3"/>
    <s v="Mumbai"/>
    <n v="7.11"/>
    <d v="1900-01-23T18:28:48"/>
    <n v="81.59"/>
    <n v="1.5"/>
    <n v="122.38"/>
    <n v="3.4"/>
    <x v="1"/>
    <x v="1"/>
  </r>
  <r>
    <s v="TRIP04112"/>
    <x v="184"/>
    <x v="0"/>
    <s v="Chennai"/>
    <n v="5.65"/>
    <d v="1900-01-19T02:24:00"/>
    <n v="73.41"/>
    <n v="1.2"/>
    <n v="88.09"/>
    <n v="4.7"/>
    <x v="3"/>
    <x v="2"/>
  </r>
  <r>
    <s v="TRIP04113"/>
    <x v="87"/>
    <x v="1"/>
    <s v="Kolkata"/>
    <n v="12.9"/>
    <d v="1900-02-17T12:57:36"/>
    <n v="242.53"/>
    <n v="1.2"/>
    <n v="291.04000000000002"/>
    <n v="4.7"/>
    <x v="1"/>
    <x v="2"/>
  </r>
  <r>
    <s v="TRIP04114"/>
    <x v="304"/>
    <x v="0"/>
    <s v="Kolkata"/>
    <n v="8.76"/>
    <d v="1900-01-26T01:26:24"/>
    <n v="158.12"/>
    <n v="1.2"/>
    <n v="189.74"/>
    <n v="4.8"/>
    <x v="4"/>
    <x v="1"/>
  </r>
  <r>
    <s v="TRIP04115"/>
    <x v="330"/>
    <x v="3"/>
    <s v="Bangalore"/>
    <n v="14.79"/>
    <d v="1900-01-30T14:52:48"/>
    <n v="251.62"/>
    <n v="1.2"/>
    <n v="301.94"/>
    <n v="4.5999999999999996"/>
    <x v="3"/>
    <x v="1"/>
  </r>
  <r>
    <s v="TRIP04116"/>
    <x v="117"/>
    <x v="1"/>
    <s v="Mumbai"/>
    <n v="7.71"/>
    <d v="1900-01-20T02:09:36"/>
    <n v="116.2"/>
    <n v="1.2"/>
    <n v="139.44"/>
    <n v="3.8"/>
    <x v="4"/>
    <x v="3"/>
  </r>
  <r>
    <s v="TRIP04117"/>
    <x v="146"/>
    <x v="2"/>
    <s v="Kolkata"/>
    <n v="16.59"/>
    <d v="1900-02-07T12:43:12"/>
    <n v="208.48"/>
    <n v="1.5"/>
    <n v="312.72000000000003"/>
    <n v="4.4000000000000004"/>
    <x v="0"/>
    <x v="3"/>
  </r>
  <r>
    <s v="TRIP04118"/>
    <x v="191"/>
    <x v="3"/>
    <s v="Mumbai"/>
    <n v="11.49"/>
    <d v="1900-01-27T00:57:36"/>
    <n v="173.19"/>
    <n v="1"/>
    <n v="173.19"/>
    <n v="4.5"/>
    <x v="4"/>
    <x v="1"/>
  </r>
  <r>
    <s v="TRIP04119"/>
    <x v="282"/>
    <x v="2"/>
    <s v="Bangalore"/>
    <n v="9.5399999999999991"/>
    <d v="1900-02-03T23:45:36"/>
    <n v="142.87"/>
    <n v="1"/>
    <n v="142.87"/>
    <n v="3.5"/>
    <x v="3"/>
    <x v="3"/>
  </r>
  <r>
    <s v="TRIP04120"/>
    <x v="245"/>
    <x v="1"/>
    <s v="Delhi"/>
    <n v="1.53"/>
    <d v="1900-01-03T04:19:12"/>
    <n v="26.45"/>
    <n v="1.2"/>
    <n v="31.74"/>
    <n v="3.7"/>
    <x v="2"/>
    <x v="0"/>
  </r>
  <r>
    <s v="TRIP04121"/>
    <x v="96"/>
    <x v="4"/>
    <s v="Bangalore"/>
    <n v="19.809999999999999"/>
    <d v="1900-03-17T20:24:00"/>
    <n v="307.42"/>
    <n v="1.2"/>
    <n v="368.9"/>
    <n v="5"/>
    <x v="0"/>
    <x v="3"/>
  </r>
  <r>
    <s v="TRIP04122"/>
    <x v="211"/>
    <x v="3"/>
    <s v="Chennai"/>
    <n v="2.31"/>
    <d v="1900-01-06T06:28:48"/>
    <n v="27.29"/>
    <n v="1"/>
    <n v="27.29"/>
    <n v="3.4"/>
    <x v="3"/>
    <x v="2"/>
  </r>
  <r>
    <s v="TRIP04123"/>
    <x v="6"/>
    <x v="2"/>
    <s v="Kolkata"/>
    <n v="17.22"/>
    <d v="1900-02-25T08:24:00"/>
    <n v="333.56"/>
    <n v="2"/>
    <n v="667.12"/>
    <n v="4.2"/>
    <x v="1"/>
    <x v="3"/>
  </r>
  <r>
    <s v="TRIP04124"/>
    <x v="129"/>
    <x v="3"/>
    <s v="Bangalore"/>
    <n v="17.61"/>
    <d v="1900-03-08T19:12:00"/>
    <n v="305.66000000000003"/>
    <n v="1.2"/>
    <n v="366.79"/>
    <n v="4.5999999999999996"/>
    <x v="2"/>
    <x v="0"/>
  </r>
  <r>
    <s v="TRIP04125"/>
    <x v="283"/>
    <x v="1"/>
    <s v="Bangalore"/>
    <n v="10.35"/>
    <d v="1900-02-03T19:12:00"/>
    <n v="127.6"/>
    <n v="2"/>
    <n v="255.2"/>
    <n v="3.5"/>
    <x v="4"/>
    <x v="0"/>
  </r>
  <r>
    <s v="TRIP04126"/>
    <x v="362"/>
    <x v="2"/>
    <s v="Bangalore"/>
    <n v="1.55"/>
    <d v="1900-01-03T09:07:12"/>
    <n v="19.64"/>
    <n v="2"/>
    <n v="39.28"/>
    <n v="3.3"/>
    <x v="0"/>
    <x v="3"/>
  </r>
  <r>
    <s v="TRIP04127"/>
    <x v="263"/>
    <x v="1"/>
    <s v="Delhi"/>
    <n v="1.07"/>
    <d v="1900-01-02T22:04:48"/>
    <n v="13.51"/>
    <n v="1.5"/>
    <n v="20.260000000000002"/>
    <n v="3.3"/>
    <x v="2"/>
    <x v="2"/>
  </r>
  <r>
    <s v="TRIP04128"/>
    <x v="162"/>
    <x v="4"/>
    <s v="Bangalore"/>
    <n v="11.59"/>
    <d v="1900-01-23T13:26:24"/>
    <n v="212.11"/>
    <n v="1.5"/>
    <n v="318.17"/>
    <n v="3.2"/>
    <x v="2"/>
    <x v="1"/>
  </r>
  <r>
    <s v="TRIP04129"/>
    <x v="339"/>
    <x v="4"/>
    <s v="Mumbai"/>
    <n v="18.41"/>
    <d v="1900-02-22T13:55:12"/>
    <n v="220.67"/>
    <n v="1.5"/>
    <n v="331"/>
    <n v="4.9000000000000004"/>
    <x v="2"/>
    <x v="1"/>
  </r>
  <r>
    <s v="TRIP04130"/>
    <x v="236"/>
    <x v="1"/>
    <s v="Chennai"/>
    <n v="1.92"/>
    <d v="1900-01-06T14:09:36"/>
    <n v="23.01"/>
    <n v="2"/>
    <n v="46.02"/>
    <n v="3.1"/>
    <x v="3"/>
    <x v="0"/>
  </r>
  <r>
    <s v="TRIP04131"/>
    <x v="73"/>
    <x v="1"/>
    <s v="Mumbai"/>
    <n v="3.32"/>
    <d v="1900-01-09T15:21:36"/>
    <n v="61.44"/>
    <n v="1.5"/>
    <n v="92.16"/>
    <n v="4.2"/>
    <x v="0"/>
    <x v="2"/>
  </r>
  <r>
    <s v="TRIP04132"/>
    <x v="34"/>
    <x v="1"/>
    <s v="Kolkata"/>
    <n v="12.44"/>
    <d v="1900-01-27T20:24:00"/>
    <n v="146.31"/>
    <n v="1.5"/>
    <n v="219.46"/>
    <n v="4.2"/>
    <x v="1"/>
    <x v="2"/>
  </r>
  <r>
    <s v="TRIP04133"/>
    <x v="299"/>
    <x v="4"/>
    <s v="Bangalore"/>
    <n v="26.14"/>
    <d v="1900-03-20T17:31:12"/>
    <n v="271.61"/>
    <n v="2"/>
    <n v="543.22"/>
    <n v="5"/>
    <x v="4"/>
    <x v="2"/>
  </r>
  <r>
    <s v="TRIP04134"/>
    <x v="188"/>
    <x v="2"/>
    <s v="Mumbai"/>
    <n v="22.06"/>
    <d v="1900-03-05T16:33:36"/>
    <n v="410.33"/>
    <n v="2"/>
    <n v="820.66"/>
    <n v="4.7"/>
    <x v="3"/>
    <x v="1"/>
  </r>
  <r>
    <s v="TRIP04135"/>
    <x v="267"/>
    <x v="0"/>
    <s v="Delhi"/>
    <n v="25.55"/>
    <d v="1900-03-27T06:57:36"/>
    <n v="464.47"/>
    <n v="1.2"/>
    <n v="557.36"/>
    <n v="4.5999999999999996"/>
    <x v="3"/>
    <x v="0"/>
  </r>
  <r>
    <s v="TRIP04136"/>
    <x v="255"/>
    <x v="2"/>
    <s v="Chennai"/>
    <n v="11.78"/>
    <d v="1900-02-11T03:21:36"/>
    <n v="208.52"/>
    <n v="2"/>
    <n v="417.04"/>
    <n v="3.9"/>
    <x v="3"/>
    <x v="2"/>
  </r>
  <r>
    <s v="TRIP04137"/>
    <x v="37"/>
    <x v="1"/>
    <s v="Mumbai"/>
    <n v="4.5599999999999996"/>
    <d v="1900-01-11T01:26:24"/>
    <n v="84.45"/>
    <n v="1.5"/>
    <n v="126.68"/>
    <n v="3.4"/>
    <x v="1"/>
    <x v="3"/>
  </r>
  <r>
    <s v="TRIP04138"/>
    <x v="34"/>
    <x v="0"/>
    <s v="Chennai"/>
    <n v="6.08"/>
    <d v="1900-01-16T07:40:48"/>
    <n v="67.78"/>
    <n v="1.5"/>
    <n v="101.67"/>
    <n v="3.4"/>
    <x v="2"/>
    <x v="3"/>
  </r>
  <r>
    <s v="TRIP04139"/>
    <x v="323"/>
    <x v="3"/>
    <s v="Kolkata"/>
    <n v="7.19"/>
    <d v="1900-01-20T04:48:00"/>
    <n v="133.97"/>
    <n v="1"/>
    <n v="133.97"/>
    <n v="4.4000000000000004"/>
    <x v="4"/>
    <x v="1"/>
  </r>
  <r>
    <s v="TRIP04140"/>
    <x v="332"/>
    <x v="0"/>
    <s v="Bangalore"/>
    <n v="19.91"/>
    <d v="1900-02-09T22:48:00"/>
    <n v="394.21"/>
    <n v="1.5"/>
    <n v="591.30999999999995"/>
    <n v="3.9"/>
    <x v="0"/>
    <x v="2"/>
  </r>
  <r>
    <s v="TRIP04141"/>
    <x v="283"/>
    <x v="1"/>
    <s v="Delhi"/>
    <n v="13.47"/>
    <d v="1900-02-10T09:07:12"/>
    <n v="146.91"/>
    <n v="1"/>
    <n v="146.91"/>
    <n v="3.1"/>
    <x v="0"/>
    <x v="3"/>
  </r>
  <r>
    <s v="TRIP04142"/>
    <x v="206"/>
    <x v="1"/>
    <s v="Mumbai"/>
    <n v="28.56"/>
    <d v="1900-04-14T18:57:36"/>
    <n v="415.3"/>
    <n v="1.5"/>
    <n v="622.95000000000005"/>
    <n v="4.3"/>
    <x v="4"/>
    <x v="1"/>
  </r>
  <r>
    <s v="TRIP04143"/>
    <x v="124"/>
    <x v="2"/>
    <s v="Bangalore"/>
    <n v="23.96"/>
    <d v="1900-02-24T19:12:00"/>
    <n v="434.96"/>
    <n v="2"/>
    <n v="869.92"/>
    <n v="3.1"/>
    <x v="0"/>
    <x v="0"/>
  </r>
  <r>
    <s v="TRIP04144"/>
    <x v="199"/>
    <x v="4"/>
    <s v="Delhi"/>
    <n v="26.96"/>
    <d v="1900-03-25T01:55:12"/>
    <n v="446.52"/>
    <n v="1.5"/>
    <n v="669.78"/>
    <n v="4.7"/>
    <x v="0"/>
    <x v="2"/>
  </r>
  <r>
    <s v="TRIP04145"/>
    <x v="173"/>
    <x v="4"/>
    <s v="Kolkata"/>
    <n v="16.809999999999999"/>
    <d v="1900-02-15T18:43:12"/>
    <n v="257.91000000000003"/>
    <n v="1.5"/>
    <n v="386.86"/>
    <n v="4.7"/>
    <x v="3"/>
    <x v="0"/>
  </r>
  <r>
    <s v="TRIP04146"/>
    <x v="62"/>
    <x v="3"/>
    <s v="Bangalore"/>
    <n v="3.19"/>
    <d v="1900-01-05T16:33:36"/>
    <n v="58.62"/>
    <n v="2"/>
    <n v="117.24"/>
    <n v="4.5"/>
    <x v="1"/>
    <x v="3"/>
  </r>
  <r>
    <s v="TRIP04147"/>
    <x v="68"/>
    <x v="4"/>
    <s v="Mumbai"/>
    <n v="10.07"/>
    <d v="1900-01-27T03:36:00"/>
    <n v="171.21"/>
    <n v="1.5"/>
    <n v="256.82"/>
    <n v="3"/>
    <x v="4"/>
    <x v="3"/>
  </r>
  <r>
    <s v="TRIP04148"/>
    <x v="348"/>
    <x v="0"/>
    <s v="Chennai"/>
    <n v="25.98"/>
    <d v="1900-04-02T03:50:24"/>
    <n v="341.78"/>
    <n v="1.5"/>
    <n v="512.66999999999996"/>
    <n v="4.8"/>
    <x v="1"/>
    <x v="2"/>
  </r>
  <r>
    <s v="TRIP04149"/>
    <x v="142"/>
    <x v="2"/>
    <s v="Kolkata"/>
    <n v="16.13"/>
    <d v="1900-02-05T04:19:12"/>
    <n v="283.68"/>
    <n v="1"/>
    <n v="283.68"/>
    <n v="4.0999999999999996"/>
    <x v="4"/>
    <x v="0"/>
  </r>
  <r>
    <s v="TRIP04150"/>
    <x v="55"/>
    <x v="0"/>
    <s v="Delhi"/>
    <n v="4.3899999999999997"/>
    <d v="1900-01-15T01:55:12"/>
    <n v="73.5"/>
    <n v="1"/>
    <n v="73.5"/>
    <n v="4"/>
    <x v="4"/>
    <x v="3"/>
  </r>
  <r>
    <s v="TRIP04151"/>
    <x v="125"/>
    <x v="1"/>
    <s v="Kolkata"/>
    <n v="24.5"/>
    <d v="1900-03-17T22:48:00"/>
    <n v="349.05"/>
    <n v="1"/>
    <n v="349.05"/>
    <n v="3.2"/>
    <x v="2"/>
    <x v="0"/>
  </r>
  <r>
    <s v="TRIP04152"/>
    <x v="358"/>
    <x v="4"/>
    <s v="Mumbai"/>
    <n v="19.559999999999999"/>
    <d v="1900-03-16T22:48:00"/>
    <n v="230.54"/>
    <n v="1.2"/>
    <n v="276.64999999999998"/>
    <n v="4.8"/>
    <x v="0"/>
    <x v="0"/>
  </r>
  <r>
    <s v="TRIP04153"/>
    <x v="343"/>
    <x v="4"/>
    <s v="Mumbai"/>
    <n v="7.09"/>
    <d v="1900-01-22T16:04:48"/>
    <n v="135.84"/>
    <n v="1"/>
    <n v="135.84"/>
    <n v="4"/>
    <x v="0"/>
    <x v="1"/>
  </r>
  <r>
    <s v="TRIP04154"/>
    <x v="299"/>
    <x v="3"/>
    <s v="Bangalore"/>
    <n v="10.26"/>
    <d v="1900-01-27T13:12:00"/>
    <n v="118.37"/>
    <n v="1.2"/>
    <n v="142.04"/>
    <n v="4.9000000000000004"/>
    <x v="2"/>
    <x v="0"/>
  </r>
  <r>
    <s v="TRIP04155"/>
    <x v="359"/>
    <x v="4"/>
    <s v="Bangalore"/>
    <n v="13.83"/>
    <d v="1900-02-08T19:55:12"/>
    <n v="224.46"/>
    <n v="2"/>
    <n v="448.92"/>
    <n v="3.4"/>
    <x v="2"/>
    <x v="1"/>
  </r>
  <r>
    <s v="TRIP04156"/>
    <x v="103"/>
    <x v="0"/>
    <s v="Delhi"/>
    <n v="26.64"/>
    <d v="1900-03-28T20:24:00"/>
    <n v="321.12"/>
    <n v="1.5"/>
    <n v="481.68"/>
    <n v="4.9000000000000004"/>
    <x v="0"/>
    <x v="3"/>
  </r>
  <r>
    <s v="TRIP04157"/>
    <x v="139"/>
    <x v="1"/>
    <s v="Chennai"/>
    <n v="5.61"/>
    <d v="1900-01-14T01:12:00"/>
    <n v="65.11"/>
    <n v="1.2"/>
    <n v="78.13"/>
    <n v="3.6"/>
    <x v="2"/>
    <x v="0"/>
  </r>
  <r>
    <s v="TRIP04158"/>
    <x v="83"/>
    <x v="1"/>
    <s v="Delhi"/>
    <n v="25.37"/>
    <d v="1900-04-07T13:12:00"/>
    <n v="425.36"/>
    <n v="1.2"/>
    <n v="510.43"/>
    <n v="4.7"/>
    <x v="3"/>
    <x v="2"/>
  </r>
  <r>
    <s v="TRIP04159"/>
    <x v="226"/>
    <x v="3"/>
    <s v="Mumbai"/>
    <n v="14.84"/>
    <d v="1900-02-15T15:07:12"/>
    <n v="247.63"/>
    <n v="2"/>
    <n v="495.26"/>
    <n v="4.8"/>
    <x v="3"/>
    <x v="3"/>
  </r>
  <r>
    <s v="TRIP04160"/>
    <x v="185"/>
    <x v="2"/>
    <s v="Bangalore"/>
    <n v="26.84"/>
    <d v="1900-02-26T01:12:00"/>
    <n v="393.54"/>
    <n v="2"/>
    <n v="787.08"/>
    <n v="4.0999999999999996"/>
    <x v="3"/>
    <x v="3"/>
  </r>
  <r>
    <s v="TRIP04161"/>
    <x v="156"/>
    <x v="0"/>
    <s v="Bangalore"/>
    <n v="21.45"/>
    <d v="1900-03-18T01:40:48"/>
    <n v="356.25"/>
    <n v="1"/>
    <n v="356.25"/>
    <n v="3.6"/>
    <x v="4"/>
    <x v="3"/>
  </r>
  <r>
    <s v="TRIP04162"/>
    <x v="149"/>
    <x v="2"/>
    <s v="Bangalore"/>
    <n v="10.92"/>
    <d v="1900-01-25T22:33:36"/>
    <n v="214.32"/>
    <n v="1.5"/>
    <n v="321.48"/>
    <n v="4.5"/>
    <x v="1"/>
    <x v="0"/>
  </r>
  <r>
    <s v="TRIP04163"/>
    <x v="30"/>
    <x v="4"/>
    <s v="Chennai"/>
    <n v="24.89"/>
    <d v="1900-03-06T21:36:00"/>
    <n v="354.98"/>
    <n v="1.5"/>
    <n v="532.47"/>
    <n v="4.9000000000000004"/>
    <x v="0"/>
    <x v="1"/>
  </r>
  <r>
    <s v="TRIP04164"/>
    <x v="269"/>
    <x v="2"/>
    <s v="Delhi"/>
    <n v="12.04"/>
    <d v="1900-02-10T06:14:24"/>
    <n v="122.62"/>
    <n v="1.2"/>
    <n v="147.13999999999999"/>
    <n v="3.1"/>
    <x v="3"/>
    <x v="3"/>
  </r>
  <r>
    <s v="TRIP04165"/>
    <x v="322"/>
    <x v="3"/>
    <s v="Delhi"/>
    <n v="11.53"/>
    <d v="1900-02-08T22:19:12"/>
    <n v="202.04"/>
    <n v="1"/>
    <n v="202.04"/>
    <n v="3.4"/>
    <x v="1"/>
    <x v="2"/>
  </r>
  <r>
    <s v="TRIP04166"/>
    <x v="22"/>
    <x v="3"/>
    <s v="Kolkata"/>
    <n v="14.5"/>
    <d v="1900-02-22T01:55:12"/>
    <n v="257.89"/>
    <n v="1.5"/>
    <n v="386.84"/>
    <n v="3.1"/>
    <x v="1"/>
    <x v="3"/>
  </r>
  <r>
    <s v="TRIP04167"/>
    <x v="204"/>
    <x v="1"/>
    <s v="Delhi"/>
    <n v="14.52"/>
    <d v="1900-02-25T08:09:36"/>
    <n v="273.14"/>
    <n v="1.5"/>
    <n v="409.71"/>
    <n v="4"/>
    <x v="0"/>
    <x v="1"/>
  </r>
  <r>
    <s v="TRIP04168"/>
    <x v="45"/>
    <x v="1"/>
    <s v="Delhi"/>
    <n v="28.17"/>
    <d v="1900-02-24T20:09:36"/>
    <n v="484.79"/>
    <n v="1"/>
    <n v="484.79"/>
    <n v="3.4"/>
    <x v="4"/>
    <x v="1"/>
  </r>
  <r>
    <s v="TRIP04169"/>
    <x v="132"/>
    <x v="1"/>
    <s v="Mumbai"/>
    <n v="12.6"/>
    <d v="1900-02-05T22:48:00"/>
    <n v="207.23"/>
    <n v="2"/>
    <n v="414.46"/>
    <n v="3.5"/>
    <x v="3"/>
    <x v="3"/>
  </r>
  <r>
    <s v="TRIP04170"/>
    <x v="186"/>
    <x v="2"/>
    <s v="Delhi"/>
    <n v="2.3199999999999998"/>
    <d v="1900-01-07T12:43:12"/>
    <n v="46.15"/>
    <n v="2"/>
    <n v="92.3"/>
    <n v="4.2"/>
    <x v="4"/>
    <x v="2"/>
  </r>
  <r>
    <s v="TRIP04171"/>
    <x v="167"/>
    <x v="1"/>
    <s v="Bangalore"/>
    <n v="16.87"/>
    <d v="1900-02-17T06:00:00"/>
    <n v="224.61"/>
    <n v="2"/>
    <n v="449.22"/>
    <n v="3.9"/>
    <x v="2"/>
    <x v="1"/>
  </r>
  <r>
    <s v="TRIP04172"/>
    <x v="309"/>
    <x v="2"/>
    <s v="Kolkata"/>
    <n v="4.04"/>
    <d v="1900-01-07T07:12:00"/>
    <n v="52.21"/>
    <n v="1.2"/>
    <n v="62.65"/>
    <n v="4.8"/>
    <x v="4"/>
    <x v="2"/>
  </r>
  <r>
    <s v="TRIP04173"/>
    <x v="283"/>
    <x v="1"/>
    <s v="Bangalore"/>
    <n v="9.49"/>
    <d v="1900-02-05T15:50:24"/>
    <n v="122.59"/>
    <n v="1.2"/>
    <n v="147.11000000000001"/>
    <n v="4.5"/>
    <x v="3"/>
    <x v="0"/>
  </r>
  <r>
    <s v="TRIP04174"/>
    <x v="260"/>
    <x v="4"/>
    <s v="Bangalore"/>
    <n v="8.56"/>
    <d v="1900-01-16T22:48:00"/>
    <n v="133.49"/>
    <n v="1.5"/>
    <n v="200.24"/>
    <n v="3.7"/>
    <x v="2"/>
    <x v="3"/>
  </r>
  <r>
    <s v="TRIP04175"/>
    <x v="150"/>
    <x v="1"/>
    <s v="Chennai"/>
    <n v="11.67"/>
    <d v="1900-01-22T17:31:12"/>
    <n v="214.67"/>
    <n v="1.5"/>
    <n v="322"/>
    <n v="3.5"/>
    <x v="3"/>
    <x v="1"/>
  </r>
  <r>
    <s v="TRIP04176"/>
    <x v="129"/>
    <x v="3"/>
    <s v="Kolkata"/>
    <n v="11.58"/>
    <d v="1900-02-13T06:43:12"/>
    <n v="161.19999999999999"/>
    <n v="1"/>
    <n v="161.19999999999999"/>
    <n v="3.1"/>
    <x v="4"/>
    <x v="1"/>
  </r>
  <r>
    <s v="TRIP04177"/>
    <x v="298"/>
    <x v="3"/>
    <s v="Chennai"/>
    <n v="18.29"/>
    <d v="1900-03-12T08:38:24"/>
    <n v="365.34"/>
    <n v="2"/>
    <n v="730.68"/>
    <n v="3.4"/>
    <x v="1"/>
    <x v="2"/>
  </r>
  <r>
    <s v="TRIP04178"/>
    <x v="252"/>
    <x v="3"/>
    <s v="Kolkata"/>
    <n v="15.34"/>
    <d v="1900-02-09T14:52:48"/>
    <n v="304.58999999999997"/>
    <n v="1.5"/>
    <n v="456.88"/>
    <n v="3.4"/>
    <x v="1"/>
    <x v="1"/>
  </r>
  <r>
    <s v="TRIP04179"/>
    <x v="129"/>
    <x v="1"/>
    <s v="Kolkata"/>
    <n v="1.82"/>
    <d v="1900-01-03T21:07:12"/>
    <n v="31.8"/>
    <n v="2"/>
    <n v="63.6"/>
    <n v="3.4"/>
    <x v="2"/>
    <x v="0"/>
  </r>
  <r>
    <s v="TRIP04180"/>
    <x v="315"/>
    <x v="0"/>
    <s v="Mumbai"/>
    <n v="11.29"/>
    <d v="1900-02-11T07:26:24"/>
    <n v="225.41"/>
    <n v="1.5"/>
    <n v="338.12"/>
    <n v="4.4000000000000004"/>
    <x v="0"/>
    <x v="2"/>
  </r>
  <r>
    <s v="TRIP04181"/>
    <x v="200"/>
    <x v="4"/>
    <s v="Mumbai"/>
    <n v="17.190000000000001"/>
    <d v="1900-02-22T16:33:36"/>
    <n v="264.55"/>
    <n v="1.5"/>
    <n v="396.83"/>
    <n v="3.6"/>
    <x v="2"/>
    <x v="2"/>
  </r>
  <r>
    <s v="TRIP04182"/>
    <x v="356"/>
    <x v="1"/>
    <s v="Kolkata"/>
    <n v="20.41"/>
    <d v="1900-02-13T18:43:12"/>
    <n v="258.33"/>
    <n v="1"/>
    <n v="258.33"/>
    <n v="3.9"/>
    <x v="3"/>
    <x v="0"/>
  </r>
  <r>
    <s v="TRIP04183"/>
    <x v="127"/>
    <x v="1"/>
    <s v="Mumbai"/>
    <n v="16.63"/>
    <d v="1900-02-02T07:26:24"/>
    <n v="320.45999999999998"/>
    <n v="2"/>
    <n v="640.91999999999996"/>
    <n v="4.2"/>
    <x v="0"/>
    <x v="1"/>
  </r>
  <r>
    <s v="TRIP04184"/>
    <x v="286"/>
    <x v="3"/>
    <s v="Kolkata"/>
    <n v="7.94"/>
    <d v="1900-01-28T01:40:48"/>
    <n v="139.84"/>
    <n v="1"/>
    <n v="139.84"/>
    <n v="3.3"/>
    <x v="1"/>
    <x v="2"/>
  </r>
  <r>
    <s v="TRIP04185"/>
    <x v="291"/>
    <x v="0"/>
    <s v="Kolkata"/>
    <n v="26.78"/>
    <d v="1900-02-21T20:52:48"/>
    <n v="485.65"/>
    <n v="1.2"/>
    <n v="582.78"/>
    <n v="3"/>
    <x v="2"/>
    <x v="3"/>
  </r>
  <r>
    <s v="TRIP04186"/>
    <x v="360"/>
    <x v="2"/>
    <s v="Bangalore"/>
    <n v="11.77"/>
    <d v="1900-02-05T19:26:24"/>
    <n v="193.83"/>
    <n v="2"/>
    <n v="387.66"/>
    <n v="4.0999999999999996"/>
    <x v="3"/>
    <x v="0"/>
  </r>
  <r>
    <s v="TRIP04187"/>
    <x v="118"/>
    <x v="4"/>
    <s v="Delhi"/>
    <n v="22.06"/>
    <d v="1900-03-05T03:07:12"/>
    <n v="223.68"/>
    <n v="1.2"/>
    <n v="268.42"/>
    <n v="3"/>
    <x v="0"/>
    <x v="3"/>
  </r>
  <r>
    <s v="TRIP04188"/>
    <x v="173"/>
    <x v="0"/>
    <s v="Kolkata"/>
    <n v="11.25"/>
    <d v="1900-01-22T22:19:12"/>
    <n v="145.80000000000001"/>
    <n v="1.5"/>
    <n v="218.7"/>
    <n v="3.5"/>
    <x v="4"/>
    <x v="1"/>
  </r>
  <r>
    <s v="TRIP04189"/>
    <x v="38"/>
    <x v="2"/>
    <s v="Bangalore"/>
    <n v="8.5500000000000007"/>
    <d v="1900-01-23T05:16:48"/>
    <n v="143.74"/>
    <n v="1.2"/>
    <n v="172.49"/>
    <n v="3.6"/>
    <x v="1"/>
    <x v="1"/>
  </r>
  <r>
    <s v="TRIP04190"/>
    <x v="355"/>
    <x v="0"/>
    <s v="Delhi"/>
    <n v="9.73"/>
    <d v="1900-01-29T12:43:12"/>
    <n v="157.46"/>
    <n v="2"/>
    <n v="314.92"/>
    <n v="4.4000000000000004"/>
    <x v="4"/>
    <x v="3"/>
  </r>
  <r>
    <s v="TRIP04191"/>
    <x v="37"/>
    <x v="0"/>
    <s v="Chennai"/>
    <n v="16.309999999999999"/>
    <d v="1900-02-27T14:52:48"/>
    <n v="199.34"/>
    <n v="1"/>
    <n v="199.34"/>
    <n v="4.7"/>
    <x v="2"/>
    <x v="3"/>
  </r>
  <r>
    <s v="TRIP04192"/>
    <x v="186"/>
    <x v="4"/>
    <s v="Chennai"/>
    <n v="21.41"/>
    <d v="1900-03-16T17:16:48"/>
    <n v="381.51"/>
    <n v="1.5"/>
    <n v="572.26"/>
    <n v="3.8"/>
    <x v="3"/>
    <x v="3"/>
  </r>
  <r>
    <s v="TRIP04193"/>
    <x v="282"/>
    <x v="1"/>
    <s v="Kolkata"/>
    <n v="8.5399999999999991"/>
    <d v="1900-02-01T00:57:36"/>
    <n v="127.03"/>
    <n v="1"/>
    <n v="127.03"/>
    <n v="3.1"/>
    <x v="4"/>
    <x v="2"/>
  </r>
  <r>
    <s v="TRIP04194"/>
    <x v="227"/>
    <x v="1"/>
    <s v="Kolkata"/>
    <n v="26.29"/>
    <d v="1900-04-06T02:52:48"/>
    <n v="499.6"/>
    <n v="2"/>
    <n v="999.2"/>
    <n v="3.3"/>
    <x v="0"/>
    <x v="2"/>
  </r>
  <r>
    <s v="TRIP04195"/>
    <x v="274"/>
    <x v="3"/>
    <s v="Mumbai"/>
    <n v="9.07"/>
    <d v="1900-01-20T10:04:48"/>
    <n v="92.69"/>
    <n v="2"/>
    <n v="185.38"/>
    <n v="4.2"/>
    <x v="0"/>
    <x v="3"/>
  </r>
  <r>
    <s v="TRIP04196"/>
    <x v="211"/>
    <x v="2"/>
    <s v="Delhi"/>
    <n v="27.22"/>
    <d v="1900-03-01T16:48:00"/>
    <n v="522.08000000000004"/>
    <n v="1.2"/>
    <n v="626.5"/>
    <n v="4"/>
    <x v="2"/>
    <x v="1"/>
  </r>
  <r>
    <s v="TRIP04197"/>
    <x v="306"/>
    <x v="0"/>
    <s v="Kolkata"/>
    <n v="11.58"/>
    <d v="1900-01-31T14:52:48"/>
    <n v="145.81"/>
    <n v="2"/>
    <n v="291.62"/>
    <n v="4.4000000000000004"/>
    <x v="0"/>
    <x v="3"/>
  </r>
  <r>
    <s v="TRIP04198"/>
    <x v="57"/>
    <x v="3"/>
    <s v="Delhi"/>
    <n v="3.83"/>
    <d v="1900-01-10T06:00:00"/>
    <n v="41.42"/>
    <n v="2"/>
    <n v="82.84"/>
    <n v="4.9000000000000004"/>
    <x v="2"/>
    <x v="2"/>
  </r>
  <r>
    <s v="TRIP04199"/>
    <x v="128"/>
    <x v="2"/>
    <s v="Kolkata"/>
    <n v="28.91"/>
    <d v="1900-03-06T10:04:48"/>
    <n v="443.02"/>
    <n v="2"/>
    <n v="886.04"/>
    <n v="3.1"/>
    <x v="3"/>
    <x v="0"/>
  </r>
  <r>
    <s v="TRIP04200"/>
    <x v="47"/>
    <x v="4"/>
    <s v="Delhi"/>
    <n v="5.22"/>
    <d v="1900-01-14T00:00:00"/>
    <n v="86.38"/>
    <n v="1.5"/>
    <n v="129.57"/>
    <n v="3.9"/>
    <x v="0"/>
    <x v="2"/>
  </r>
  <r>
    <s v="TRIP04201"/>
    <x v="18"/>
    <x v="0"/>
    <s v="Mumbai"/>
    <n v="15.89"/>
    <d v="1900-01-31T20:24:00"/>
    <n v="240.89"/>
    <n v="1.5"/>
    <n v="361.34"/>
    <n v="4.7"/>
    <x v="3"/>
    <x v="3"/>
  </r>
  <r>
    <s v="TRIP04202"/>
    <x v="319"/>
    <x v="3"/>
    <s v="Mumbai"/>
    <n v="23.11"/>
    <d v="1900-02-20T11:45:36"/>
    <n v="434.05"/>
    <n v="2"/>
    <n v="868.1"/>
    <n v="3.2"/>
    <x v="3"/>
    <x v="3"/>
  </r>
  <r>
    <s v="TRIP04203"/>
    <x v="277"/>
    <x v="4"/>
    <s v="Kolkata"/>
    <n v="25.44"/>
    <d v="1900-03-16T15:07:12"/>
    <n v="371.78"/>
    <n v="1.5"/>
    <n v="557.66999999999996"/>
    <n v="3.9"/>
    <x v="1"/>
    <x v="0"/>
  </r>
  <r>
    <s v="TRIP04204"/>
    <x v="199"/>
    <x v="3"/>
    <s v="Bangalore"/>
    <n v="28.56"/>
    <d v="1900-03-09T03:50:24"/>
    <n v="336.73"/>
    <n v="2"/>
    <n v="673.46"/>
    <n v="3.7"/>
    <x v="3"/>
    <x v="3"/>
  </r>
  <r>
    <s v="TRIP04205"/>
    <x v="255"/>
    <x v="0"/>
    <s v="Kolkata"/>
    <n v="18"/>
    <d v="1900-02-13T03:07:12"/>
    <n v="327.20999999999998"/>
    <n v="1.5"/>
    <n v="490.81"/>
    <n v="3.8"/>
    <x v="0"/>
    <x v="2"/>
  </r>
  <r>
    <s v="TRIP04206"/>
    <x v="151"/>
    <x v="3"/>
    <s v="Kolkata"/>
    <n v="13.73"/>
    <d v="1900-02-15T12:57:36"/>
    <n v="264.64"/>
    <n v="2"/>
    <n v="529.28"/>
    <n v="4.0999999999999996"/>
    <x v="4"/>
    <x v="0"/>
  </r>
  <r>
    <s v="TRIP04207"/>
    <x v="121"/>
    <x v="3"/>
    <s v="Delhi"/>
    <n v="24.38"/>
    <d v="1900-03-11T05:16:48"/>
    <n v="262.16000000000003"/>
    <n v="1"/>
    <n v="262.16000000000003"/>
    <n v="4.5999999999999996"/>
    <x v="2"/>
    <x v="1"/>
  </r>
  <r>
    <s v="TRIP04208"/>
    <x v="192"/>
    <x v="1"/>
    <s v="Chennai"/>
    <n v="2.42"/>
    <d v="1900-01-08T05:02:24"/>
    <n v="35.89"/>
    <n v="1"/>
    <n v="35.89"/>
    <n v="3.4"/>
    <x v="3"/>
    <x v="1"/>
  </r>
  <r>
    <s v="TRIP04209"/>
    <x v="220"/>
    <x v="2"/>
    <s v="Mumbai"/>
    <n v="26.69"/>
    <d v="1900-02-21T09:36:00"/>
    <n v="450.49"/>
    <n v="1.5"/>
    <n v="675.74"/>
    <n v="4.8"/>
    <x v="0"/>
    <x v="2"/>
  </r>
  <r>
    <s v="TRIP04210"/>
    <x v="245"/>
    <x v="1"/>
    <s v="Kolkata"/>
    <n v="7.57"/>
    <d v="1900-01-21T15:21:36"/>
    <n v="122.29"/>
    <n v="1"/>
    <n v="122.29"/>
    <n v="3.2"/>
    <x v="2"/>
    <x v="0"/>
  </r>
  <r>
    <s v="TRIP04211"/>
    <x v="48"/>
    <x v="2"/>
    <s v="Kolkata"/>
    <n v="7.32"/>
    <d v="1900-01-17T16:04:48"/>
    <n v="122.47"/>
    <n v="2"/>
    <n v="244.94"/>
    <n v="3"/>
    <x v="1"/>
    <x v="0"/>
  </r>
  <r>
    <s v="TRIP04212"/>
    <x v="360"/>
    <x v="0"/>
    <s v="Chennai"/>
    <n v="5.01"/>
    <d v="1900-01-12T18:00:00"/>
    <n v="96.42"/>
    <n v="2"/>
    <n v="192.84"/>
    <n v="4.0999999999999996"/>
    <x v="3"/>
    <x v="2"/>
  </r>
  <r>
    <s v="TRIP04213"/>
    <x v="345"/>
    <x v="4"/>
    <s v="Mumbai"/>
    <n v="13.12"/>
    <d v="1900-02-11T18:57:36"/>
    <n v="209.08"/>
    <n v="2"/>
    <n v="418.16"/>
    <n v="3.3"/>
    <x v="4"/>
    <x v="1"/>
  </r>
  <r>
    <s v="TRIP04214"/>
    <x v="82"/>
    <x v="0"/>
    <s v="Bangalore"/>
    <n v="19.29"/>
    <d v="1900-02-13T05:16:48"/>
    <n v="224.18"/>
    <n v="1.2"/>
    <n v="269.02"/>
    <n v="3.2"/>
    <x v="3"/>
    <x v="3"/>
  </r>
  <r>
    <s v="TRIP04215"/>
    <x v="148"/>
    <x v="3"/>
    <s v="Delhi"/>
    <n v="28.9"/>
    <d v="1900-03-22T04:33:36"/>
    <n v="510.07"/>
    <n v="1"/>
    <n v="510.07"/>
    <n v="4.9000000000000004"/>
    <x v="4"/>
    <x v="1"/>
  </r>
  <r>
    <s v="TRIP04216"/>
    <x v="21"/>
    <x v="2"/>
    <s v="Delhi"/>
    <n v="19.36"/>
    <d v="1900-03-03T01:55:12"/>
    <n v="221.18"/>
    <n v="2"/>
    <n v="442.36"/>
    <n v="3.5"/>
    <x v="3"/>
    <x v="2"/>
  </r>
  <r>
    <s v="TRIP04217"/>
    <x v="104"/>
    <x v="1"/>
    <s v="Chennai"/>
    <n v="4.3899999999999997"/>
    <d v="1900-01-08T21:21:36"/>
    <n v="52.13"/>
    <n v="1.2"/>
    <n v="62.56"/>
    <n v="4.8"/>
    <x v="1"/>
    <x v="0"/>
  </r>
  <r>
    <s v="TRIP04218"/>
    <x v="49"/>
    <x v="4"/>
    <s v="Chennai"/>
    <n v="13.24"/>
    <d v="1900-02-01T12:43:12"/>
    <n v="190.76"/>
    <n v="1.5"/>
    <n v="286.14"/>
    <n v="3.4"/>
    <x v="4"/>
    <x v="2"/>
  </r>
  <r>
    <s v="TRIP04219"/>
    <x v="282"/>
    <x v="4"/>
    <s v="Mumbai"/>
    <n v="15.14"/>
    <d v="1900-02-15T10:33:36"/>
    <n v="190.34"/>
    <n v="1"/>
    <n v="190.34"/>
    <n v="4.8"/>
    <x v="4"/>
    <x v="1"/>
  </r>
  <r>
    <s v="TRIP04220"/>
    <x v="167"/>
    <x v="0"/>
    <s v="Mumbai"/>
    <n v="15.27"/>
    <d v="1900-02-07T18:28:48"/>
    <n v="241.58"/>
    <n v="1.5"/>
    <n v="362.37"/>
    <n v="4.3"/>
    <x v="4"/>
    <x v="1"/>
  </r>
  <r>
    <s v="TRIP04221"/>
    <x v="356"/>
    <x v="1"/>
    <s v="Kolkata"/>
    <n v="9.01"/>
    <d v="1900-01-21T08:52:48"/>
    <n v="165.65"/>
    <n v="2"/>
    <n v="331.3"/>
    <n v="4.4000000000000004"/>
    <x v="0"/>
    <x v="2"/>
  </r>
  <r>
    <s v="TRIP04222"/>
    <x v="246"/>
    <x v="1"/>
    <s v="Delhi"/>
    <n v="23.59"/>
    <d v="1900-03-04T20:38:24"/>
    <n v="416.28"/>
    <n v="1"/>
    <n v="416.28"/>
    <n v="3.2"/>
    <x v="3"/>
    <x v="1"/>
  </r>
  <r>
    <s v="TRIP04223"/>
    <x v="331"/>
    <x v="4"/>
    <s v="Bangalore"/>
    <n v="24.02"/>
    <d v="1900-03-18T07:26:24"/>
    <n v="354.07"/>
    <n v="1.5"/>
    <n v="531.1"/>
    <n v="4"/>
    <x v="4"/>
    <x v="3"/>
  </r>
  <r>
    <s v="TRIP04224"/>
    <x v="60"/>
    <x v="2"/>
    <s v="Kolkata"/>
    <n v="24.19"/>
    <d v="1900-04-04T19:55:12"/>
    <n v="412.58"/>
    <n v="1"/>
    <n v="412.58"/>
    <n v="3.9"/>
    <x v="3"/>
    <x v="0"/>
  </r>
  <r>
    <s v="TRIP04225"/>
    <x v="95"/>
    <x v="4"/>
    <s v="Mumbai"/>
    <n v="11.86"/>
    <d v="1900-02-05T03:07:12"/>
    <n v="213.15"/>
    <n v="1.2"/>
    <n v="255.78"/>
    <n v="4"/>
    <x v="2"/>
    <x v="1"/>
  </r>
  <r>
    <s v="TRIP04226"/>
    <x v="261"/>
    <x v="0"/>
    <s v="Bangalore"/>
    <n v="8.8800000000000008"/>
    <d v="1900-01-29T23:31:12"/>
    <n v="126.01"/>
    <n v="1.2"/>
    <n v="151.21"/>
    <n v="4.0999999999999996"/>
    <x v="3"/>
    <x v="2"/>
  </r>
  <r>
    <s v="TRIP04227"/>
    <x v="311"/>
    <x v="2"/>
    <s v="Mumbai"/>
    <n v="9.59"/>
    <d v="1900-01-20T00:57:36"/>
    <n v="145.79"/>
    <n v="1.2"/>
    <n v="174.95"/>
    <n v="3.7"/>
    <x v="3"/>
    <x v="3"/>
  </r>
  <r>
    <s v="TRIP04228"/>
    <x v="185"/>
    <x v="0"/>
    <s v="Bangalore"/>
    <n v="29.08"/>
    <d v="1900-03-01T09:07:12"/>
    <n v="462.86"/>
    <n v="1"/>
    <n v="462.86"/>
    <n v="3.9"/>
    <x v="3"/>
    <x v="0"/>
  </r>
  <r>
    <s v="TRIP04229"/>
    <x v="160"/>
    <x v="4"/>
    <s v="Bangalore"/>
    <n v="28.34"/>
    <d v="1900-04-06T01:26:24"/>
    <n v="431.28"/>
    <n v="1.5"/>
    <n v="646.91999999999996"/>
    <n v="4.7"/>
    <x v="4"/>
    <x v="2"/>
  </r>
  <r>
    <s v="TRIP04230"/>
    <x v="237"/>
    <x v="3"/>
    <s v="Mumbai"/>
    <n v="19.43"/>
    <d v="1900-03-06T14:38:24"/>
    <n v="277.68"/>
    <n v="1"/>
    <n v="277.68"/>
    <n v="4.5"/>
    <x v="0"/>
    <x v="3"/>
  </r>
  <r>
    <s v="TRIP04231"/>
    <x v="106"/>
    <x v="4"/>
    <s v="Delhi"/>
    <n v="5.72"/>
    <d v="1900-01-20T15:07:12"/>
    <n v="61.55"/>
    <n v="2"/>
    <n v="123.1"/>
    <n v="4.5"/>
    <x v="2"/>
    <x v="1"/>
  </r>
  <r>
    <s v="TRIP04232"/>
    <x v="90"/>
    <x v="1"/>
    <s v="Kolkata"/>
    <n v="14.58"/>
    <d v="1900-02-23T20:52:48"/>
    <n v="231.23"/>
    <n v="1.2"/>
    <n v="277.48"/>
    <n v="3.9"/>
    <x v="3"/>
    <x v="2"/>
  </r>
  <r>
    <s v="TRIP04233"/>
    <x v="10"/>
    <x v="2"/>
    <s v="Bangalore"/>
    <n v="27.69"/>
    <d v="1900-03-19T00:57:36"/>
    <n v="439.44"/>
    <n v="1.2"/>
    <n v="527.33000000000004"/>
    <n v="3.9"/>
    <x v="2"/>
    <x v="2"/>
  </r>
  <r>
    <s v="TRIP04234"/>
    <x v="217"/>
    <x v="4"/>
    <s v="Mumbai"/>
    <n v="7.48"/>
    <d v="1900-01-24T05:31:12"/>
    <n v="128.52000000000001"/>
    <n v="1.5"/>
    <n v="192.78"/>
    <n v="3.9"/>
    <x v="4"/>
    <x v="1"/>
  </r>
  <r>
    <s v="TRIP04235"/>
    <x v="274"/>
    <x v="0"/>
    <s v="Mumbai"/>
    <n v="27.7"/>
    <d v="1900-03-04T07:55:12"/>
    <n v="361.19"/>
    <n v="1.2"/>
    <n v="433.43"/>
    <n v="4.2"/>
    <x v="0"/>
    <x v="0"/>
  </r>
  <r>
    <s v="TRIP04236"/>
    <x v="223"/>
    <x v="2"/>
    <s v="Chennai"/>
    <n v="1.1000000000000001"/>
    <d v="1900-01-03T02:52:48"/>
    <n v="14.59"/>
    <n v="1.5"/>
    <n v="21.88"/>
    <n v="3.2"/>
    <x v="0"/>
    <x v="0"/>
  </r>
  <r>
    <s v="TRIP04237"/>
    <x v="258"/>
    <x v="0"/>
    <s v="Mumbai"/>
    <n v="25.6"/>
    <d v="1900-03-08T12:00:00"/>
    <n v="484.42"/>
    <n v="2"/>
    <n v="968.84"/>
    <n v="3.8"/>
    <x v="3"/>
    <x v="3"/>
  </r>
  <r>
    <s v="TRIP04238"/>
    <x v="263"/>
    <x v="1"/>
    <s v="Chennai"/>
    <n v="10.44"/>
    <d v="1900-01-24T23:16:48"/>
    <n v="169.55"/>
    <n v="1.5"/>
    <n v="254.32"/>
    <n v="4.5999999999999996"/>
    <x v="3"/>
    <x v="3"/>
  </r>
  <r>
    <s v="TRIP04239"/>
    <x v="356"/>
    <x v="2"/>
    <s v="Delhi"/>
    <n v="15.26"/>
    <d v="1900-02-14T03:21:36"/>
    <n v="216.19"/>
    <n v="1.2"/>
    <n v="259.43"/>
    <n v="3.5"/>
    <x v="3"/>
    <x v="3"/>
  </r>
  <r>
    <s v="TRIP04240"/>
    <x v="46"/>
    <x v="1"/>
    <s v="Delhi"/>
    <n v="8.81"/>
    <d v="1900-01-31T19:26:24"/>
    <n v="140.68"/>
    <n v="1"/>
    <n v="140.68"/>
    <n v="4.5999999999999996"/>
    <x v="4"/>
    <x v="2"/>
  </r>
  <r>
    <s v="TRIP04241"/>
    <x v="176"/>
    <x v="4"/>
    <s v="Kolkata"/>
    <n v="10.08"/>
    <d v="1900-01-19T20:09:36"/>
    <n v="182.51"/>
    <n v="1.5"/>
    <n v="273.76"/>
    <n v="3.9"/>
    <x v="2"/>
    <x v="2"/>
  </r>
  <r>
    <s v="TRIP04242"/>
    <x v="326"/>
    <x v="4"/>
    <s v="Delhi"/>
    <n v="3.39"/>
    <d v="1900-01-08T07:40:48"/>
    <n v="36.04"/>
    <n v="2"/>
    <n v="72.08"/>
    <n v="4.2"/>
    <x v="2"/>
    <x v="3"/>
  </r>
  <r>
    <s v="TRIP04243"/>
    <x v="80"/>
    <x v="3"/>
    <s v="Delhi"/>
    <n v="5.97"/>
    <d v="1900-01-15T09:07:12"/>
    <n v="115.24"/>
    <n v="2"/>
    <n v="230.48"/>
    <n v="3.4"/>
    <x v="1"/>
    <x v="2"/>
  </r>
  <r>
    <s v="TRIP04244"/>
    <x v="25"/>
    <x v="0"/>
    <s v="Mumbai"/>
    <n v="27.89"/>
    <d v="1900-04-19T03:07:12"/>
    <n v="529.44000000000005"/>
    <n v="1.2"/>
    <n v="635.33000000000004"/>
    <n v="3.3"/>
    <x v="4"/>
    <x v="2"/>
  </r>
  <r>
    <s v="TRIP04245"/>
    <x v="150"/>
    <x v="4"/>
    <s v="Delhi"/>
    <n v="17.97"/>
    <d v="1900-03-03T17:31:12"/>
    <n v="262.82"/>
    <n v="1"/>
    <n v="262.82"/>
    <n v="4.5999999999999996"/>
    <x v="0"/>
    <x v="0"/>
  </r>
  <r>
    <s v="TRIP04246"/>
    <x v="292"/>
    <x v="4"/>
    <s v="Delhi"/>
    <n v="17.22"/>
    <d v="1900-02-07T23:45:36"/>
    <n v="204.43"/>
    <n v="1.5"/>
    <n v="306.64"/>
    <n v="4"/>
    <x v="3"/>
    <x v="3"/>
  </r>
  <r>
    <s v="TRIP04247"/>
    <x v="284"/>
    <x v="4"/>
    <s v="Kolkata"/>
    <n v="4.83"/>
    <d v="1900-01-17T18:57:36"/>
    <n v="54.66"/>
    <n v="1.2"/>
    <n v="65.59"/>
    <n v="3.7"/>
    <x v="4"/>
    <x v="3"/>
  </r>
  <r>
    <s v="TRIP04248"/>
    <x v="42"/>
    <x v="3"/>
    <s v="Mumbai"/>
    <n v="26.12"/>
    <d v="1900-03-13T15:50:24"/>
    <n v="293.60000000000002"/>
    <n v="1.2"/>
    <n v="352.32"/>
    <n v="4.8"/>
    <x v="0"/>
    <x v="1"/>
  </r>
  <r>
    <s v="TRIP04249"/>
    <x v="116"/>
    <x v="2"/>
    <s v="Delhi"/>
    <n v="9.64"/>
    <d v="1900-01-21T08:24:00"/>
    <n v="176.43"/>
    <n v="1.5"/>
    <n v="264.64"/>
    <n v="4.2"/>
    <x v="1"/>
    <x v="3"/>
  </r>
  <r>
    <s v="TRIP04250"/>
    <x v="45"/>
    <x v="3"/>
    <s v="Delhi"/>
    <n v="9.44"/>
    <d v="1900-01-29T05:45:36"/>
    <n v="167.59"/>
    <n v="2"/>
    <n v="335.18"/>
    <n v="4.2"/>
    <x v="1"/>
    <x v="0"/>
  </r>
  <r>
    <s v="TRIP04251"/>
    <x v="345"/>
    <x v="3"/>
    <s v="Delhi"/>
    <n v="21.78"/>
    <d v="1900-03-25T09:36:00"/>
    <n v="253.75"/>
    <n v="1"/>
    <n v="253.75"/>
    <n v="3.5"/>
    <x v="0"/>
    <x v="1"/>
  </r>
  <r>
    <s v="TRIP04252"/>
    <x v="357"/>
    <x v="1"/>
    <s v="Delhi"/>
    <n v="21.97"/>
    <d v="1900-03-09T02:09:36"/>
    <n v="326.62"/>
    <n v="1.5"/>
    <n v="489.93"/>
    <n v="4.9000000000000004"/>
    <x v="1"/>
    <x v="2"/>
  </r>
  <r>
    <s v="TRIP04253"/>
    <x v="361"/>
    <x v="0"/>
    <s v="Kolkata"/>
    <n v="4.66"/>
    <d v="1900-01-12T21:07:12"/>
    <n v="70.92"/>
    <n v="1"/>
    <n v="70.92"/>
    <n v="3.6"/>
    <x v="1"/>
    <x v="2"/>
  </r>
  <r>
    <s v="TRIP04254"/>
    <x v="48"/>
    <x v="3"/>
    <s v="Chennai"/>
    <n v="14.58"/>
    <d v="1900-02-23T18:43:12"/>
    <n v="228.62"/>
    <n v="1.5"/>
    <n v="342.93"/>
    <n v="3.6"/>
    <x v="4"/>
    <x v="1"/>
  </r>
  <r>
    <s v="TRIP04255"/>
    <x v="194"/>
    <x v="1"/>
    <s v="Chennai"/>
    <n v="1.1200000000000001"/>
    <d v="1900-01-01T16:19:12"/>
    <n v="16.760000000000002"/>
    <n v="1.2"/>
    <n v="20.11"/>
    <n v="4.3"/>
    <x v="4"/>
    <x v="3"/>
  </r>
  <r>
    <s v="TRIP04256"/>
    <x v="39"/>
    <x v="3"/>
    <s v="Bangalore"/>
    <n v="2.38"/>
    <d v="1900-01-07T21:07:12"/>
    <n v="27.84"/>
    <n v="1"/>
    <n v="27.84"/>
    <n v="4.8"/>
    <x v="3"/>
    <x v="1"/>
  </r>
  <r>
    <s v="TRIP04257"/>
    <x v="98"/>
    <x v="0"/>
    <s v="Kolkata"/>
    <n v="10.87"/>
    <d v="1900-02-05T20:52:48"/>
    <n v="204.01"/>
    <n v="2"/>
    <n v="408.02"/>
    <n v="3.5"/>
    <x v="1"/>
    <x v="0"/>
  </r>
  <r>
    <s v="TRIP04258"/>
    <x v="364"/>
    <x v="0"/>
    <s v="Kolkata"/>
    <n v="2.89"/>
    <d v="1900-01-09T08:52:48"/>
    <n v="41.49"/>
    <n v="1"/>
    <n v="41.49"/>
    <n v="3.4"/>
    <x v="4"/>
    <x v="0"/>
  </r>
  <r>
    <s v="TRIP04259"/>
    <x v="48"/>
    <x v="4"/>
    <s v="Kolkata"/>
    <n v="12.3"/>
    <d v="1900-02-02T04:19:12"/>
    <n v="151.28"/>
    <n v="1"/>
    <n v="151.28"/>
    <n v="3.2"/>
    <x v="1"/>
    <x v="1"/>
  </r>
  <r>
    <s v="TRIP04260"/>
    <x v="364"/>
    <x v="0"/>
    <s v="Delhi"/>
    <n v="12.89"/>
    <d v="1900-02-05T04:19:12"/>
    <n v="240.88"/>
    <n v="1.5"/>
    <n v="361.32"/>
    <n v="3.2"/>
    <x v="4"/>
    <x v="3"/>
  </r>
  <r>
    <s v="TRIP04261"/>
    <x v="181"/>
    <x v="4"/>
    <s v="Delhi"/>
    <n v="25.24"/>
    <d v="1900-03-23T16:33:36"/>
    <n v="268.69"/>
    <n v="1.5"/>
    <n v="403.04"/>
    <n v="3.9"/>
    <x v="2"/>
    <x v="1"/>
  </r>
  <r>
    <s v="TRIP04262"/>
    <x v="13"/>
    <x v="4"/>
    <s v="Chennai"/>
    <n v="17.760000000000002"/>
    <d v="1900-02-22T02:09:36"/>
    <n v="263.05"/>
    <n v="2"/>
    <n v="526.1"/>
    <n v="4.5999999999999996"/>
    <x v="3"/>
    <x v="1"/>
  </r>
  <r>
    <s v="TRIP04263"/>
    <x v="274"/>
    <x v="0"/>
    <s v="Bangalore"/>
    <n v="22.53"/>
    <d v="1900-03-24T17:02:24"/>
    <n v="438.02"/>
    <n v="1"/>
    <n v="438.02"/>
    <n v="3.1"/>
    <x v="1"/>
    <x v="0"/>
  </r>
  <r>
    <s v="TRIP04264"/>
    <x v="354"/>
    <x v="1"/>
    <s v="Kolkata"/>
    <n v="22.07"/>
    <d v="1900-03-25T22:48:00"/>
    <n v="276.52"/>
    <n v="1"/>
    <n v="276.52"/>
    <n v="3.6"/>
    <x v="4"/>
    <x v="2"/>
  </r>
  <r>
    <s v="TRIP04265"/>
    <x v="196"/>
    <x v="3"/>
    <s v="Kolkata"/>
    <n v="19.309999999999999"/>
    <d v="1900-02-20T04:04:48"/>
    <n v="341.58"/>
    <n v="1.2"/>
    <n v="409.9"/>
    <n v="4.8"/>
    <x v="4"/>
    <x v="3"/>
  </r>
  <r>
    <s v="TRIP04266"/>
    <x v="319"/>
    <x v="1"/>
    <s v="Chennai"/>
    <n v="16.239999999999998"/>
    <d v="1900-02-04T06:57:36"/>
    <n v="230.11"/>
    <n v="1.5"/>
    <n v="345.16"/>
    <n v="3.1"/>
    <x v="0"/>
    <x v="1"/>
  </r>
  <r>
    <s v="TRIP04267"/>
    <x v="26"/>
    <x v="2"/>
    <s v="Kolkata"/>
    <n v="26.94"/>
    <d v="1900-03-01T20:38:24"/>
    <n v="440.67"/>
    <n v="2"/>
    <n v="881.34"/>
    <n v="3.4"/>
    <x v="4"/>
    <x v="1"/>
  </r>
  <r>
    <s v="TRIP04268"/>
    <x v="78"/>
    <x v="2"/>
    <s v="Kolkata"/>
    <n v="6.11"/>
    <d v="1900-01-21T05:02:24"/>
    <n v="78"/>
    <n v="1"/>
    <n v="78"/>
    <n v="4.0999999999999996"/>
    <x v="0"/>
    <x v="2"/>
  </r>
  <r>
    <s v="TRIP04269"/>
    <x v="341"/>
    <x v="2"/>
    <s v="Chennai"/>
    <n v="23.77"/>
    <d v="1900-02-19T13:55:12"/>
    <n v="376.22"/>
    <n v="1.5"/>
    <n v="564.33000000000004"/>
    <n v="4.3"/>
    <x v="3"/>
    <x v="1"/>
  </r>
  <r>
    <s v="TRIP04270"/>
    <x v="156"/>
    <x v="4"/>
    <s v="Delhi"/>
    <n v="1.83"/>
    <d v="1900-01-06T02:24:00"/>
    <n v="19.09"/>
    <n v="1"/>
    <n v="19.09"/>
    <n v="5"/>
    <x v="4"/>
    <x v="0"/>
  </r>
  <r>
    <s v="TRIP04271"/>
    <x v="214"/>
    <x v="4"/>
    <s v="Delhi"/>
    <n v="4.1100000000000003"/>
    <d v="1900-01-07T14:38:24"/>
    <n v="73.36"/>
    <n v="1"/>
    <n v="73.36"/>
    <n v="3.6"/>
    <x v="3"/>
    <x v="2"/>
  </r>
  <r>
    <s v="TRIP04272"/>
    <x v="65"/>
    <x v="1"/>
    <s v="Chennai"/>
    <n v="16.489999999999998"/>
    <d v="1900-03-05T04:04:48"/>
    <n v="326.87"/>
    <n v="1"/>
    <n v="326.87"/>
    <n v="3"/>
    <x v="2"/>
    <x v="1"/>
  </r>
  <r>
    <s v="TRIP04273"/>
    <x v="149"/>
    <x v="1"/>
    <s v="Chennai"/>
    <n v="24.7"/>
    <d v="1900-03-01T03:21:36"/>
    <n v="432.39"/>
    <n v="1"/>
    <n v="432.39"/>
    <n v="3.9"/>
    <x v="3"/>
    <x v="2"/>
  </r>
  <r>
    <s v="TRIP04274"/>
    <x v="235"/>
    <x v="2"/>
    <s v="Bangalore"/>
    <n v="10.5"/>
    <d v="1900-02-08T09:21:36"/>
    <n v="197.77"/>
    <n v="1.2"/>
    <n v="237.32"/>
    <n v="4.9000000000000004"/>
    <x v="4"/>
    <x v="2"/>
  </r>
  <r>
    <s v="TRIP04275"/>
    <x v="289"/>
    <x v="0"/>
    <s v="Chennai"/>
    <n v="23.96"/>
    <d v="1900-03-03T01:40:48"/>
    <n v="300.20999999999998"/>
    <n v="2"/>
    <n v="600.41999999999996"/>
    <n v="4.4000000000000004"/>
    <x v="1"/>
    <x v="2"/>
  </r>
  <r>
    <s v="TRIP04276"/>
    <x v="224"/>
    <x v="3"/>
    <s v="Chennai"/>
    <n v="24.33"/>
    <d v="1900-03-24T04:04:48"/>
    <n v="353.27"/>
    <n v="1"/>
    <n v="353.27"/>
    <n v="4"/>
    <x v="3"/>
    <x v="0"/>
  </r>
  <r>
    <s v="TRIP04277"/>
    <x v="130"/>
    <x v="0"/>
    <s v="Delhi"/>
    <n v="24.58"/>
    <d v="1900-03-13T03:21:36"/>
    <n v="431.12"/>
    <n v="1.2"/>
    <n v="517.34"/>
    <n v="3.8"/>
    <x v="1"/>
    <x v="1"/>
  </r>
  <r>
    <s v="TRIP04278"/>
    <x v="198"/>
    <x v="1"/>
    <s v="Delhi"/>
    <n v="8.39"/>
    <d v="1900-01-31T03:07:12"/>
    <n v="141.58000000000001"/>
    <n v="2"/>
    <n v="283.16000000000003"/>
    <n v="3.3"/>
    <x v="1"/>
    <x v="1"/>
  </r>
  <r>
    <s v="TRIP04279"/>
    <x v="264"/>
    <x v="4"/>
    <s v="Mumbai"/>
    <n v="21.34"/>
    <d v="1900-03-10T06:14:24"/>
    <n v="251.46"/>
    <n v="2"/>
    <n v="502.92"/>
    <n v="3.6"/>
    <x v="1"/>
    <x v="3"/>
  </r>
  <r>
    <s v="TRIP04280"/>
    <x v="144"/>
    <x v="1"/>
    <s v="Bangalore"/>
    <n v="10.55"/>
    <d v="1900-01-27T21:21:36"/>
    <n v="115.18"/>
    <n v="1.2"/>
    <n v="138.22"/>
    <n v="3.7"/>
    <x v="1"/>
    <x v="1"/>
  </r>
  <r>
    <s v="TRIP04281"/>
    <x v="209"/>
    <x v="2"/>
    <s v="Chennai"/>
    <n v="29.27"/>
    <d v="1900-04-05T11:31:12"/>
    <n v="419.29"/>
    <n v="1"/>
    <n v="419.29"/>
    <n v="3.5"/>
    <x v="1"/>
    <x v="3"/>
  </r>
  <r>
    <s v="TRIP04282"/>
    <x v="305"/>
    <x v="4"/>
    <s v="Kolkata"/>
    <n v="15.91"/>
    <d v="1900-03-03T04:04:48"/>
    <n v="196.53"/>
    <n v="1.2"/>
    <n v="235.84"/>
    <n v="3.9"/>
    <x v="2"/>
    <x v="2"/>
  </r>
  <r>
    <s v="TRIP04283"/>
    <x v="317"/>
    <x v="0"/>
    <s v="Mumbai"/>
    <n v="9.85"/>
    <d v="1900-01-25T05:31:12"/>
    <n v="105.44"/>
    <n v="1"/>
    <n v="105.44"/>
    <n v="3.4"/>
    <x v="2"/>
    <x v="2"/>
  </r>
  <r>
    <s v="TRIP04284"/>
    <x v="198"/>
    <x v="2"/>
    <s v="Mumbai"/>
    <n v="17.39"/>
    <d v="1900-02-24T04:04:48"/>
    <n v="261.24"/>
    <n v="1"/>
    <n v="261.24"/>
    <n v="4.7"/>
    <x v="1"/>
    <x v="3"/>
  </r>
  <r>
    <s v="TRIP04285"/>
    <x v="93"/>
    <x v="0"/>
    <s v="Delhi"/>
    <n v="24.98"/>
    <d v="1900-02-26T15:50:24"/>
    <n v="353.04"/>
    <n v="1"/>
    <n v="353.04"/>
    <n v="4"/>
    <x v="1"/>
    <x v="0"/>
  </r>
  <r>
    <s v="TRIP04286"/>
    <x v="106"/>
    <x v="0"/>
    <s v="Delhi"/>
    <n v="5.59"/>
    <d v="1900-01-20T09:36:00"/>
    <n v="105.01"/>
    <n v="2"/>
    <n v="210.02"/>
    <n v="4.3"/>
    <x v="4"/>
    <x v="3"/>
  </r>
  <r>
    <s v="TRIP04287"/>
    <x v="46"/>
    <x v="3"/>
    <s v="Kolkata"/>
    <n v="18.16"/>
    <d v="1900-02-17T07:12:00"/>
    <n v="319.38"/>
    <n v="2"/>
    <n v="638.76"/>
    <n v="3.3"/>
    <x v="1"/>
    <x v="0"/>
  </r>
  <r>
    <s v="TRIP04288"/>
    <x v="142"/>
    <x v="0"/>
    <s v="Kolkata"/>
    <n v="9.18"/>
    <d v="1900-01-31T09:36:00"/>
    <n v="101.59"/>
    <n v="1"/>
    <n v="101.59"/>
    <n v="3.2"/>
    <x v="0"/>
    <x v="3"/>
  </r>
  <r>
    <s v="TRIP04289"/>
    <x v="236"/>
    <x v="3"/>
    <s v="Chennai"/>
    <n v="22.45"/>
    <d v="1900-02-17T16:48:00"/>
    <n v="322.86"/>
    <n v="1.2"/>
    <n v="387.43"/>
    <n v="3.9"/>
    <x v="1"/>
    <x v="0"/>
  </r>
  <r>
    <s v="TRIP04290"/>
    <x v="79"/>
    <x v="1"/>
    <s v="Bangalore"/>
    <n v="17.97"/>
    <d v="1900-03-03T22:48:00"/>
    <n v="345.13"/>
    <n v="1.2"/>
    <n v="414.16"/>
    <n v="3.3"/>
    <x v="2"/>
    <x v="1"/>
  </r>
  <r>
    <s v="TRIP04291"/>
    <x v="364"/>
    <x v="0"/>
    <s v="Bangalore"/>
    <n v="3.16"/>
    <d v="1900-01-08T08:52:48"/>
    <n v="46.9"/>
    <n v="1"/>
    <n v="46.9"/>
    <n v="4.0999999999999996"/>
    <x v="1"/>
    <x v="0"/>
  </r>
  <r>
    <s v="TRIP04292"/>
    <x v="277"/>
    <x v="0"/>
    <s v="Delhi"/>
    <n v="9.19"/>
    <d v="1900-01-22T16:19:12"/>
    <n v="113.43"/>
    <n v="1.2"/>
    <n v="136.12"/>
    <n v="4.7"/>
    <x v="1"/>
    <x v="2"/>
  </r>
  <r>
    <s v="TRIP04293"/>
    <x v="109"/>
    <x v="4"/>
    <s v="Mumbai"/>
    <n v="20.75"/>
    <d v="1900-03-12T07:12:00"/>
    <n v="376.28"/>
    <n v="1"/>
    <n v="376.28"/>
    <n v="4.8"/>
    <x v="0"/>
    <x v="2"/>
  </r>
  <r>
    <s v="TRIP04294"/>
    <x v="281"/>
    <x v="0"/>
    <s v="Chennai"/>
    <n v="29.27"/>
    <d v="1900-02-27T09:07:12"/>
    <n v="573.89"/>
    <n v="1.5"/>
    <n v="860.84"/>
    <n v="3.4"/>
    <x v="0"/>
    <x v="3"/>
  </r>
  <r>
    <s v="TRIP04295"/>
    <x v="56"/>
    <x v="2"/>
    <s v="Delhi"/>
    <n v="20.16"/>
    <d v="1900-02-18T02:38:24"/>
    <n v="390.86"/>
    <n v="1"/>
    <n v="390.86"/>
    <n v="3.3"/>
    <x v="3"/>
    <x v="2"/>
  </r>
  <r>
    <s v="TRIP04296"/>
    <x v="268"/>
    <x v="4"/>
    <s v="Bangalore"/>
    <n v="15.64"/>
    <d v="1900-02-14T13:12:00"/>
    <n v="181.95"/>
    <n v="1.2"/>
    <n v="218.34"/>
    <n v="3.4"/>
    <x v="2"/>
    <x v="2"/>
  </r>
  <r>
    <s v="TRIP04297"/>
    <x v="185"/>
    <x v="2"/>
    <s v="Bangalore"/>
    <n v="26.82"/>
    <d v="1900-02-22T03:21:36"/>
    <n v="530.04"/>
    <n v="1.2"/>
    <n v="636.04999999999995"/>
    <n v="3.4"/>
    <x v="2"/>
    <x v="0"/>
  </r>
  <r>
    <s v="TRIP04298"/>
    <x v="266"/>
    <x v="0"/>
    <s v="Chennai"/>
    <n v="24.63"/>
    <d v="1900-04-03T08:52:48"/>
    <n v="346.37"/>
    <n v="1.5"/>
    <n v="519.55999999999995"/>
    <n v="3.5"/>
    <x v="1"/>
    <x v="2"/>
  </r>
  <r>
    <s v="TRIP04299"/>
    <x v="71"/>
    <x v="0"/>
    <s v="Chennai"/>
    <n v="22.35"/>
    <d v="1900-03-14T23:31:12"/>
    <n v="439.67"/>
    <n v="1.5"/>
    <n v="659.5"/>
    <n v="4.5999999999999996"/>
    <x v="4"/>
    <x v="1"/>
  </r>
  <r>
    <s v="TRIP04300"/>
    <x v="2"/>
    <x v="2"/>
    <s v="Bangalore"/>
    <n v="15.67"/>
    <d v="1900-02-27T15:07:12"/>
    <n v="246.99"/>
    <n v="1.5"/>
    <n v="370.48"/>
    <n v="3.3"/>
    <x v="3"/>
    <x v="1"/>
  </r>
  <r>
    <s v="TRIP04301"/>
    <x v="363"/>
    <x v="1"/>
    <s v="Kolkata"/>
    <n v="25.17"/>
    <d v="1900-03-04T13:26:24"/>
    <n v="278.76"/>
    <n v="2"/>
    <n v="557.52"/>
    <n v="3"/>
    <x v="4"/>
    <x v="0"/>
  </r>
  <r>
    <s v="TRIP04302"/>
    <x v="21"/>
    <x v="3"/>
    <s v="Delhi"/>
    <n v="19.68"/>
    <d v="1900-02-10T23:16:48"/>
    <n v="200.92"/>
    <n v="1"/>
    <n v="200.92"/>
    <n v="4.4000000000000004"/>
    <x v="0"/>
    <x v="0"/>
  </r>
  <r>
    <s v="TRIP04303"/>
    <x v="173"/>
    <x v="1"/>
    <s v="Chennai"/>
    <n v="18.809999999999999"/>
    <d v="1900-02-24T10:04:48"/>
    <n v="245.8"/>
    <n v="1.2"/>
    <n v="294.95999999999998"/>
    <n v="3.6"/>
    <x v="0"/>
    <x v="1"/>
  </r>
  <r>
    <s v="TRIP04304"/>
    <x v="7"/>
    <x v="4"/>
    <s v="Bangalore"/>
    <n v="10.7"/>
    <d v="1900-01-27T08:09:36"/>
    <n v="181.32"/>
    <n v="2"/>
    <n v="362.64"/>
    <n v="4.5"/>
    <x v="2"/>
    <x v="3"/>
  </r>
  <r>
    <s v="TRIP04305"/>
    <x v="153"/>
    <x v="4"/>
    <s v="Chennai"/>
    <n v="29.12"/>
    <d v="1900-03-23T03:36:00"/>
    <n v="456.04"/>
    <n v="1"/>
    <n v="456.04"/>
    <n v="3.9"/>
    <x v="3"/>
    <x v="3"/>
  </r>
  <r>
    <s v="TRIP04306"/>
    <x v="231"/>
    <x v="4"/>
    <s v="Mumbai"/>
    <n v="10.02"/>
    <d v="1900-02-04T00:43:12"/>
    <n v="111.24"/>
    <n v="1.2"/>
    <n v="133.49"/>
    <n v="3.4"/>
    <x v="0"/>
    <x v="1"/>
  </r>
  <r>
    <s v="TRIP04307"/>
    <x v="80"/>
    <x v="0"/>
    <s v="Kolkata"/>
    <n v="18.86"/>
    <d v="1900-02-13T22:33:36"/>
    <n v="334.24"/>
    <n v="1.2"/>
    <n v="401.09"/>
    <n v="3.8"/>
    <x v="1"/>
    <x v="3"/>
  </r>
  <r>
    <s v="TRIP04308"/>
    <x v="73"/>
    <x v="4"/>
    <s v="Delhi"/>
    <n v="25.71"/>
    <d v="1900-03-31T01:55:12"/>
    <n v="408.53"/>
    <n v="1.5"/>
    <n v="612.79"/>
    <n v="3.2"/>
    <x v="0"/>
    <x v="3"/>
  </r>
  <r>
    <s v="TRIP04309"/>
    <x v="127"/>
    <x v="4"/>
    <s v="Chennai"/>
    <n v="19.95"/>
    <d v="1900-03-18T14:52:48"/>
    <n v="315.23"/>
    <n v="2"/>
    <n v="630.46"/>
    <n v="3.6"/>
    <x v="4"/>
    <x v="2"/>
  </r>
  <r>
    <s v="TRIP04310"/>
    <x v="144"/>
    <x v="4"/>
    <s v="Kolkata"/>
    <n v="10.78"/>
    <d v="1900-02-10T08:09:36"/>
    <n v="110.17"/>
    <n v="1"/>
    <n v="110.17"/>
    <n v="4.3"/>
    <x v="0"/>
    <x v="2"/>
  </r>
  <r>
    <s v="TRIP04311"/>
    <x v="89"/>
    <x v="0"/>
    <s v="Chennai"/>
    <n v="10.83"/>
    <d v="1900-02-03T16:48:00"/>
    <n v="169.19"/>
    <n v="2"/>
    <n v="338.38"/>
    <n v="4.9000000000000004"/>
    <x v="1"/>
    <x v="2"/>
  </r>
  <r>
    <s v="TRIP04312"/>
    <x v="62"/>
    <x v="0"/>
    <s v="Chennai"/>
    <n v="18.489999999999998"/>
    <d v="1900-03-07T03:36:00"/>
    <n v="242.64"/>
    <n v="2"/>
    <n v="485.28"/>
    <n v="4.3"/>
    <x v="1"/>
    <x v="3"/>
  </r>
  <r>
    <s v="TRIP04313"/>
    <x v="71"/>
    <x v="1"/>
    <s v="Kolkata"/>
    <n v="17.77"/>
    <d v="1900-02-05T17:31:12"/>
    <n v="261.3"/>
    <n v="1"/>
    <n v="261.3"/>
    <n v="4.5999999999999996"/>
    <x v="2"/>
    <x v="3"/>
  </r>
  <r>
    <s v="TRIP04314"/>
    <x v="127"/>
    <x v="4"/>
    <s v="Chennai"/>
    <n v="20.74"/>
    <d v="1900-03-22T16:04:48"/>
    <n v="337.82"/>
    <n v="2"/>
    <n v="675.64"/>
    <n v="4.4000000000000004"/>
    <x v="3"/>
    <x v="2"/>
  </r>
  <r>
    <s v="TRIP04315"/>
    <x v="145"/>
    <x v="4"/>
    <s v="Delhi"/>
    <n v="10.86"/>
    <d v="1900-02-09T15:21:36"/>
    <n v="190.61"/>
    <n v="1"/>
    <n v="190.61"/>
    <n v="4.7"/>
    <x v="0"/>
    <x v="0"/>
  </r>
  <r>
    <s v="TRIP04316"/>
    <x v="57"/>
    <x v="2"/>
    <s v="Kolkata"/>
    <n v="13.31"/>
    <d v="1900-02-13T12:43:12"/>
    <n v="248.59"/>
    <n v="1"/>
    <n v="248.59"/>
    <n v="3.8"/>
    <x v="3"/>
    <x v="3"/>
  </r>
  <r>
    <s v="TRIP04317"/>
    <x v="49"/>
    <x v="1"/>
    <s v="Delhi"/>
    <n v="10.43"/>
    <d v="1900-01-28T15:50:24"/>
    <n v="115.72"/>
    <n v="1.5"/>
    <n v="173.58"/>
    <n v="4.5999999999999996"/>
    <x v="4"/>
    <x v="3"/>
  </r>
  <r>
    <s v="TRIP04318"/>
    <x v="333"/>
    <x v="0"/>
    <s v="Bangalore"/>
    <n v="11.46"/>
    <d v="1900-02-05T03:21:36"/>
    <n v="190.92"/>
    <n v="2"/>
    <n v="381.84"/>
    <n v="5"/>
    <x v="4"/>
    <x v="3"/>
  </r>
  <r>
    <s v="TRIP04319"/>
    <x v="62"/>
    <x v="1"/>
    <s v="Delhi"/>
    <n v="14"/>
    <d v="1900-02-06T05:16:48"/>
    <n v="277.61"/>
    <n v="1.5"/>
    <n v="416.42"/>
    <n v="4.2"/>
    <x v="3"/>
    <x v="0"/>
  </r>
  <r>
    <s v="TRIP04320"/>
    <x v="324"/>
    <x v="0"/>
    <s v="Bangalore"/>
    <n v="11.08"/>
    <d v="1900-02-07T13:40:48"/>
    <n v="135.58000000000001"/>
    <n v="1.5"/>
    <n v="203.37"/>
    <n v="3.4"/>
    <x v="3"/>
    <x v="0"/>
  </r>
  <r>
    <s v="TRIP04321"/>
    <x v="19"/>
    <x v="3"/>
    <s v="Chennai"/>
    <n v="4.12"/>
    <d v="1900-01-09T11:45:36"/>
    <n v="57.77"/>
    <n v="1.5"/>
    <n v="86.66"/>
    <n v="3.4"/>
    <x v="4"/>
    <x v="3"/>
  </r>
  <r>
    <s v="TRIP04322"/>
    <x v="84"/>
    <x v="4"/>
    <s v="Mumbai"/>
    <n v="20.13"/>
    <d v="1900-03-09T02:09:36"/>
    <n v="332.93"/>
    <n v="2"/>
    <n v="665.86"/>
    <n v="4.2"/>
    <x v="4"/>
    <x v="0"/>
  </r>
  <r>
    <s v="TRIP04323"/>
    <x v="362"/>
    <x v="3"/>
    <s v="Bangalore"/>
    <n v="16.440000000000001"/>
    <d v="1900-03-05T11:16:48"/>
    <n v="251.84"/>
    <n v="1.5"/>
    <n v="377.76"/>
    <n v="3.7"/>
    <x v="4"/>
    <x v="2"/>
  </r>
  <r>
    <s v="TRIP04324"/>
    <x v="66"/>
    <x v="2"/>
    <s v="Mumbai"/>
    <n v="29.83"/>
    <d v="1900-03-24T23:02:24"/>
    <n v="487.7"/>
    <n v="2"/>
    <n v="975.4"/>
    <n v="3.4"/>
    <x v="0"/>
    <x v="1"/>
  </r>
  <r>
    <s v="TRIP04325"/>
    <x v="26"/>
    <x v="4"/>
    <s v="Delhi"/>
    <n v="28.21"/>
    <d v="1900-03-13T21:21:36"/>
    <n v="513.1"/>
    <n v="1"/>
    <n v="513.1"/>
    <n v="4.9000000000000004"/>
    <x v="3"/>
    <x v="2"/>
  </r>
  <r>
    <s v="TRIP04326"/>
    <x v="194"/>
    <x v="1"/>
    <s v="Bangalore"/>
    <n v="24.12"/>
    <d v="1900-03-08T20:09:36"/>
    <n v="270.24"/>
    <n v="1.5"/>
    <n v="405.36"/>
    <n v="3.9"/>
    <x v="2"/>
    <x v="0"/>
  </r>
  <r>
    <s v="TRIP04327"/>
    <x v="152"/>
    <x v="4"/>
    <s v="Chennai"/>
    <n v="16.71"/>
    <d v="1900-02-28T10:04:48"/>
    <n v="327.66000000000003"/>
    <n v="1.5"/>
    <n v="491.49"/>
    <n v="3"/>
    <x v="0"/>
    <x v="3"/>
  </r>
  <r>
    <s v="TRIP04328"/>
    <x v="211"/>
    <x v="0"/>
    <s v="Delhi"/>
    <n v="13.66"/>
    <d v="1900-02-07T19:12:00"/>
    <n v="248.39"/>
    <n v="1.2"/>
    <n v="298.07"/>
    <n v="4.5"/>
    <x v="3"/>
    <x v="2"/>
  </r>
  <r>
    <s v="TRIP04329"/>
    <x v="194"/>
    <x v="4"/>
    <s v="Kolkata"/>
    <n v="21.67"/>
    <d v="1900-03-07T07:12:00"/>
    <n v="380.21"/>
    <n v="2"/>
    <n v="760.42"/>
    <n v="4"/>
    <x v="3"/>
    <x v="1"/>
  </r>
  <r>
    <s v="TRIP04330"/>
    <x v="345"/>
    <x v="2"/>
    <s v="Delhi"/>
    <n v="7.83"/>
    <d v="1900-01-30T01:40:48"/>
    <n v="120.76"/>
    <n v="1.5"/>
    <n v="181.14"/>
    <n v="3.9"/>
    <x v="3"/>
    <x v="0"/>
  </r>
  <r>
    <s v="TRIP04331"/>
    <x v="186"/>
    <x v="4"/>
    <s v="Delhi"/>
    <n v="10.33"/>
    <d v="1900-01-26T14:09:36"/>
    <n v="175.48"/>
    <n v="1.5"/>
    <n v="263.22000000000003"/>
    <n v="4.9000000000000004"/>
    <x v="0"/>
    <x v="1"/>
  </r>
  <r>
    <s v="TRIP04332"/>
    <x v="95"/>
    <x v="2"/>
    <s v="Bangalore"/>
    <n v="18.170000000000002"/>
    <d v="1900-03-04T06:43:12"/>
    <n v="198.12"/>
    <n v="1"/>
    <n v="198.12"/>
    <n v="3.9"/>
    <x v="0"/>
    <x v="0"/>
  </r>
  <r>
    <s v="TRIP04333"/>
    <x v="336"/>
    <x v="1"/>
    <s v="Mumbai"/>
    <n v="13.29"/>
    <d v="1900-02-12T15:21:36"/>
    <n v="147.6"/>
    <n v="2"/>
    <n v="295.2"/>
    <n v="5"/>
    <x v="0"/>
    <x v="2"/>
  </r>
  <r>
    <s v="TRIP04334"/>
    <x v="171"/>
    <x v="3"/>
    <s v="Kolkata"/>
    <n v="23.61"/>
    <d v="1900-03-13T06:14:24"/>
    <n v="278.99"/>
    <n v="1.5"/>
    <n v="418.48"/>
    <n v="4"/>
    <x v="4"/>
    <x v="2"/>
  </r>
  <r>
    <s v="TRIP04335"/>
    <x v="158"/>
    <x v="4"/>
    <s v="Delhi"/>
    <n v="27.24"/>
    <d v="1900-04-08T01:40:48"/>
    <n v="470.11"/>
    <n v="1"/>
    <n v="470.11"/>
    <n v="3.4"/>
    <x v="0"/>
    <x v="2"/>
  </r>
  <r>
    <s v="TRIP04336"/>
    <x v="62"/>
    <x v="2"/>
    <s v="Chennai"/>
    <n v="29.91"/>
    <d v="1900-03-16T10:48:00"/>
    <n v="532.29999999999995"/>
    <n v="1"/>
    <n v="532.29999999999995"/>
    <n v="3.6"/>
    <x v="3"/>
    <x v="2"/>
  </r>
  <r>
    <s v="TRIP04337"/>
    <x v="197"/>
    <x v="2"/>
    <s v="Mumbai"/>
    <n v="25.01"/>
    <d v="1900-04-08T23:16:48"/>
    <n v="397.24"/>
    <n v="2"/>
    <n v="794.48"/>
    <n v="3.5"/>
    <x v="1"/>
    <x v="0"/>
  </r>
  <r>
    <s v="TRIP04338"/>
    <x v="264"/>
    <x v="4"/>
    <s v="Delhi"/>
    <n v="21.62"/>
    <d v="1900-03-16T17:16:48"/>
    <n v="216.31"/>
    <n v="1"/>
    <n v="216.31"/>
    <n v="3.8"/>
    <x v="1"/>
    <x v="2"/>
  </r>
  <r>
    <s v="TRIP04339"/>
    <x v="125"/>
    <x v="0"/>
    <s v="Bangalore"/>
    <n v="14.33"/>
    <d v="1900-02-05T05:45:36"/>
    <n v="233.48"/>
    <n v="2"/>
    <n v="466.96"/>
    <n v="3.7"/>
    <x v="4"/>
    <x v="2"/>
  </r>
  <r>
    <s v="TRIP04340"/>
    <x v="163"/>
    <x v="0"/>
    <s v="Mumbai"/>
    <n v="3.73"/>
    <d v="1900-01-12T18:28:48"/>
    <n v="39.409999999999997"/>
    <n v="2"/>
    <n v="78.819999999999993"/>
    <n v="4.3"/>
    <x v="0"/>
    <x v="2"/>
  </r>
  <r>
    <s v="TRIP04341"/>
    <x v="348"/>
    <x v="3"/>
    <s v="Mumbai"/>
    <n v="7.64"/>
    <d v="1900-01-18T11:02:24"/>
    <n v="79.33"/>
    <n v="1.2"/>
    <n v="95.2"/>
    <n v="4.5999999999999996"/>
    <x v="3"/>
    <x v="0"/>
  </r>
  <r>
    <s v="TRIP04342"/>
    <x v="8"/>
    <x v="1"/>
    <s v="Kolkata"/>
    <n v="28.16"/>
    <d v="1900-03-16T09:07:12"/>
    <n v="394.04"/>
    <n v="1.2"/>
    <n v="472.85"/>
    <n v="5"/>
    <x v="4"/>
    <x v="0"/>
  </r>
  <r>
    <s v="TRIP04343"/>
    <x v="15"/>
    <x v="0"/>
    <s v="Kolkata"/>
    <n v="10.11"/>
    <d v="1900-01-21T14:52:48"/>
    <n v="147.09"/>
    <n v="1.5"/>
    <n v="220.64"/>
    <n v="3.6"/>
    <x v="2"/>
    <x v="3"/>
  </r>
  <r>
    <s v="TRIP04344"/>
    <x v="80"/>
    <x v="0"/>
    <s v="Bangalore"/>
    <n v="1.77"/>
    <d v="1900-01-05T02:09:36"/>
    <n v="18.05"/>
    <n v="2"/>
    <n v="36.1"/>
    <n v="4.2"/>
    <x v="4"/>
    <x v="2"/>
  </r>
  <r>
    <s v="TRIP04345"/>
    <x v="156"/>
    <x v="3"/>
    <s v="Bangalore"/>
    <n v="20.25"/>
    <d v="1900-02-26T02:38:24"/>
    <n v="214.58"/>
    <n v="1.2"/>
    <n v="257.5"/>
    <n v="4.8"/>
    <x v="2"/>
    <x v="1"/>
  </r>
  <r>
    <s v="TRIP04346"/>
    <x v="9"/>
    <x v="0"/>
    <s v="Bangalore"/>
    <n v="25.79"/>
    <d v="1900-03-29T08:24:00"/>
    <n v="278.35000000000002"/>
    <n v="1.2"/>
    <n v="334.02"/>
    <n v="3.3"/>
    <x v="1"/>
    <x v="0"/>
  </r>
  <r>
    <s v="TRIP04347"/>
    <x v="321"/>
    <x v="3"/>
    <s v="Delhi"/>
    <n v="4.38"/>
    <d v="1900-01-11T18:14:24"/>
    <n v="86.91"/>
    <n v="1.5"/>
    <n v="130.36000000000001"/>
    <n v="4.3"/>
    <x v="4"/>
    <x v="2"/>
  </r>
  <r>
    <s v="TRIP04348"/>
    <x v="207"/>
    <x v="1"/>
    <s v="Kolkata"/>
    <n v="20.81"/>
    <d v="1900-03-16T23:45:36"/>
    <n v="252.99"/>
    <n v="1.2"/>
    <n v="303.58999999999997"/>
    <n v="3.3"/>
    <x v="3"/>
    <x v="3"/>
  </r>
  <r>
    <s v="TRIP04349"/>
    <x v="279"/>
    <x v="2"/>
    <s v="Chennai"/>
    <n v="23.33"/>
    <d v="1900-02-14T21:50:24"/>
    <n v="405.33"/>
    <n v="1"/>
    <n v="405.33"/>
    <n v="3.6"/>
    <x v="1"/>
    <x v="0"/>
  </r>
  <r>
    <s v="TRIP04350"/>
    <x v="145"/>
    <x v="4"/>
    <s v="Mumbai"/>
    <n v="2.33"/>
    <d v="1900-01-06T08:38:24"/>
    <n v="41.14"/>
    <n v="1"/>
    <n v="41.14"/>
    <n v="3.6"/>
    <x v="3"/>
    <x v="1"/>
  </r>
  <r>
    <s v="TRIP04351"/>
    <x v="131"/>
    <x v="0"/>
    <s v="Bangalore"/>
    <n v="11.26"/>
    <d v="1900-02-03T10:33:36"/>
    <n v="155.9"/>
    <n v="1.5"/>
    <n v="233.85"/>
    <n v="4.5999999999999996"/>
    <x v="1"/>
    <x v="3"/>
  </r>
  <r>
    <s v="TRIP04352"/>
    <x v="104"/>
    <x v="4"/>
    <s v="Delhi"/>
    <n v="22.86"/>
    <d v="1900-03-01T12:14:24"/>
    <n v="327.96"/>
    <n v="2"/>
    <n v="655.92"/>
    <n v="3.4"/>
    <x v="1"/>
    <x v="1"/>
  </r>
  <r>
    <s v="TRIP04353"/>
    <x v="177"/>
    <x v="3"/>
    <s v="Mumbai"/>
    <n v="20.85"/>
    <d v="1900-03-04T06:14:24"/>
    <n v="407.49"/>
    <n v="1.5"/>
    <n v="611.24"/>
    <n v="4.5999999999999996"/>
    <x v="4"/>
    <x v="3"/>
  </r>
  <r>
    <s v="TRIP04354"/>
    <x v="223"/>
    <x v="0"/>
    <s v="Kolkata"/>
    <n v="17.190000000000001"/>
    <d v="1900-02-16T11:02:24"/>
    <n v="308.55"/>
    <n v="1.2"/>
    <n v="370.26"/>
    <n v="4.9000000000000004"/>
    <x v="0"/>
    <x v="3"/>
  </r>
  <r>
    <s v="TRIP04355"/>
    <x v="95"/>
    <x v="1"/>
    <s v="Mumbai"/>
    <n v="27.73"/>
    <d v="1900-02-27T15:50:24"/>
    <n v="475.64"/>
    <n v="1.5"/>
    <n v="713.46"/>
    <n v="3.7"/>
    <x v="0"/>
    <x v="1"/>
  </r>
  <r>
    <s v="TRIP04356"/>
    <x v="216"/>
    <x v="2"/>
    <s v="Mumbai"/>
    <n v="18.190000000000001"/>
    <d v="1900-02-25T17:45:36"/>
    <n v="278.22000000000003"/>
    <n v="1.5"/>
    <n v="417.33"/>
    <n v="3.4"/>
    <x v="2"/>
    <x v="2"/>
  </r>
  <r>
    <s v="TRIP04357"/>
    <x v="259"/>
    <x v="2"/>
    <s v="Bangalore"/>
    <n v="24.2"/>
    <d v="1900-03-12T17:02:24"/>
    <n v="412.87"/>
    <n v="1.5"/>
    <n v="619.30999999999995"/>
    <n v="4.8"/>
    <x v="0"/>
    <x v="2"/>
  </r>
  <r>
    <s v="TRIP04358"/>
    <x v="36"/>
    <x v="0"/>
    <s v="Kolkata"/>
    <n v="3.32"/>
    <d v="1900-01-07T06:28:48"/>
    <n v="41.67"/>
    <n v="1.2"/>
    <n v="50"/>
    <n v="4"/>
    <x v="4"/>
    <x v="2"/>
  </r>
  <r>
    <s v="TRIP04359"/>
    <x v="56"/>
    <x v="0"/>
    <s v="Kolkata"/>
    <n v="18.04"/>
    <d v="1900-02-24T22:33:36"/>
    <n v="278.43"/>
    <n v="1"/>
    <n v="278.43"/>
    <n v="3.6"/>
    <x v="1"/>
    <x v="3"/>
  </r>
  <r>
    <s v="TRIP04360"/>
    <x v="276"/>
    <x v="1"/>
    <s v="Mumbai"/>
    <n v="24.97"/>
    <d v="1900-03-07T05:31:12"/>
    <n v="271.06"/>
    <n v="1"/>
    <n v="271.06"/>
    <n v="3.1"/>
    <x v="0"/>
    <x v="3"/>
  </r>
  <r>
    <s v="TRIP04361"/>
    <x v="352"/>
    <x v="0"/>
    <s v="Mumbai"/>
    <n v="16.350000000000001"/>
    <d v="1900-02-24T09:50:24"/>
    <n v="292.58999999999997"/>
    <n v="2"/>
    <n v="585.17999999999995"/>
    <n v="4.5"/>
    <x v="2"/>
    <x v="2"/>
  </r>
  <r>
    <s v="TRIP04362"/>
    <x v="25"/>
    <x v="2"/>
    <s v="Chennai"/>
    <n v="19.850000000000001"/>
    <d v="1900-02-28T05:02:24"/>
    <n v="234.71"/>
    <n v="1.5"/>
    <n v="352.06"/>
    <n v="4.7"/>
    <x v="0"/>
    <x v="3"/>
  </r>
  <r>
    <s v="TRIP04363"/>
    <x v="214"/>
    <x v="3"/>
    <s v="Mumbai"/>
    <n v="29.11"/>
    <d v="1900-04-12T11:45:36"/>
    <n v="412.81"/>
    <n v="1.2"/>
    <n v="495.37"/>
    <n v="3.9"/>
    <x v="4"/>
    <x v="0"/>
  </r>
  <r>
    <s v="TRIP04364"/>
    <x v="231"/>
    <x v="4"/>
    <s v="Delhi"/>
    <n v="26.73"/>
    <d v="1900-03-06T13:40:48"/>
    <n v="373.77"/>
    <n v="1"/>
    <n v="373.77"/>
    <n v="4.9000000000000004"/>
    <x v="2"/>
    <x v="0"/>
  </r>
  <r>
    <s v="TRIP04365"/>
    <x v="86"/>
    <x v="4"/>
    <s v="Kolkata"/>
    <n v="27.58"/>
    <d v="1900-04-11T00:43:12"/>
    <n v="495.81"/>
    <n v="2"/>
    <n v="991.62"/>
    <n v="4"/>
    <x v="1"/>
    <x v="0"/>
  </r>
  <r>
    <s v="TRIP04366"/>
    <x v="79"/>
    <x v="1"/>
    <s v="Mumbai"/>
    <n v="22.78"/>
    <d v="1900-03-30T08:09:36"/>
    <n v="229.39"/>
    <n v="2"/>
    <n v="458.78"/>
    <n v="4.0999999999999996"/>
    <x v="4"/>
    <x v="2"/>
  </r>
  <r>
    <s v="TRIP04367"/>
    <x v="141"/>
    <x v="1"/>
    <s v="Kolkata"/>
    <n v="25.71"/>
    <d v="1900-03-12T16:19:12"/>
    <n v="437.21"/>
    <n v="1"/>
    <n v="437.21"/>
    <n v="4.0999999999999996"/>
    <x v="1"/>
    <x v="0"/>
  </r>
  <r>
    <s v="TRIP04368"/>
    <x v="332"/>
    <x v="4"/>
    <s v="Kolkata"/>
    <n v="1.32"/>
    <d v="1900-01-03T01:55:12"/>
    <n v="18.95"/>
    <n v="2"/>
    <n v="37.9"/>
    <n v="4.7"/>
    <x v="2"/>
    <x v="2"/>
  </r>
  <r>
    <s v="TRIP04369"/>
    <x v="103"/>
    <x v="3"/>
    <s v="Kolkata"/>
    <n v="27.61"/>
    <d v="1900-03-15T01:12:00"/>
    <n v="512.5"/>
    <n v="1.2"/>
    <n v="615"/>
    <n v="3.6"/>
    <x v="3"/>
    <x v="3"/>
  </r>
  <r>
    <s v="TRIP04370"/>
    <x v="157"/>
    <x v="3"/>
    <s v="Delhi"/>
    <n v="13.96"/>
    <d v="1900-02-17T04:04:48"/>
    <n v="238.43"/>
    <n v="1"/>
    <n v="238.43"/>
    <n v="4.8"/>
    <x v="4"/>
    <x v="3"/>
  </r>
  <r>
    <s v="TRIP04371"/>
    <x v="227"/>
    <x v="2"/>
    <s v="Kolkata"/>
    <n v="8.68"/>
    <d v="1900-01-18T15:07:12"/>
    <n v="112.38"/>
    <n v="2"/>
    <n v="224.76"/>
    <n v="4.3"/>
    <x v="3"/>
    <x v="2"/>
  </r>
  <r>
    <s v="TRIP04372"/>
    <x v="333"/>
    <x v="2"/>
    <s v="Chennai"/>
    <n v="10.4"/>
    <d v="1900-02-04T06:28:48"/>
    <n v="125.11"/>
    <n v="1.2"/>
    <n v="150.13"/>
    <n v="4.5"/>
    <x v="0"/>
    <x v="0"/>
  </r>
  <r>
    <s v="TRIP04373"/>
    <x v="196"/>
    <x v="0"/>
    <s v="Chennai"/>
    <n v="26.13"/>
    <d v="1900-03-04T20:52:48"/>
    <n v="311.24"/>
    <n v="1.5"/>
    <n v="466.86"/>
    <n v="3.9"/>
    <x v="1"/>
    <x v="1"/>
  </r>
  <r>
    <s v="TRIP04374"/>
    <x v="173"/>
    <x v="2"/>
    <s v="Mumbai"/>
    <n v="23.98"/>
    <d v="1900-03-01T15:07:12"/>
    <n v="242.17"/>
    <n v="1.2"/>
    <n v="290.60000000000002"/>
    <n v="3.9"/>
    <x v="1"/>
    <x v="0"/>
  </r>
  <r>
    <s v="TRIP04375"/>
    <x v="186"/>
    <x v="3"/>
    <s v="Delhi"/>
    <n v="20.87"/>
    <d v="1900-03-19T22:04:48"/>
    <n v="321.64"/>
    <n v="2"/>
    <n v="643.28"/>
    <n v="3.3"/>
    <x v="0"/>
    <x v="3"/>
  </r>
  <r>
    <s v="TRIP04376"/>
    <x v="142"/>
    <x v="2"/>
    <s v="Bangalore"/>
    <n v="9.85"/>
    <d v="1900-02-03T09:21:36"/>
    <n v="142.72999999999999"/>
    <n v="1.5"/>
    <n v="214.09"/>
    <n v="3.4"/>
    <x v="0"/>
    <x v="0"/>
  </r>
  <r>
    <s v="TRIP04377"/>
    <x v="275"/>
    <x v="2"/>
    <s v="Kolkata"/>
    <n v="14.71"/>
    <d v="1900-02-11T02:24:00"/>
    <n v="243.22"/>
    <n v="1"/>
    <n v="243.22"/>
    <n v="4.2"/>
    <x v="1"/>
    <x v="1"/>
  </r>
  <r>
    <s v="TRIP04378"/>
    <x v="363"/>
    <x v="4"/>
    <s v="Mumbai"/>
    <n v="15.73"/>
    <d v="1900-02-27T23:45:36"/>
    <n v="182.38"/>
    <n v="1"/>
    <n v="182.38"/>
    <n v="4.5999999999999996"/>
    <x v="4"/>
    <x v="3"/>
  </r>
  <r>
    <s v="TRIP04379"/>
    <x v="173"/>
    <x v="0"/>
    <s v="Delhi"/>
    <n v="22.71"/>
    <d v="1900-02-20T06:14:24"/>
    <n v="440.94"/>
    <n v="1"/>
    <n v="440.94"/>
    <n v="3.2"/>
    <x v="4"/>
    <x v="0"/>
  </r>
  <r>
    <s v="TRIP04380"/>
    <x v="86"/>
    <x v="4"/>
    <s v="Delhi"/>
    <n v="8.15"/>
    <d v="1900-01-27T08:24:00"/>
    <n v="145.15"/>
    <n v="1.2"/>
    <n v="174.18"/>
    <n v="3.6"/>
    <x v="3"/>
    <x v="2"/>
  </r>
  <r>
    <s v="TRIP04381"/>
    <x v="48"/>
    <x v="1"/>
    <s v="Chennai"/>
    <n v="6.18"/>
    <d v="1900-01-21T12:57:36"/>
    <n v="68.23"/>
    <n v="1"/>
    <n v="68.23"/>
    <n v="3.4"/>
    <x v="3"/>
    <x v="0"/>
  </r>
  <r>
    <s v="TRIP04382"/>
    <x v="79"/>
    <x v="1"/>
    <s v="Mumbai"/>
    <n v="5.71"/>
    <d v="1900-01-12T18:28:48"/>
    <n v="85.24"/>
    <n v="1"/>
    <n v="85.24"/>
    <n v="4.3"/>
    <x v="1"/>
    <x v="1"/>
  </r>
  <r>
    <s v="TRIP04383"/>
    <x v="9"/>
    <x v="0"/>
    <s v="Bangalore"/>
    <n v="16.649999999999999"/>
    <d v="1900-02-06T12:28:48"/>
    <n v="244.99"/>
    <n v="1.2"/>
    <n v="293.99"/>
    <n v="3.8"/>
    <x v="1"/>
    <x v="2"/>
  </r>
  <r>
    <s v="TRIP04384"/>
    <x v="232"/>
    <x v="1"/>
    <s v="Chennai"/>
    <n v="10.87"/>
    <d v="1900-01-22T23:45:36"/>
    <n v="128.66"/>
    <n v="2"/>
    <n v="257.32"/>
    <n v="4.2"/>
    <x v="1"/>
    <x v="3"/>
  </r>
  <r>
    <s v="TRIP04385"/>
    <x v="167"/>
    <x v="0"/>
    <s v="Chennai"/>
    <n v="23.48"/>
    <d v="1900-03-17T13:26:24"/>
    <n v="289.83999999999997"/>
    <n v="2"/>
    <n v="579.67999999999995"/>
    <n v="3.2"/>
    <x v="3"/>
    <x v="2"/>
  </r>
  <r>
    <s v="TRIP04386"/>
    <x v="223"/>
    <x v="1"/>
    <s v="Kolkata"/>
    <n v="5.9"/>
    <d v="1900-01-14T15:36:00"/>
    <n v="76.88"/>
    <n v="1.2"/>
    <n v="92.26"/>
    <n v="4.3"/>
    <x v="3"/>
    <x v="1"/>
  </r>
  <r>
    <s v="TRIP04387"/>
    <x v="213"/>
    <x v="2"/>
    <s v="Bangalore"/>
    <n v="23.15"/>
    <d v="1900-03-12T22:33:36"/>
    <n v="422.79"/>
    <n v="1.5"/>
    <n v="634.19000000000005"/>
    <n v="4.0999999999999996"/>
    <x v="4"/>
    <x v="1"/>
  </r>
  <r>
    <s v="TRIP04388"/>
    <x v="65"/>
    <x v="3"/>
    <s v="Mumbai"/>
    <n v="18.670000000000002"/>
    <d v="1900-03-02T13:55:12"/>
    <n v="316.60000000000002"/>
    <n v="2"/>
    <n v="633.20000000000005"/>
    <n v="3.8"/>
    <x v="3"/>
    <x v="3"/>
  </r>
  <r>
    <s v="TRIP04389"/>
    <x v="4"/>
    <x v="4"/>
    <s v="Delhi"/>
    <n v="3.73"/>
    <d v="1900-01-11T15:36:00"/>
    <n v="64.33"/>
    <n v="1.2"/>
    <n v="77.2"/>
    <n v="4.2"/>
    <x v="3"/>
    <x v="1"/>
  </r>
  <r>
    <s v="TRIP04390"/>
    <x v="337"/>
    <x v="2"/>
    <s v="Delhi"/>
    <n v="20.92"/>
    <d v="1900-03-03T09:07:12"/>
    <n v="390.77"/>
    <n v="1"/>
    <n v="390.77"/>
    <n v="4.9000000000000004"/>
    <x v="4"/>
    <x v="1"/>
  </r>
  <r>
    <s v="TRIP04391"/>
    <x v="47"/>
    <x v="4"/>
    <s v="Chennai"/>
    <n v="4.34"/>
    <d v="1900-01-11T21:21:36"/>
    <n v="48.15"/>
    <n v="1"/>
    <n v="48.15"/>
    <n v="4.5999999999999996"/>
    <x v="1"/>
    <x v="2"/>
  </r>
  <r>
    <s v="TRIP04392"/>
    <x v="291"/>
    <x v="0"/>
    <s v="Bangalore"/>
    <n v="7.99"/>
    <d v="1900-01-29T03:36:00"/>
    <n v="130.87"/>
    <n v="1.2"/>
    <n v="157.04"/>
    <n v="3.5"/>
    <x v="0"/>
    <x v="0"/>
  </r>
  <r>
    <s v="TRIP04393"/>
    <x v="134"/>
    <x v="1"/>
    <s v="Mumbai"/>
    <n v="1.1000000000000001"/>
    <d v="1900-01-01T11:02:24"/>
    <n v="17.02"/>
    <n v="1"/>
    <n v="17.02"/>
    <n v="3.2"/>
    <x v="1"/>
    <x v="0"/>
  </r>
  <r>
    <s v="TRIP04394"/>
    <x v="137"/>
    <x v="2"/>
    <s v="Kolkata"/>
    <n v="17.45"/>
    <d v="1900-02-08T23:16:48"/>
    <n v="202.95"/>
    <n v="1"/>
    <n v="202.95"/>
    <n v="4.5999999999999996"/>
    <x v="2"/>
    <x v="1"/>
  </r>
  <r>
    <s v="TRIP04395"/>
    <x v="240"/>
    <x v="2"/>
    <s v="Chennai"/>
    <n v="27.11"/>
    <d v="1900-04-05T22:04:48"/>
    <n v="291.14"/>
    <n v="1.2"/>
    <n v="349.37"/>
    <n v="3.6"/>
    <x v="3"/>
    <x v="3"/>
  </r>
  <r>
    <s v="TRIP04396"/>
    <x v="21"/>
    <x v="0"/>
    <s v="Delhi"/>
    <n v="23.77"/>
    <d v="1900-03-07T00:57:36"/>
    <n v="400.43"/>
    <n v="1.2"/>
    <n v="480.52"/>
    <n v="3.5"/>
    <x v="2"/>
    <x v="1"/>
  </r>
  <r>
    <s v="TRIP04397"/>
    <x v="58"/>
    <x v="0"/>
    <s v="Mumbai"/>
    <n v="8.3800000000000008"/>
    <d v="1900-01-18T00:28:48"/>
    <n v="133.81"/>
    <n v="1"/>
    <n v="133.81"/>
    <n v="4.8"/>
    <x v="0"/>
    <x v="1"/>
  </r>
  <r>
    <s v="TRIP04398"/>
    <x v="50"/>
    <x v="0"/>
    <s v="Kolkata"/>
    <n v="3.41"/>
    <d v="1900-01-06T14:38:24"/>
    <n v="52.38"/>
    <n v="2"/>
    <n v="104.76"/>
    <n v="3.3"/>
    <x v="2"/>
    <x v="2"/>
  </r>
  <r>
    <s v="TRIP04399"/>
    <x v="2"/>
    <x v="3"/>
    <s v="Chennai"/>
    <n v="24.99"/>
    <d v="1900-02-27T07:55:12"/>
    <n v="340.03"/>
    <n v="1.2"/>
    <n v="408.04"/>
    <n v="3.1"/>
    <x v="0"/>
    <x v="2"/>
  </r>
  <r>
    <s v="TRIP04400"/>
    <x v="147"/>
    <x v="1"/>
    <s v="Bangalore"/>
    <n v="13.14"/>
    <d v="1900-02-04T18:14:24"/>
    <n v="207.55"/>
    <n v="1.5"/>
    <n v="311.33"/>
    <n v="3.3"/>
    <x v="3"/>
    <x v="1"/>
  </r>
  <r>
    <s v="TRIP04401"/>
    <x v="84"/>
    <x v="0"/>
    <s v="Delhi"/>
    <n v="8.2100000000000009"/>
    <d v="1900-01-28T22:33:36"/>
    <n v="104.46"/>
    <n v="2"/>
    <n v="208.92"/>
    <n v="4.2"/>
    <x v="4"/>
    <x v="2"/>
  </r>
  <r>
    <s v="TRIP04402"/>
    <x v="119"/>
    <x v="1"/>
    <s v="Kolkata"/>
    <n v="26.49"/>
    <d v="1900-03-14T00:43:12"/>
    <n v="330.08"/>
    <n v="2"/>
    <n v="660.16"/>
    <n v="4.3"/>
    <x v="1"/>
    <x v="3"/>
  </r>
  <r>
    <s v="TRIP04403"/>
    <x v="78"/>
    <x v="4"/>
    <s v="Delhi"/>
    <n v="9.9499999999999993"/>
    <d v="1900-01-25T15:21:36"/>
    <n v="119.1"/>
    <n v="1"/>
    <n v="119.1"/>
    <n v="4.0999999999999996"/>
    <x v="3"/>
    <x v="3"/>
  </r>
  <r>
    <s v="TRIP04404"/>
    <x v="7"/>
    <x v="4"/>
    <s v="Chennai"/>
    <n v="8.18"/>
    <d v="1900-01-30T19:12:00"/>
    <n v="155.49"/>
    <n v="2"/>
    <n v="310.98"/>
    <n v="3.4"/>
    <x v="0"/>
    <x v="3"/>
  </r>
  <r>
    <s v="TRIP04405"/>
    <x v="237"/>
    <x v="3"/>
    <s v="Delhi"/>
    <n v="8.24"/>
    <d v="1900-01-16T20:52:48"/>
    <n v="150"/>
    <n v="1.5"/>
    <n v="225"/>
    <n v="4.9000000000000004"/>
    <x v="1"/>
    <x v="2"/>
  </r>
  <r>
    <s v="TRIP04406"/>
    <x v="107"/>
    <x v="4"/>
    <s v="Mumbai"/>
    <n v="23.83"/>
    <d v="1900-02-17T19:40:48"/>
    <n v="263.69"/>
    <n v="1.2"/>
    <n v="316.43"/>
    <n v="3.5"/>
    <x v="1"/>
    <x v="2"/>
  </r>
  <r>
    <s v="TRIP04407"/>
    <x v="147"/>
    <x v="3"/>
    <s v="Mumbai"/>
    <n v="6.54"/>
    <d v="1900-01-17T08:52:48"/>
    <n v="100.63"/>
    <n v="2"/>
    <n v="201.26"/>
    <n v="4.2"/>
    <x v="1"/>
    <x v="1"/>
  </r>
  <r>
    <s v="TRIP04408"/>
    <x v="15"/>
    <x v="3"/>
    <s v="Delhi"/>
    <n v="18.3"/>
    <d v="1900-03-02T20:09:36"/>
    <n v="361.95"/>
    <n v="1"/>
    <n v="361.95"/>
    <n v="4.7"/>
    <x v="2"/>
    <x v="0"/>
  </r>
  <r>
    <s v="TRIP04409"/>
    <x v="79"/>
    <x v="1"/>
    <s v="Bangalore"/>
    <n v="21.58"/>
    <d v="1900-03-16T02:24:00"/>
    <n v="373.28"/>
    <n v="1"/>
    <n v="373.28"/>
    <n v="3.9"/>
    <x v="0"/>
    <x v="2"/>
  </r>
  <r>
    <s v="TRIP04410"/>
    <x v="146"/>
    <x v="4"/>
    <s v="Kolkata"/>
    <n v="3.85"/>
    <d v="1900-01-07T12:14:24"/>
    <n v="69.16"/>
    <n v="1.2"/>
    <n v="82.99"/>
    <n v="3.8"/>
    <x v="1"/>
    <x v="3"/>
  </r>
  <r>
    <s v="TRIP04411"/>
    <x v="208"/>
    <x v="0"/>
    <s v="Bangalore"/>
    <n v="12.64"/>
    <d v="1900-02-14T00:14:24"/>
    <n v="142.4"/>
    <n v="1"/>
    <n v="142.4"/>
    <n v="3.1"/>
    <x v="2"/>
    <x v="1"/>
  </r>
  <r>
    <s v="TRIP04412"/>
    <x v="10"/>
    <x v="4"/>
    <s v="Kolkata"/>
    <n v="25.4"/>
    <d v="1900-03-04T20:52:48"/>
    <n v="308.54000000000002"/>
    <n v="1.2"/>
    <n v="370.25"/>
    <n v="4.7"/>
    <x v="0"/>
    <x v="0"/>
  </r>
  <r>
    <s v="TRIP04413"/>
    <x v="185"/>
    <x v="4"/>
    <s v="Kolkata"/>
    <n v="4.29"/>
    <d v="1900-01-09T09:36:00"/>
    <n v="69.56"/>
    <n v="1.2"/>
    <n v="83.47"/>
    <n v="3.6"/>
    <x v="1"/>
    <x v="1"/>
  </r>
  <r>
    <s v="TRIP04414"/>
    <x v="289"/>
    <x v="1"/>
    <s v="Mumbai"/>
    <n v="28.59"/>
    <d v="1900-03-21T05:02:24"/>
    <n v="537.97"/>
    <n v="2"/>
    <n v="1075.94"/>
    <n v="4.9000000000000004"/>
    <x v="4"/>
    <x v="2"/>
  </r>
  <r>
    <s v="TRIP04415"/>
    <x v="114"/>
    <x v="3"/>
    <s v="Chennai"/>
    <n v="22.59"/>
    <d v="1900-03-08T16:19:12"/>
    <n v="276.75"/>
    <n v="1.5"/>
    <n v="415.12"/>
    <n v="3.6"/>
    <x v="0"/>
    <x v="3"/>
  </r>
  <r>
    <s v="TRIP04416"/>
    <x v="356"/>
    <x v="1"/>
    <s v="Delhi"/>
    <n v="18.45"/>
    <d v="1900-03-12T15:07:12"/>
    <n v="342.2"/>
    <n v="1"/>
    <n v="342.2"/>
    <n v="3.9"/>
    <x v="3"/>
    <x v="2"/>
  </r>
  <r>
    <s v="TRIP04417"/>
    <x v="261"/>
    <x v="4"/>
    <s v="Delhi"/>
    <n v="19.88"/>
    <d v="1900-03-08T21:21:36"/>
    <n v="223.66"/>
    <n v="1"/>
    <n v="223.66"/>
    <n v="3.4"/>
    <x v="0"/>
    <x v="0"/>
  </r>
  <r>
    <s v="TRIP04418"/>
    <x v="269"/>
    <x v="1"/>
    <s v="Delhi"/>
    <n v="12.02"/>
    <d v="1900-02-10T09:21:36"/>
    <n v="205.99"/>
    <n v="2"/>
    <n v="411.98"/>
    <n v="5"/>
    <x v="0"/>
    <x v="2"/>
  </r>
  <r>
    <s v="TRIP04419"/>
    <x v="269"/>
    <x v="0"/>
    <s v="Chennai"/>
    <n v="17.600000000000001"/>
    <d v="1900-02-28T03:21:36"/>
    <n v="311.81"/>
    <n v="1.5"/>
    <n v="467.72"/>
    <n v="3.8"/>
    <x v="2"/>
    <x v="3"/>
  </r>
  <r>
    <s v="TRIP04420"/>
    <x v="105"/>
    <x v="0"/>
    <s v="Chennai"/>
    <n v="10"/>
    <d v="1900-01-25T20:52:48"/>
    <n v="136.93"/>
    <n v="1.5"/>
    <n v="205.4"/>
    <n v="3.2"/>
    <x v="1"/>
    <x v="3"/>
  </r>
  <r>
    <s v="TRIP04421"/>
    <x v="216"/>
    <x v="0"/>
    <s v="Bangalore"/>
    <n v="29"/>
    <d v="1900-03-09T17:45:36"/>
    <n v="494.35"/>
    <n v="1"/>
    <n v="494.35"/>
    <n v="3.2"/>
    <x v="1"/>
    <x v="3"/>
  </r>
  <r>
    <s v="TRIP04422"/>
    <x v="178"/>
    <x v="0"/>
    <s v="Chennai"/>
    <n v="10.38"/>
    <d v="1900-01-29T16:33:36"/>
    <n v="156.97"/>
    <n v="1.5"/>
    <n v="235.46"/>
    <n v="4.5999999999999996"/>
    <x v="0"/>
    <x v="3"/>
  </r>
  <r>
    <s v="TRIP04423"/>
    <x v="9"/>
    <x v="0"/>
    <s v="Kolkata"/>
    <n v="22.57"/>
    <d v="1900-02-24T00:43:12"/>
    <n v="357.86"/>
    <n v="2"/>
    <n v="715.72"/>
    <n v="3.3"/>
    <x v="3"/>
    <x v="1"/>
  </r>
  <r>
    <s v="TRIP04424"/>
    <x v="192"/>
    <x v="2"/>
    <s v="Chennai"/>
    <n v="11.39"/>
    <d v="1900-02-11T09:50:24"/>
    <n v="178.5"/>
    <n v="2"/>
    <n v="357"/>
    <n v="3.9"/>
    <x v="3"/>
    <x v="3"/>
  </r>
  <r>
    <s v="TRIP04425"/>
    <x v="65"/>
    <x v="1"/>
    <s v="Kolkata"/>
    <n v="16.03"/>
    <d v="1900-02-17T14:52:48"/>
    <n v="213.91"/>
    <n v="1"/>
    <n v="213.91"/>
    <n v="3.1"/>
    <x v="0"/>
    <x v="0"/>
  </r>
  <r>
    <s v="TRIP04426"/>
    <x v="320"/>
    <x v="3"/>
    <s v="Delhi"/>
    <n v="5.21"/>
    <d v="1900-01-15T02:38:24"/>
    <n v="55.32"/>
    <n v="2"/>
    <n v="110.64"/>
    <n v="3"/>
    <x v="3"/>
    <x v="0"/>
  </r>
  <r>
    <s v="TRIP04427"/>
    <x v="243"/>
    <x v="1"/>
    <s v="Bangalore"/>
    <n v="20.54"/>
    <d v="1900-02-25T03:36:00"/>
    <n v="287.52"/>
    <n v="1"/>
    <n v="287.52"/>
    <n v="4.4000000000000004"/>
    <x v="0"/>
    <x v="0"/>
  </r>
  <r>
    <s v="TRIP04428"/>
    <x v="303"/>
    <x v="3"/>
    <s v="Mumbai"/>
    <n v="22.04"/>
    <d v="1900-03-06T08:24:00"/>
    <n v="351.08"/>
    <n v="2"/>
    <n v="702.16"/>
    <n v="3"/>
    <x v="0"/>
    <x v="1"/>
  </r>
  <r>
    <s v="TRIP04429"/>
    <x v="165"/>
    <x v="4"/>
    <s v="Chennai"/>
    <n v="18.850000000000001"/>
    <d v="1900-03-07T10:48:00"/>
    <n v="367.4"/>
    <n v="2"/>
    <n v="734.8"/>
    <n v="3.6"/>
    <x v="2"/>
    <x v="1"/>
  </r>
  <r>
    <s v="TRIP04430"/>
    <x v="231"/>
    <x v="2"/>
    <s v="Bangalore"/>
    <n v="3.5"/>
    <d v="1900-01-08T12:14:24"/>
    <n v="49.42"/>
    <n v="1.2"/>
    <n v="59.3"/>
    <n v="3"/>
    <x v="4"/>
    <x v="3"/>
  </r>
  <r>
    <s v="TRIP04431"/>
    <x v="223"/>
    <x v="4"/>
    <s v="Kolkata"/>
    <n v="22.2"/>
    <d v="1900-02-13T05:45:36"/>
    <n v="325.12"/>
    <n v="1.5"/>
    <n v="487.68"/>
    <n v="3.4"/>
    <x v="3"/>
    <x v="0"/>
  </r>
  <r>
    <s v="TRIP04432"/>
    <x v="148"/>
    <x v="0"/>
    <s v="Mumbai"/>
    <n v="1.91"/>
    <d v="1900-01-04T11:31:12"/>
    <n v="32.549999999999997"/>
    <n v="1"/>
    <n v="32.549999999999997"/>
    <n v="3.7"/>
    <x v="2"/>
    <x v="0"/>
  </r>
  <r>
    <s v="TRIP04433"/>
    <x v="283"/>
    <x v="3"/>
    <s v="Delhi"/>
    <n v="20.420000000000002"/>
    <d v="1900-02-19T05:31:12"/>
    <n v="357.74"/>
    <n v="1.5"/>
    <n v="536.61"/>
    <n v="3.5"/>
    <x v="1"/>
    <x v="0"/>
  </r>
  <r>
    <s v="TRIP04434"/>
    <x v="50"/>
    <x v="3"/>
    <s v="Chennai"/>
    <n v="20.02"/>
    <d v="1900-03-13T05:02:24"/>
    <n v="358.66"/>
    <n v="2"/>
    <n v="717.32"/>
    <n v="3.9"/>
    <x v="1"/>
    <x v="1"/>
  </r>
  <r>
    <s v="TRIP04435"/>
    <x v="241"/>
    <x v="2"/>
    <s v="Mumbai"/>
    <n v="7.29"/>
    <d v="1900-01-26T04:33:36"/>
    <n v="135.4"/>
    <n v="1"/>
    <n v="135.4"/>
    <n v="4.4000000000000004"/>
    <x v="0"/>
    <x v="1"/>
  </r>
  <r>
    <s v="TRIP04436"/>
    <x v="35"/>
    <x v="1"/>
    <s v="Kolkata"/>
    <n v="19.809999999999999"/>
    <d v="1900-03-07T18:43:12"/>
    <n v="325.64999999999998"/>
    <n v="2"/>
    <n v="651.29999999999995"/>
    <n v="3.6"/>
    <x v="4"/>
    <x v="0"/>
  </r>
  <r>
    <s v="TRIP04437"/>
    <x v="246"/>
    <x v="0"/>
    <s v="Mumbai"/>
    <n v="1.1399999999999999"/>
    <d v="1900-01-02T04:19:12"/>
    <n v="16.93"/>
    <n v="1.5"/>
    <n v="25.4"/>
    <n v="3.2"/>
    <x v="3"/>
    <x v="3"/>
  </r>
  <r>
    <s v="TRIP04438"/>
    <x v="215"/>
    <x v="0"/>
    <s v="Delhi"/>
    <n v="27.8"/>
    <d v="1900-03-10T06:43:12"/>
    <n v="379.95"/>
    <n v="1.5"/>
    <n v="569.91999999999996"/>
    <n v="3.5"/>
    <x v="0"/>
    <x v="0"/>
  </r>
  <r>
    <s v="TRIP04439"/>
    <x v="146"/>
    <x v="1"/>
    <s v="Delhi"/>
    <n v="6.6"/>
    <d v="1900-01-25T00:28:48"/>
    <n v="102.27"/>
    <n v="1.5"/>
    <n v="153.4"/>
    <n v="4.5"/>
    <x v="1"/>
    <x v="3"/>
  </r>
  <r>
    <s v="TRIP04440"/>
    <x v="299"/>
    <x v="2"/>
    <s v="Delhi"/>
    <n v="12.46"/>
    <d v="1900-02-15T07:55:12"/>
    <n v="157.08000000000001"/>
    <n v="1.2"/>
    <n v="188.5"/>
    <n v="3.1"/>
    <x v="4"/>
    <x v="0"/>
  </r>
  <r>
    <s v="TRIP04441"/>
    <x v="257"/>
    <x v="0"/>
    <s v="Delhi"/>
    <n v="4.46"/>
    <d v="1900-01-13T18:00:00"/>
    <n v="71.430000000000007"/>
    <n v="1"/>
    <n v="71.430000000000007"/>
    <n v="3.8"/>
    <x v="2"/>
    <x v="1"/>
  </r>
  <r>
    <s v="TRIP04442"/>
    <x v="73"/>
    <x v="1"/>
    <s v="Delhi"/>
    <n v="12.46"/>
    <d v="1900-01-30T02:24:00"/>
    <n v="129.41999999999999"/>
    <n v="1.2"/>
    <n v="155.30000000000001"/>
    <n v="4.0999999999999996"/>
    <x v="4"/>
    <x v="2"/>
  </r>
  <r>
    <s v="TRIP04443"/>
    <x v="322"/>
    <x v="4"/>
    <s v="Kolkata"/>
    <n v="25.69"/>
    <d v="1900-03-17T10:48:00"/>
    <n v="380.43"/>
    <n v="1"/>
    <n v="380.43"/>
    <n v="4"/>
    <x v="3"/>
    <x v="1"/>
  </r>
  <r>
    <s v="TRIP04444"/>
    <x v="199"/>
    <x v="1"/>
    <s v="Bangalore"/>
    <n v="28.24"/>
    <d v="1900-03-14T07:55:12"/>
    <n v="508.52"/>
    <n v="1.5"/>
    <n v="762.78"/>
    <n v="4.9000000000000004"/>
    <x v="1"/>
    <x v="1"/>
  </r>
  <r>
    <s v="TRIP04445"/>
    <x v="73"/>
    <x v="4"/>
    <s v="Mumbai"/>
    <n v="28.17"/>
    <d v="1900-03-31T11:02:24"/>
    <n v="534.65"/>
    <n v="1.2"/>
    <n v="641.58000000000004"/>
    <n v="4.3"/>
    <x v="3"/>
    <x v="2"/>
  </r>
  <r>
    <s v="TRIP04446"/>
    <x v="277"/>
    <x v="1"/>
    <s v="Bangalore"/>
    <n v="23.4"/>
    <d v="1900-02-27T12:14:24"/>
    <n v="407.34"/>
    <n v="1"/>
    <n v="407.34"/>
    <n v="3.6"/>
    <x v="1"/>
    <x v="2"/>
  </r>
  <r>
    <s v="TRIP04447"/>
    <x v="225"/>
    <x v="1"/>
    <s v="Chennai"/>
    <n v="10.07"/>
    <d v="1900-02-01T20:52:48"/>
    <n v="131.34"/>
    <n v="2"/>
    <n v="262.68"/>
    <n v="4.4000000000000004"/>
    <x v="0"/>
    <x v="2"/>
  </r>
  <r>
    <s v="TRIP04448"/>
    <x v="22"/>
    <x v="0"/>
    <s v="Delhi"/>
    <n v="18.329999999999998"/>
    <d v="1900-02-19T21:36:00"/>
    <n v="212.99"/>
    <n v="1.2"/>
    <n v="255.59"/>
    <n v="5"/>
    <x v="3"/>
    <x v="0"/>
  </r>
  <r>
    <s v="TRIP04449"/>
    <x v="90"/>
    <x v="2"/>
    <s v="Chennai"/>
    <n v="18.920000000000002"/>
    <d v="1900-03-09T22:48:00"/>
    <n v="193.14"/>
    <n v="1"/>
    <n v="193.14"/>
    <n v="3.9"/>
    <x v="1"/>
    <x v="3"/>
  </r>
  <r>
    <s v="TRIP04450"/>
    <x v="350"/>
    <x v="0"/>
    <s v="Delhi"/>
    <n v="22.39"/>
    <d v="1900-02-19T20:09:36"/>
    <n v="284.72000000000003"/>
    <n v="1"/>
    <n v="284.72000000000003"/>
    <n v="3.4"/>
    <x v="1"/>
    <x v="2"/>
  </r>
  <r>
    <s v="TRIP04451"/>
    <x v="220"/>
    <x v="3"/>
    <s v="Chennai"/>
    <n v="7.52"/>
    <d v="1900-01-19T08:09:36"/>
    <n v="129.99"/>
    <n v="1"/>
    <n v="129.99"/>
    <n v="3.2"/>
    <x v="3"/>
    <x v="1"/>
  </r>
  <r>
    <s v="TRIP04452"/>
    <x v="243"/>
    <x v="4"/>
    <s v="Kolkata"/>
    <n v="19.489999999999998"/>
    <d v="1900-02-25T13:55:12"/>
    <n v="377.05"/>
    <n v="1.2"/>
    <n v="452.46"/>
    <n v="3.3"/>
    <x v="2"/>
    <x v="0"/>
  </r>
  <r>
    <s v="TRIP04453"/>
    <x v="5"/>
    <x v="3"/>
    <s v="Mumbai"/>
    <n v="22.19"/>
    <d v="1900-02-22T05:02:24"/>
    <n v="422.33"/>
    <n v="1"/>
    <n v="422.33"/>
    <n v="3.4"/>
    <x v="0"/>
    <x v="0"/>
  </r>
  <r>
    <s v="TRIP04454"/>
    <x v="86"/>
    <x v="4"/>
    <s v="Bangalore"/>
    <n v="5.23"/>
    <d v="1900-01-12T03:50:24"/>
    <n v="82.95"/>
    <n v="1"/>
    <n v="82.95"/>
    <n v="3.3"/>
    <x v="4"/>
    <x v="0"/>
  </r>
  <r>
    <s v="TRIP04455"/>
    <x v="103"/>
    <x v="1"/>
    <s v="Chennai"/>
    <n v="4.4800000000000004"/>
    <d v="1900-01-10T04:19:12"/>
    <n v="80.56"/>
    <n v="1"/>
    <n v="80.56"/>
    <n v="4.3"/>
    <x v="1"/>
    <x v="3"/>
  </r>
  <r>
    <s v="TRIP04456"/>
    <x v="154"/>
    <x v="1"/>
    <s v="Bangalore"/>
    <n v="10.49"/>
    <d v="1900-02-08T07:40:48"/>
    <n v="124.83"/>
    <n v="1.5"/>
    <n v="187.24"/>
    <n v="3.4"/>
    <x v="2"/>
    <x v="1"/>
  </r>
  <r>
    <s v="TRIP04457"/>
    <x v="169"/>
    <x v="1"/>
    <s v="Bangalore"/>
    <n v="2.4700000000000002"/>
    <d v="1900-01-07T21:36:00"/>
    <n v="35.56"/>
    <n v="1"/>
    <n v="35.56"/>
    <n v="3.2"/>
    <x v="3"/>
    <x v="1"/>
  </r>
  <r>
    <s v="TRIP04458"/>
    <x v="177"/>
    <x v="0"/>
    <s v="Bangalore"/>
    <n v="19.63"/>
    <d v="1900-03-02T13:55:12"/>
    <n v="344.64"/>
    <n v="1.2"/>
    <n v="413.57"/>
    <n v="4.5999999999999996"/>
    <x v="1"/>
    <x v="2"/>
  </r>
  <r>
    <s v="TRIP04459"/>
    <x v="143"/>
    <x v="2"/>
    <s v="Kolkata"/>
    <n v="26.18"/>
    <d v="1900-03-22T07:26:24"/>
    <n v="371.83"/>
    <n v="2"/>
    <n v="743.66"/>
    <n v="4.3"/>
    <x v="4"/>
    <x v="2"/>
  </r>
  <r>
    <s v="TRIP04460"/>
    <x v="38"/>
    <x v="2"/>
    <s v="Kolkata"/>
    <n v="15.62"/>
    <d v="1900-03-01T11:02:24"/>
    <n v="259.54000000000002"/>
    <n v="1.2"/>
    <n v="311.45"/>
    <n v="3.2"/>
    <x v="2"/>
    <x v="3"/>
  </r>
  <r>
    <s v="TRIP04461"/>
    <x v="154"/>
    <x v="1"/>
    <s v="Kolkata"/>
    <n v="15.01"/>
    <d v="1900-02-25T07:12:00"/>
    <n v="198.52"/>
    <n v="1.2"/>
    <n v="238.22"/>
    <n v="3.3"/>
    <x v="3"/>
    <x v="3"/>
  </r>
  <r>
    <s v="TRIP04462"/>
    <x v="26"/>
    <x v="0"/>
    <s v="Bangalore"/>
    <n v="18.559999999999999"/>
    <d v="1900-02-23T17:45:36"/>
    <n v="241"/>
    <n v="1"/>
    <n v="241"/>
    <n v="3.5"/>
    <x v="0"/>
    <x v="0"/>
  </r>
  <r>
    <s v="TRIP04463"/>
    <x v="175"/>
    <x v="3"/>
    <s v="Kolkata"/>
    <n v="9.4600000000000009"/>
    <d v="1900-01-20T20:52:48"/>
    <n v="108.7"/>
    <n v="1"/>
    <n v="108.7"/>
    <n v="3.2"/>
    <x v="0"/>
    <x v="2"/>
  </r>
  <r>
    <s v="TRIP04464"/>
    <x v="295"/>
    <x v="3"/>
    <s v="Bangalore"/>
    <n v="14.73"/>
    <d v="1900-02-11T01:40:48"/>
    <n v="277.52999999999997"/>
    <n v="1.5"/>
    <n v="416.29"/>
    <n v="3.5"/>
    <x v="0"/>
    <x v="0"/>
  </r>
  <r>
    <s v="TRIP04465"/>
    <x v="209"/>
    <x v="4"/>
    <s v="Chennai"/>
    <n v="22.56"/>
    <d v="1900-03-12T00:14:24"/>
    <n v="440.84"/>
    <n v="1"/>
    <n v="440.84"/>
    <n v="3.1"/>
    <x v="3"/>
    <x v="2"/>
  </r>
  <r>
    <s v="TRIP04466"/>
    <x v="221"/>
    <x v="3"/>
    <s v="Mumbai"/>
    <n v="17.260000000000002"/>
    <d v="1900-02-21T06:28:48"/>
    <n v="343.38"/>
    <n v="1.5"/>
    <n v="515.07000000000005"/>
    <n v="4.5"/>
    <x v="0"/>
    <x v="2"/>
  </r>
  <r>
    <s v="TRIP04467"/>
    <x v="234"/>
    <x v="2"/>
    <s v="Delhi"/>
    <n v="18.739999999999998"/>
    <d v="1900-02-13T20:38:24"/>
    <n v="307.18"/>
    <n v="1.5"/>
    <n v="460.77"/>
    <n v="4.9000000000000004"/>
    <x v="2"/>
    <x v="2"/>
  </r>
  <r>
    <s v="TRIP04468"/>
    <x v="115"/>
    <x v="1"/>
    <s v="Bangalore"/>
    <n v="27.15"/>
    <d v="1900-03-25T19:40:48"/>
    <n v="304.97000000000003"/>
    <n v="1.2"/>
    <n v="365.96"/>
    <n v="4.3"/>
    <x v="4"/>
    <x v="2"/>
  </r>
  <r>
    <s v="TRIP04469"/>
    <x v="66"/>
    <x v="2"/>
    <s v="Mumbai"/>
    <n v="13.14"/>
    <d v="1900-02-16T23:16:48"/>
    <n v="165.09"/>
    <n v="1"/>
    <n v="165.09"/>
    <n v="3.2"/>
    <x v="0"/>
    <x v="0"/>
  </r>
  <r>
    <s v="TRIP04470"/>
    <x v="125"/>
    <x v="0"/>
    <s v="Kolkata"/>
    <n v="23.32"/>
    <d v="1900-03-12T05:16:48"/>
    <n v="396.11"/>
    <n v="1.2"/>
    <n v="475.33"/>
    <n v="3.5"/>
    <x v="4"/>
    <x v="0"/>
  </r>
  <r>
    <s v="TRIP04471"/>
    <x v="34"/>
    <x v="0"/>
    <s v="Chennai"/>
    <n v="10.6"/>
    <d v="1900-02-02T02:09:36"/>
    <n v="129.91999999999999"/>
    <n v="1.5"/>
    <n v="194.88"/>
    <n v="4.9000000000000004"/>
    <x v="1"/>
    <x v="2"/>
  </r>
  <r>
    <s v="TRIP04472"/>
    <x v="218"/>
    <x v="2"/>
    <s v="Chennai"/>
    <n v="14.17"/>
    <d v="1900-02-21T03:50:24"/>
    <n v="262.83"/>
    <n v="2"/>
    <n v="525.66"/>
    <n v="4"/>
    <x v="0"/>
    <x v="1"/>
  </r>
  <r>
    <s v="TRIP04473"/>
    <x v="268"/>
    <x v="0"/>
    <s v="Bangalore"/>
    <n v="9.84"/>
    <d v="1900-01-28T03:36:00"/>
    <n v="168.31"/>
    <n v="1.5"/>
    <n v="252.46"/>
    <n v="3.3"/>
    <x v="1"/>
    <x v="1"/>
  </r>
  <r>
    <s v="TRIP04474"/>
    <x v="96"/>
    <x v="3"/>
    <s v="Bangalore"/>
    <n v="16.89"/>
    <d v="1900-02-05T00:28:48"/>
    <n v="263.02999999999997"/>
    <n v="1.2"/>
    <n v="315.64"/>
    <n v="4.0999999999999996"/>
    <x v="4"/>
    <x v="0"/>
  </r>
  <r>
    <s v="TRIP04475"/>
    <x v="148"/>
    <x v="1"/>
    <s v="Delhi"/>
    <n v="15.21"/>
    <d v="1900-02-14T22:48:00"/>
    <n v="194.68"/>
    <n v="2"/>
    <n v="389.36"/>
    <n v="3.3"/>
    <x v="0"/>
    <x v="2"/>
  </r>
  <r>
    <s v="TRIP04476"/>
    <x v="53"/>
    <x v="4"/>
    <s v="Mumbai"/>
    <n v="24.71"/>
    <d v="1900-03-22T00:57:36"/>
    <n v="403.02"/>
    <n v="2"/>
    <n v="806.04"/>
    <n v="4.0999999999999996"/>
    <x v="3"/>
    <x v="1"/>
  </r>
  <r>
    <s v="TRIP04477"/>
    <x v="143"/>
    <x v="2"/>
    <s v="Delhi"/>
    <n v="4.72"/>
    <d v="1900-01-09T09:07:12"/>
    <n v="85.76"/>
    <n v="1"/>
    <n v="85.76"/>
    <n v="4.9000000000000004"/>
    <x v="0"/>
    <x v="2"/>
  </r>
  <r>
    <s v="TRIP04478"/>
    <x v="225"/>
    <x v="0"/>
    <s v="Bangalore"/>
    <n v="4.18"/>
    <d v="1900-01-11T16:04:48"/>
    <n v="58.3"/>
    <n v="1.2"/>
    <n v="69.959999999999994"/>
    <n v="3.1"/>
    <x v="2"/>
    <x v="1"/>
  </r>
  <r>
    <s v="TRIP04479"/>
    <x v="12"/>
    <x v="3"/>
    <s v="Bangalore"/>
    <n v="27.12"/>
    <d v="1900-04-05T13:12:00"/>
    <n v="484.45"/>
    <n v="1.5"/>
    <n v="726.68"/>
    <n v="3.4"/>
    <x v="4"/>
    <x v="2"/>
  </r>
  <r>
    <s v="TRIP04480"/>
    <x v="219"/>
    <x v="0"/>
    <s v="Delhi"/>
    <n v="7.76"/>
    <d v="1900-01-19T10:04:48"/>
    <n v="122.57"/>
    <n v="1.2"/>
    <n v="147.08000000000001"/>
    <n v="4.3"/>
    <x v="4"/>
    <x v="0"/>
  </r>
  <r>
    <s v="TRIP04481"/>
    <x v="88"/>
    <x v="3"/>
    <s v="Kolkata"/>
    <n v="8.7899999999999991"/>
    <d v="1900-01-17T17:16:48"/>
    <n v="103.93"/>
    <n v="2"/>
    <n v="207.86"/>
    <n v="3"/>
    <x v="3"/>
    <x v="1"/>
  </r>
  <r>
    <s v="TRIP04482"/>
    <x v="198"/>
    <x v="3"/>
    <s v="Bangalore"/>
    <n v="6.91"/>
    <d v="1900-01-14T20:24:00"/>
    <n v="114.43"/>
    <n v="1.5"/>
    <n v="171.64"/>
    <n v="3"/>
    <x v="0"/>
    <x v="2"/>
  </r>
  <r>
    <s v="TRIP04483"/>
    <x v="185"/>
    <x v="1"/>
    <s v="Mumbai"/>
    <n v="6.31"/>
    <d v="1900-01-22T07:40:48"/>
    <n v="99.57"/>
    <n v="1"/>
    <n v="99.57"/>
    <n v="3.5"/>
    <x v="2"/>
    <x v="2"/>
  </r>
  <r>
    <s v="TRIP04484"/>
    <x v="192"/>
    <x v="3"/>
    <s v="Delhi"/>
    <n v="12.32"/>
    <d v="1900-02-03T23:31:12"/>
    <n v="133.36000000000001"/>
    <n v="1.5"/>
    <n v="200.04"/>
    <n v="5"/>
    <x v="4"/>
    <x v="2"/>
  </r>
  <r>
    <s v="TRIP04485"/>
    <x v="88"/>
    <x v="3"/>
    <s v="Kolkata"/>
    <n v="15.02"/>
    <d v="1900-02-09T12:57:36"/>
    <n v="227.15"/>
    <n v="1"/>
    <n v="227.15"/>
    <n v="3.2"/>
    <x v="0"/>
    <x v="3"/>
  </r>
  <r>
    <s v="TRIP04486"/>
    <x v="131"/>
    <x v="4"/>
    <s v="Bangalore"/>
    <n v="1.59"/>
    <d v="1900-01-03T10:19:12"/>
    <n v="28.9"/>
    <n v="2"/>
    <n v="57.8"/>
    <n v="4.0999999999999996"/>
    <x v="2"/>
    <x v="3"/>
  </r>
  <r>
    <s v="TRIP04487"/>
    <x v="186"/>
    <x v="3"/>
    <s v="Mumbai"/>
    <n v="29.78"/>
    <d v="1900-04-07T01:55:12"/>
    <n v="330.91"/>
    <n v="2"/>
    <n v="661.82"/>
    <n v="3.2"/>
    <x v="0"/>
    <x v="0"/>
  </r>
  <r>
    <s v="TRIP04488"/>
    <x v="187"/>
    <x v="1"/>
    <s v="Chennai"/>
    <n v="13.15"/>
    <d v="1900-02-19T05:45:36"/>
    <n v="258.87"/>
    <n v="1.5"/>
    <n v="388.3"/>
    <n v="4.5"/>
    <x v="2"/>
    <x v="1"/>
  </r>
  <r>
    <s v="TRIP04489"/>
    <x v="350"/>
    <x v="1"/>
    <s v="Mumbai"/>
    <n v="23.9"/>
    <d v="1900-03-19T01:40:48"/>
    <n v="281.95"/>
    <n v="1.5"/>
    <n v="422.92"/>
    <n v="3.8"/>
    <x v="4"/>
    <x v="1"/>
  </r>
  <r>
    <s v="TRIP04490"/>
    <x v="119"/>
    <x v="0"/>
    <s v="Kolkata"/>
    <n v="26.02"/>
    <d v="1900-02-28T02:09:36"/>
    <n v="387.19"/>
    <n v="1"/>
    <n v="387.19"/>
    <n v="4.5999999999999996"/>
    <x v="2"/>
    <x v="2"/>
  </r>
  <r>
    <s v="TRIP04491"/>
    <x v="358"/>
    <x v="1"/>
    <s v="Mumbai"/>
    <n v="1.06"/>
    <d v="1900-01-02T16:33:36"/>
    <n v="17.16"/>
    <n v="2"/>
    <n v="34.32"/>
    <n v="3.6"/>
    <x v="0"/>
    <x v="3"/>
  </r>
  <r>
    <s v="TRIP04492"/>
    <x v="90"/>
    <x v="1"/>
    <s v="Kolkata"/>
    <n v="20.07"/>
    <d v="1900-03-19T04:33:36"/>
    <n v="350"/>
    <n v="2"/>
    <n v="700"/>
    <n v="4.8"/>
    <x v="1"/>
    <x v="2"/>
  </r>
  <r>
    <s v="TRIP04493"/>
    <x v="113"/>
    <x v="2"/>
    <s v="Chennai"/>
    <n v="24.82"/>
    <d v="1900-03-06T06:14:24"/>
    <n v="423.41"/>
    <n v="1"/>
    <n v="423.41"/>
    <n v="4"/>
    <x v="3"/>
    <x v="0"/>
  </r>
  <r>
    <s v="TRIP04494"/>
    <x v="179"/>
    <x v="4"/>
    <s v="Delhi"/>
    <n v="13.05"/>
    <d v="1900-01-26T23:31:12"/>
    <n v="185.68"/>
    <n v="1"/>
    <n v="185.68"/>
    <n v="3.4"/>
    <x v="4"/>
    <x v="0"/>
  </r>
  <r>
    <s v="TRIP04495"/>
    <x v="0"/>
    <x v="2"/>
    <s v="Delhi"/>
    <n v="26.88"/>
    <d v="1900-02-24T12:43:12"/>
    <n v="410.5"/>
    <n v="1"/>
    <n v="410.5"/>
    <n v="4.4000000000000004"/>
    <x v="2"/>
    <x v="2"/>
  </r>
  <r>
    <s v="TRIP04496"/>
    <x v="58"/>
    <x v="0"/>
    <s v="Mumbai"/>
    <n v="27.11"/>
    <d v="1900-03-21T03:50:24"/>
    <n v="476.74"/>
    <n v="1.2"/>
    <n v="572.09"/>
    <n v="3.8"/>
    <x v="3"/>
    <x v="2"/>
  </r>
  <r>
    <s v="TRIP04497"/>
    <x v="359"/>
    <x v="3"/>
    <s v="Mumbai"/>
    <n v="20.55"/>
    <d v="1900-02-14T13:55:12"/>
    <n v="272.45999999999998"/>
    <n v="1.2"/>
    <n v="326.95"/>
    <n v="4.5"/>
    <x v="2"/>
    <x v="2"/>
  </r>
  <r>
    <s v="TRIP04498"/>
    <x v="333"/>
    <x v="1"/>
    <s v="Kolkata"/>
    <n v="29.16"/>
    <d v="1900-04-15T13:12:00"/>
    <n v="575.79999999999995"/>
    <n v="2"/>
    <n v="1151.5999999999999"/>
    <n v="3.8"/>
    <x v="4"/>
    <x v="2"/>
  </r>
  <r>
    <s v="TRIP04499"/>
    <x v="121"/>
    <x v="3"/>
    <s v="Kolkata"/>
    <n v="17.739999999999998"/>
    <d v="1900-02-21T20:52:48"/>
    <n v="249.47"/>
    <n v="2"/>
    <n v="498.94"/>
    <n v="3.2"/>
    <x v="1"/>
    <x v="1"/>
  </r>
  <r>
    <s v="TRIP04500"/>
    <x v="241"/>
    <x v="2"/>
    <s v="Delhi"/>
    <n v="28.49"/>
    <d v="1900-02-25T04:48:00"/>
    <n v="563.20000000000005"/>
    <n v="2"/>
    <n v="1126.4000000000001"/>
    <n v="3.7"/>
    <x v="4"/>
    <x v="1"/>
  </r>
  <r>
    <s v="TRIP04501"/>
    <x v="118"/>
    <x v="2"/>
    <s v="Mumbai"/>
    <n v="26.88"/>
    <d v="1900-03-14T11:02:24"/>
    <n v="454.78"/>
    <n v="1.2"/>
    <n v="545.74"/>
    <n v="4.5999999999999996"/>
    <x v="2"/>
    <x v="1"/>
  </r>
  <r>
    <s v="TRIP04502"/>
    <x v="250"/>
    <x v="3"/>
    <s v="Delhi"/>
    <n v="27.73"/>
    <d v="1900-02-25T00:14:24"/>
    <n v="351.49"/>
    <n v="1"/>
    <n v="351.49"/>
    <n v="3.1"/>
    <x v="0"/>
    <x v="1"/>
  </r>
  <r>
    <s v="TRIP04503"/>
    <x v="267"/>
    <x v="0"/>
    <s v="Kolkata"/>
    <n v="20.71"/>
    <d v="1900-02-11T19:26:24"/>
    <n v="221.66"/>
    <n v="1.2"/>
    <n v="265.99"/>
    <n v="3.9"/>
    <x v="3"/>
    <x v="3"/>
  </r>
  <r>
    <s v="TRIP04504"/>
    <x v="294"/>
    <x v="1"/>
    <s v="Mumbai"/>
    <n v="14.43"/>
    <d v="1900-02-24T02:52:48"/>
    <n v="190.51"/>
    <n v="1"/>
    <n v="190.51"/>
    <n v="4.7"/>
    <x v="0"/>
    <x v="1"/>
  </r>
  <r>
    <s v="TRIP04505"/>
    <x v="230"/>
    <x v="4"/>
    <s v="Kolkata"/>
    <n v="8.01"/>
    <d v="1900-01-23T06:00:00"/>
    <n v="122.9"/>
    <n v="1.2"/>
    <n v="147.47999999999999"/>
    <n v="3.1"/>
    <x v="4"/>
    <x v="0"/>
  </r>
  <r>
    <s v="TRIP04506"/>
    <x v="106"/>
    <x v="0"/>
    <s v="Mumbai"/>
    <n v="24.14"/>
    <d v="1900-04-04T03:50:24"/>
    <n v="444.26"/>
    <n v="1.5"/>
    <n v="666.39"/>
    <n v="3.6"/>
    <x v="2"/>
    <x v="3"/>
  </r>
  <r>
    <s v="TRIP04507"/>
    <x v="279"/>
    <x v="1"/>
    <s v="Kolkata"/>
    <n v="27.21"/>
    <d v="1900-03-03T09:21:36"/>
    <n v="465.93"/>
    <n v="1.5"/>
    <n v="698.9"/>
    <n v="4.5"/>
    <x v="0"/>
    <x v="0"/>
  </r>
  <r>
    <s v="TRIP04508"/>
    <x v="210"/>
    <x v="2"/>
    <s v="Mumbai"/>
    <n v="3.31"/>
    <d v="1900-01-09T17:45:36"/>
    <n v="34.82"/>
    <n v="1"/>
    <n v="34.82"/>
    <n v="3.4"/>
    <x v="0"/>
    <x v="2"/>
  </r>
  <r>
    <s v="TRIP04509"/>
    <x v="159"/>
    <x v="0"/>
    <s v="Delhi"/>
    <n v="29.97"/>
    <d v="1900-03-17T21:50:24"/>
    <n v="545.59"/>
    <n v="1"/>
    <n v="545.59"/>
    <n v="4.5999999999999996"/>
    <x v="4"/>
    <x v="0"/>
  </r>
  <r>
    <s v="TRIP04510"/>
    <x v="198"/>
    <x v="2"/>
    <s v="Chennai"/>
    <n v="22.24"/>
    <d v="1900-03-19T00:00:00"/>
    <n v="237.34"/>
    <n v="1.2"/>
    <n v="284.81"/>
    <n v="4.5"/>
    <x v="4"/>
    <x v="3"/>
  </r>
  <r>
    <s v="TRIP04511"/>
    <x v="184"/>
    <x v="3"/>
    <s v="Kolkata"/>
    <n v="21.1"/>
    <d v="1900-03-05T21:21:36"/>
    <n v="288.43"/>
    <n v="1.5"/>
    <n v="432.64"/>
    <n v="4.8"/>
    <x v="1"/>
    <x v="1"/>
  </r>
  <r>
    <s v="TRIP04512"/>
    <x v="132"/>
    <x v="2"/>
    <s v="Kolkata"/>
    <n v="15.47"/>
    <d v="1900-02-05T11:31:12"/>
    <n v="181.48"/>
    <n v="1"/>
    <n v="181.48"/>
    <n v="3.8"/>
    <x v="3"/>
    <x v="0"/>
  </r>
  <r>
    <s v="TRIP04513"/>
    <x v="364"/>
    <x v="4"/>
    <s v="Delhi"/>
    <n v="7.96"/>
    <d v="1900-01-24T06:28:48"/>
    <n v="151.27000000000001"/>
    <n v="1.5"/>
    <n v="226.91"/>
    <n v="4.3"/>
    <x v="3"/>
    <x v="0"/>
  </r>
  <r>
    <s v="TRIP04514"/>
    <x v="144"/>
    <x v="1"/>
    <s v="Mumbai"/>
    <n v="27.89"/>
    <d v="1900-02-28T22:19:12"/>
    <n v="305.62"/>
    <n v="2"/>
    <n v="611.24"/>
    <n v="4.3"/>
    <x v="2"/>
    <x v="0"/>
  </r>
  <r>
    <s v="TRIP04515"/>
    <x v="81"/>
    <x v="0"/>
    <s v="Bangalore"/>
    <n v="29.8"/>
    <d v="1900-04-10T20:52:48"/>
    <n v="574.49"/>
    <n v="1.2"/>
    <n v="689.39"/>
    <n v="4.9000000000000004"/>
    <x v="3"/>
    <x v="0"/>
  </r>
  <r>
    <s v="TRIP04516"/>
    <x v="105"/>
    <x v="3"/>
    <s v="Chennai"/>
    <n v="28.05"/>
    <d v="1900-02-28T01:40:48"/>
    <n v="373.04"/>
    <n v="1.5"/>
    <n v="559.55999999999995"/>
    <n v="3.5"/>
    <x v="3"/>
    <x v="1"/>
  </r>
  <r>
    <s v="TRIP04517"/>
    <x v="95"/>
    <x v="2"/>
    <s v="Mumbai"/>
    <n v="16.73"/>
    <d v="1900-02-28T01:26:24"/>
    <n v="199.87"/>
    <n v="1.5"/>
    <n v="299.8"/>
    <n v="4.3"/>
    <x v="1"/>
    <x v="3"/>
  </r>
  <r>
    <s v="TRIP04518"/>
    <x v="42"/>
    <x v="2"/>
    <s v="Kolkata"/>
    <n v="12.11"/>
    <d v="1900-02-06T19:12:00"/>
    <n v="175.63"/>
    <n v="2"/>
    <n v="351.26"/>
    <n v="4.9000000000000004"/>
    <x v="0"/>
    <x v="1"/>
  </r>
  <r>
    <s v="TRIP04519"/>
    <x v="233"/>
    <x v="1"/>
    <s v="Kolkata"/>
    <n v="12.62"/>
    <d v="1900-01-25T23:16:48"/>
    <n v="201.68"/>
    <n v="1.2"/>
    <n v="242.02"/>
    <n v="3.7"/>
    <x v="2"/>
    <x v="3"/>
  </r>
  <r>
    <s v="TRIP04520"/>
    <x v="224"/>
    <x v="4"/>
    <s v="Chennai"/>
    <n v="20.13"/>
    <d v="1900-03-11T11:16:48"/>
    <n v="244.2"/>
    <n v="1"/>
    <n v="244.2"/>
    <n v="3.5"/>
    <x v="0"/>
    <x v="1"/>
  </r>
  <r>
    <s v="TRIP04521"/>
    <x v="362"/>
    <x v="3"/>
    <s v="Chennai"/>
    <n v="11.82"/>
    <d v="1900-02-14T23:31:12"/>
    <n v="219.09"/>
    <n v="1.5"/>
    <n v="328.64"/>
    <n v="4.5999999999999996"/>
    <x v="2"/>
    <x v="0"/>
  </r>
  <r>
    <s v="TRIP04522"/>
    <x v="126"/>
    <x v="2"/>
    <s v="Delhi"/>
    <n v="10.94"/>
    <d v="1900-02-04T11:45:36"/>
    <n v="215.15"/>
    <n v="1.5"/>
    <n v="322.73"/>
    <n v="3.8"/>
    <x v="0"/>
    <x v="3"/>
  </r>
  <r>
    <s v="TRIP04523"/>
    <x v="348"/>
    <x v="4"/>
    <s v="Chennai"/>
    <n v="8.7200000000000006"/>
    <d v="1900-01-26T10:48:00"/>
    <n v="172.59"/>
    <n v="1.2"/>
    <n v="207.11"/>
    <n v="4.3"/>
    <x v="2"/>
    <x v="2"/>
  </r>
  <r>
    <s v="TRIP04524"/>
    <x v="90"/>
    <x v="2"/>
    <s v="Delhi"/>
    <n v="27.52"/>
    <d v="1900-03-09T00:14:24"/>
    <n v="385.78"/>
    <n v="2"/>
    <n v="771.56"/>
    <n v="3.2"/>
    <x v="3"/>
    <x v="1"/>
  </r>
  <r>
    <s v="TRIP04525"/>
    <x v="153"/>
    <x v="1"/>
    <s v="Chennai"/>
    <n v="3.78"/>
    <d v="1900-01-14T01:40:48"/>
    <n v="66.25"/>
    <n v="1"/>
    <n v="66.25"/>
    <n v="3.7"/>
    <x v="0"/>
    <x v="3"/>
  </r>
  <r>
    <s v="TRIP04526"/>
    <x v="83"/>
    <x v="1"/>
    <s v="Chennai"/>
    <n v="3.54"/>
    <d v="1900-01-09T14:09:36"/>
    <n v="68.349999999999994"/>
    <n v="1"/>
    <n v="68.349999999999994"/>
    <n v="4"/>
    <x v="1"/>
    <x v="3"/>
  </r>
  <r>
    <s v="TRIP04527"/>
    <x v="314"/>
    <x v="1"/>
    <s v="Mumbai"/>
    <n v="16.41"/>
    <d v="1900-02-23T17:02:24"/>
    <n v="219.9"/>
    <n v="1.2"/>
    <n v="263.88"/>
    <n v="3.5"/>
    <x v="1"/>
    <x v="1"/>
  </r>
  <r>
    <s v="TRIP04528"/>
    <x v="93"/>
    <x v="3"/>
    <s v="Chennai"/>
    <n v="16.829999999999998"/>
    <d v="1900-02-11T15:07:12"/>
    <n v="250.61"/>
    <n v="1.2"/>
    <n v="300.73"/>
    <n v="3.7"/>
    <x v="3"/>
    <x v="1"/>
  </r>
  <r>
    <s v="TRIP04529"/>
    <x v="176"/>
    <x v="4"/>
    <s v="Mumbai"/>
    <n v="25.94"/>
    <d v="1900-04-09T21:36:00"/>
    <n v="280.16000000000003"/>
    <n v="1"/>
    <n v="280.16000000000003"/>
    <n v="3.3"/>
    <x v="0"/>
    <x v="0"/>
  </r>
  <r>
    <s v="TRIP04530"/>
    <x v="107"/>
    <x v="3"/>
    <s v="Chennai"/>
    <n v="28.63"/>
    <d v="1900-04-02T01:12:00"/>
    <n v="491.64"/>
    <n v="1.5"/>
    <n v="737.46"/>
    <n v="3.4"/>
    <x v="1"/>
    <x v="0"/>
  </r>
  <r>
    <s v="TRIP04531"/>
    <x v="243"/>
    <x v="0"/>
    <s v="Delhi"/>
    <n v="1.99"/>
    <d v="1900-01-04T06:14:24"/>
    <n v="29.34"/>
    <n v="2"/>
    <n v="58.68"/>
    <n v="4.8"/>
    <x v="0"/>
    <x v="2"/>
  </r>
  <r>
    <s v="TRIP04532"/>
    <x v="53"/>
    <x v="4"/>
    <s v="Bangalore"/>
    <n v="6.64"/>
    <d v="1900-01-15T08:09:36"/>
    <n v="125.57"/>
    <n v="1.5"/>
    <n v="188.36"/>
    <n v="4.5999999999999996"/>
    <x v="1"/>
    <x v="2"/>
  </r>
  <r>
    <s v="TRIP04533"/>
    <x v="156"/>
    <x v="1"/>
    <s v="Chennai"/>
    <n v="13.97"/>
    <d v="1900-02-22T01:12:00"/>
    <n v="196.71"/>
    <n v="1"/>
    <n v="196.71"/>
    <n v="4.4000000000000004"/>
    <x v="4"/>
    <x v="0"/>
  </r>
  <r>
    <s v="TRIP04534"/>
    <x v="251"/>
    <x v="4"/>
    <s v="Bangalore"/>
    <n v="18.04"/>
    <d v="1900-02-27T00:14:24"/>
    <n v="254.63"/>
    <n v="2"/>
    <n v="509.26"/>
    <n v="4.0999999999999996"/>
    <x v="4"/>
    <x v="2"/>
  </r>
  <r>
    <s v="TRIP04535"/>
    <x v="260"/>
    <x v="0"/>
    <s v="Delhi"/>
    <n v="28.06"/>
    <d v="1900-04-18T20:38:24"/>
    <n v="448.09"/>
    <n v="1.2"/>
    <n v="537.71"/>
    <n v="3.7"/>
    <x v="3"/>
    <x v="0"/>
  </r>
  <r>
    <s v="TRIP04536"/>
    <x v="212"/>
    <x v="0"/>
    <s v="Kolkata"/>
    <n v="25.19"/>
    <d v="1900-04-01T04:19:12"/>
    <n v="490.2"/>
    <n v="2"/>
    <n v="980.4"/>
    <n v="3.3"/>
    <x v="2"/>
    <x v="3"/>
  </r>
  <r>
    <s v="TRIP04537"/>
    <x v="74"/>
    <x v="4"/>
    <s v="Chennai"/>
    <n v="24.92"/>
    <d v="1900-03-19T05:16:48"/>
    <n v="444.48"/>
    <n v="1"/>
    <n v="444.48"/>
    <n v="4.3"/>
    <x v="3"/>
    <x v="1"/>
  </r>
  <r>
    <s v="TRIP04538"/>
    <x v="331"/>
    <x v="1"/>
    <s v="Chennai"/>
    <n v="4.45"/>
    <d v="1900-01-12T02:38:24"/>
    <n v="57.24"/>
    <n v="1"/>
    <n v="57.24"/>
    <n v="4.5999999999999996"/>
    <x v="3"/>
    <x v="3"/>
  </r>
  <r>
    <s v="TRIP04539"/>
    <x v="162"/>
    <x v="0"/>
    <s v="Delhi"/>
    <n v="14.3"/>
    <d v="1900-02-13T10:04:48"/>
    <n v="216.51"/>
    <n v="2"/>
    <n v="433.02"/>
    <n v="3"/>
    <x v="2"/>
    <x v="3"/>
  </r>
  <r>
    <s v="TRIP04540"/>
    <x v="132"/>
    <x v="1"/>
    <s v="Chennai"/>
    <n v="11.94"/>
    <d v="1900-02-10T18:57:36"/>
    <n v="182.45"/>
    <n v="2"/>
    <n v="364.9"/>
    <n v="4.8"/>
    <x v="0"/>
    <x v="2"/>
  </r>
  <r>
    <s v="TRIP04541"/>
    <x v="100"/>
    <x v="2"/>
    <s v="Chennai"/>
    <n v="22.85"/>
    <d v="1900-03-30T03:07:12"/>
    <n v="370.24"/>
    <n v="1"/>
    <n v="370.24"/>
    <n v="4.2"/>
    <x v="0"/>
    <x v="1"/>
  </r>
  <r>
    <s v="TRIP04542"/>
    <x v="194"/>
    <x v="2"/>
    <s v="Kolkata"/>
    <n v="7.72"/>
    <d v="1900-01-14T15:50:24"/>
    <n v="127.64"/>
    <n v="1"/>
    <n v="127.64"/>
    <n v="3.5"/>
    <x v="1"/>
    <x v="1"/>
  </r>
  <r>
    <s v="TRIP04543"/>
    <x v="143"/>
    <x v="2"/>
    <s v="Bangalore"/>
    <n v="21.15"/>
    <d v="1900-03-24T02:09:36"/>
    <n v="319.43"/>
    <n v="1.2"/>
    <n v="383.32"/>
    <n v="4.5"/>
    <x v="2"/>
    <x v="3"/>
  </r>
  <r>
    <s v="TRIP04544"/>
    <x v="187"/>
    <x v="4"/>
    <s v="Mumbai"/>
    <n v="14.83"/>
    <d v="1900-02-23T13:12:00"/>
    <n v="154.59"/>
    <n v="2"/>
    <n v="309.18"/>
    <n v="4.0999999999999996"/>
    <x v="4"/>
    <x v="3"/>
  </r>
  <r>
    <s v="TRIP04545"/>
    <x v="48"/>
    <x v="2"/>
    <s v="Mumbai"/>
    <n v="18.34"/>
    <d v="1900-02-16T20:09:36"/>
    <n v="224.31"/>
    <n v="1"/>
    <n v="224.31"/>
    <n v="4.4000000000000004"/>
    <x v="4"/>
    <x v="3"/>
  </r>
  <r>
    <s v="TRIP04546"/>
    <x v="186"/>
    <x v="1"/>
    <s v="Mumbai"/>
    <n v="12.47"/>
    <d v="1900-02-02T18:43:12"/>
    <n v="216.21"/>
    <n v="2"/>
    <n v="432.42"/>
    <n v="3.4"/>
    <x v="0"/>
    <x v="3"/>
  </r>
  <r>
    <s v="TRIP04547"/>
    <x v="348"/>
    <x v="1"/>
    <s v="Bangalore"/>
    <n v="25.27"/>
    <d v="1900-02-21T15:36:00"/>
    <n v="498.36"/>
    <n v="1.2"/>
    <n v="598.03"/>
    <n v="4.5"/>
    <x v="4"/>
    <x v="1"/>
  </r>
  <r>
    <s v="TRIP04548"/>
    <x v="69"/>
    <x v="1"/>
    <s v="Mumbai"/>
    <n v="17.25"/>
    <d v="1900-02-07T06:28:48"/>
    <n v="330.44"/>
    <n v="1"/>
    <n v="330.44"/>
    <n v="4.9000000000000004"/>
    <x v="2"/>
    <x v="1"/>
  </r>
  <r>
    <s v="TRIP04549"/>
    <x v="305"/>
    <x v="1"/>
    <s v="Mumbai"/>
    <n v="21.64"/>
    <d v="1900-03-11T23:45:36"/>
    <n v="424.76"/>
    <n v="1"/>
    <n v="424.76"/>
    <n v="4.9000000000000004"/>
    <x v="2"/>
    <x v="2"/>
  </r>
  <r>
    <s v="TRIP04550"/>
    <x v="45"/>
    <x v="3"/>
    <s v="Mumbai"/>
    <n v="2.74"/>
    <d v="1900-01-08T12:00:00"/>
    <n v="44.31"/>
    <n v="1"/>
    <n v="44.31"/>
    <n v="4"/>
    <x v="1"/>
    <x v="1"/>
  </r>
  <r>
    <s v="TRIP04551"/>
    <x v="301"/>
    <x v="1"/>
    <s v="Delhi"/>
    <n v="28.06"/>
    <d v="1900-04-20T18:28:48"/>
    <n v="400.82"/>
    <n v="2"/>
    <n v="801.64"/>
    <n v="3.4"/>
    <x v="0"/>
    <x v="3"/>
  </r>
  <r>
    <s v="TRIP04552"/>
    <x v="110"/>
    <x v="2"/>
    <s v="Chennai"/>
    <n v="10.23"/>
    <d v="1900-01-29T20:52:48"/>
    <n v="114.82"/>
    <n v="1.5"/>
    <n v="172.23"/>
    <n v="3.5"/>
    <x v="2"/>
    <x v="3"/>
  </r>
  <r>
    <s v="TRIP04553"/>
    <x v="67"/>
    <x v="4"/>
    <s v="Bangalore"/>
    <n v="1.1200000000000001"/>
    <d v="1900-01-02T00:43:12"/>
    <n v="12.5"/>
    <n v="2"/>
    <n v="25"/>
    <n v="3.1"/>
    <x v="0"/>
    <x v="3"/>
  </r>
  <r>
    <s v="TRIP04554"/>
    <x v="194"/>
    <x v="4"/>
    <s v="Bangalore"/>
    <n v="24.84"/>
    <d v="1900-02-21T16:19:12"/>
    <n v="463.43"/>
    <n v="2"/>
    <n v="926.86"/>
    <n v="3.8"/>
    <x v="1"/>
    <x v="3"/>
  </r>
  <r>
    <s v="TRIP04555"/>
    <x v="289"/>
    <x v="1"/>
    <s v="Mumbai"/>
    <n v="16.940000000000001"/>
    <d v="1900-02-14T14:52:48"/>
    <n v="191.02"/>
    <n v="1"/>
    <n v="191.02"/>
    <n v="4.5999999999999996"/>
    <x v="3"/>
    <x v="1"/>
  </r>
  <r>
    <s v="TRIP04556"/>
    <x v="63"/>
    <x v="3"/>
    <s v="Mumbai"/>
    <n v="28.55"/>
    <d v="1900-04-04T09:36:00"/>
    <n v="402.65"/>
    <n v="1"/>
    <n v="402.65"/>
    <n v="3.6"/>
    <x v="2"/>
    <x v="0"/>
  </r>
  <r>
    <s v="TRIP04557"/>
    <x v="165"/>
    <x v="1"/>
    <s v="Bangalore"/>
    <n v="24.87"/>
    <d v="1900-03-08T08:52:48"/>
    <n v="476.7"/>
    <n v="2"/>
    <n v="953.4"/>
    <n v="4.8"/>
    <x v="2"/>
    <x v="3"/>
  </r>
  <r>
    <s v="TRIP04558"/>
    <x v="332"/>
    <x v="0"/>
    <s v="Delhi"/>
    <n v="28.88"/>
    <d v="1900-04-20T22:48:00"/>
    <n v="489.73"/>
    <n v="1.5"/>
    <n v="734.6"/>
    <n v="4.8"/>
    <x v="1"/>
    <x v="1"/>
  </r>
  <r>
    <s v="TRIP04559"/>
    <x v="316"/>
    <x v="1"/>
    <s v="Kolkata"/>
    <n v="3.32"/>
    <d v="1900-01-10T08:24:00"/>
    <n v="49.91"/>
    <n v="1.2"/>
    <n v="59.89"/>
    <n v="3.1"/>
    <x v="1"/>
    <x v="2"/>
  </r>
  <r>
    <s v="TRIP04560"/>
    <x v="19"/>
    <x v="1"/>
    <s v="Mumbai"/>
    <n v="2.74"/>
    <d v="1900-01-05T18:28:48"/>
    <n v="34.68"/>
    <n v="1.2"/>
    <n v="41.62"/>
    <n v="4.5999999999999996"/>
    <x v="3"/>
    <x v="0"/>
  </r>
  <r>
    <s v="TRIP04561"/>
    <x v="65"/>
    <x v="3"/>
    <s v="Delhi"/>
    <n v="22.6"/>
    <d v="1900-03-28T01:40:48"/>
    <n v="295.22000000000003"/>
    <n v="1.2"/>
    <n v="354.26"/>
    <n v="4.8"/>
    <x v="3"/>
    <x v="1"/>
  </r>
  <r>
    <s v="TRIP04562"/>
    <x v="118"/>
    <x v="2"/>
    <s v="Chennai"/>
    <n v="7.44"/>
    <d v="1900-01-24T22:04:48"/>
    <n v="79"/>
    <n v="2"/>
    <n v="158"/>
    <n v="3.7"/>
    <x v="1"/>
    <x v="1"/>
  </r>
  <r>
    <s v="TRIP04563"/>
    <x v="214"/>
    <x v="4"/>
    <s v="Kolkata"/>
    <n v="17.14"/>
    <d v="1900-02-16T14:24:00"/>
    <n v="270.02"/>
    <n v="1.5"/>
    <n v="405.03"/>
    <n v="3.9"/>
    <x v="1"/>
    <x v="3"/>
  </r>
  <r>
    <s v="TRIP04564"/>
    <x v="126"/>
    <x v="4"/>
    <s v="Kolkata"/>
    <n v="17.05"/>
    <d v="1900-03-02T05:02:24"/>
    <n v="232.29"/>
    <n v="1.2"/>
    <n v="278.75"/>
    <n v="4.4000000000000004"/>
    <x v="2"/>
    <x v="3"/>
  </r>
  <r>
    <s v="TRIP04565"/>
    <x v="37"/>
    <x v="0"/>
    <s v="Chennai"/>
    <n v="24.81"/>
    <d v="1900-03-21T21:21:36"/>
    <n v="426.07"/>
    <n v="1.5"/>
    <n v="639.1"/>
    <n v="3.3"/>
    <x v="3"/>
    <x v="1"/>
  </r>
  <r>
    <s v="TRIP04566"/>
    <x v="207"/>
    <x v="0"/>
    <s v="Kolkata"/>
    <n v="5.61"/>
    <d v="1900-01-13T16:48:00"/>
    <n v="67.73"/>
    <n v="1"/>
    <n v="67.73"/>
    <n v="3.4"/>
    <x v="0"/>
    <x v="0"/>
  </r>
  <r>
    <s v="TRIP04567"/>
    <x v="242"/>
    <x v="0"/>
    <s v="Delhi"/>
    <n v="28.81"/>
    <d v="1900-04-21T21:36:00"/>
    <n v="509.82"/>
    <n v="1.5"/>
    <n v="764.73"/>
    <n v="4.3"/>
    <x v="1"/>
    <x v="2"/>
  </r>
  <r>
    <s v="TRIP04568"/>
    <x v="152"/>
    <x v="1"/>
    <s v="Mumbai"/>
    <n v="9.8699999999999992"/>
    <d v="1900-01-30T11:31:12"/>
    <n v="131.53"/>
    <n v="1"/>
    <n v="131.53"/>
    <n v="4.5999999999999996"/>
    <x v="3"/>
    <x v="3"/>
  </r>
  <r>
    <s v="TRIP04569"/>
    <x v="338"/>
    <x v="3"/>
    <s v="Delhi"/>
    <n v="12.12"/>
    <d v="1900-01-24T21:50:24"/>
    <n v="184.78"/>
    <n v="1.5"/>
    <n v="277.17"/>
    <n v="4"/>
    <x v="0"/>
    <x v="0"/>
  </r>
  <r>
    <s v="TRIP04570"/>
    <x v="358"/>
    <x v="1"/>
    <s v="Delhi"/>
    <n v="22.88"/>
    <d v="1900-02-22T10:04:48"/>
    <n v="445.35"/>
    <n v="1"/>
    <n v="445.35"/>
    <n v="3.6"/>
    <x v="4"/>
    <x v="2"/>
  </r>
  <r>
    <s v="TRIP04571"/>
    <x v="223"/>
    <x v="1"/>
    <s v="Delhi"/>
    <n v="2.09"/>
    <d v="1900-01-06T09:21:36"/>
    <n v="28.96"/>
    <n v="1.5"/>
    <n v="43.44"/>
    <n v="4.8"/>
    <x v="0"/>
    <x v="0"/>
  </r>
  <r>
    <s v="TRIP04572"/>
    <x v="24"/>
    <x v="0"/>
    <s v="Bangalore"/>
    <n v="23.22"/>
    <d v="1900-03-14T06:00:00"/>
    <n v="348.63"/>
    <n v="1.5"/>
    <n v="522.94000000000005"/>
    <n v="4.3"/>
    <x v="4"/>
    <x v="2"/>
  </r>
  <r>
    <s v="TRIP04573"/>
    <x v="210"/>
    <x v="2"/>
    <s v="Delhi"/>
    <n v="10.25"/>
    <d v="1900-01-27T04:04:48"/>
    <n v="134.74"/>
    <n v="1.5"/>
    <n v="202.11"/>
    <n v="3.9"/>
    <x v="3"/>
    <x v="1"/>
  </r>
  <r>
    <s v="TRIP04574"/>
    <x v="261"/>
    <x v="3"/>
    <s v="Chennai"/>
    <n v="22.15"/>
    <d v="1900-02-22T18:57:36"/>
    <n v="279.99"/>
    <n v="1.5"/>
    <n v="419.98"/>
    <n v="4.4000000000000004"/>
    <x v="4"/>
    <x v="3"/>
  </r>
  <r>
    <s v="TRIP04575"/>
    <x v="17"/>
    <x v="4"/>
    <s v="Delhi"/>
    <n v="11.12"/>
    <d v="1900-01-30T06:00:00"/>
    <n v="190.05"/>
    <n v="2"/>
    <n v="380.1"/>
    <n v="4.7"/>
    <x v="1"/>
    <x v="0"/>
  </r>
  <r>
    <s v="TRIP04576"/>
    <x v="207"/>
    <x v="2"/>
    <s v="Bangalore"/>
    <n v="2.82"/>
    <d v="1900-01-05T17:45:36"/>
    <n v="48.93"/>
    <n v="1"/>
    <n v="48.93"/>
    <n v="4.5999999999999996"/>
    <x v="0"/>
    <x v="2"/>
  </r>
  <r>
    <s v="TRIP04577"/>
    <x v="191"/>
    <x v="2"/>
    <s v="Bangalore"/>
    <n v="18.12"/>
    <d v="1900-02-14T21:50:24"/>
    <n v="193.65"/>
    <n v="1.5"/>
    <n v="290.48"/>
    <n v="3.9"/>
    <x v="2"/>
    <x v="2"/>
  </r>
  <r>
    <s v="TRIP04578"/>
    <x v="199"/>
    <x v="3"/>
    <s v="Bangalore"/>
    <n v="6.35"/>
    <d v="1900-01-18T08:09:36"/>
    <n v="106.24"/>
    <n v="1.5"/>
    <n v="159.36000000000001"/>
    <n v="4.9000000000000004"/>
    <x v="2"/>
    <x v="2"/>
  </r>
  <r>
    <s v="TRIP04579"/>
    <x v="244"/>
    <x v="2"/>
    <s v="Delhi"/>
    <n v="7.19"/>
    <d v="1900-01-13T14:52:48"/>
    <n v="124.01"/>
    <n v="2"/>
    <n v="248.02"/>
    <n v="3.7"/>
    <x v="0"/>
    <x v="3"/>
  </r>
  <r>
    <s v="TRIP04580"/>
    <x v="15"/>
    <x v="3"/>
    <s v="Bangalore"/>
    <n v="4.91"/>
    <d v="1900-01-12T23:16:48"/>
    <n v="53.57"/>
    <n v="1.5"/>
    <n v="80.36"/>
    <n v="3.9"/>
    <x v="3"/>
    <x v="3"/>
  </r>
  <r>
    <s v="TRIP04581"/>
    <x v="328"/>
    <x v="1"/>
    <s v="Bangalore"/>
    <n v="2.97"/>
    <d v="1900-01-07T05:31:12"/>
    <n v="38.479999999999997"/>
    <n v="2"/>
    <n v="76.959999999999994"/>
    <n v="4.0999999999999996"/>
    <x v="3"/>
    <x v="1"/>
  </r>
  <r>
    <s v="TRIP04582"/>
    <x v="87"/>
    <x v="2"/>
    <s v="Kolkata"/>
    <n v="22.05"/>
    <d v="1900-03-14T05:45:36"/>
    <n v="357.01"/>
    <n v="1"/>
    <n v="357.01"/>
    <n v="3.1"/>
    <x v="4"/>
    <x v="2"/>
  </r>
  <r>
    <s v="TRIP04583"/>
    <x v="186"/>
    <x v="4"/>
    <s v="Delhi"/>
    <n v="1.56"/>
    <d v="1900-01-03T05:45:36"/>
    <n v="19.64"/>
    <n v="1"/>
    <n v="19.64"/>
    <n v="3.7"/>
    <x v="4"/>
    <x v="2"/>
  </r>
  <r>
    <s v="TRIP04584"/>
    <x v="155"/>
    <x v="4"/>
    <s v="Bangalore"/>
    <n v="11.88"/>
    <d v="1900-02-08T23:45:36"/>
    <n v="175.93"/>
    <n v="1.5"/>
    <n v="263.89999999999998"/>
    <n v="3.9"/>
    <x v="3"/>
    <x v="1"/>
  </r>
  <r>
    <s v="TRIP04585"/>
    <x v="355"/>
    <x v="2"/>
    <s v="Delhi"/>
    <n v="29.69"/>
    <d v="1900-04-21T19:55:12"/>
    <n v="381.98"/>
    <n v="2"/>
    <n v="763.96"/>
    <n v="4.3"/>
    <x v="4"/>
    <x v="0"/>
  </r>
  <r>
    <s v="TRIP04586"/>
    <x v="157"/>
    <x v="0"/>
    <s v="Bangalore"/>
    <n v="27.99"/>
    <d v="1900-04-03T16:04:48"/>
    <n v="468.69"/>
    <n v="1.5"/>
    <n v="703.04"/>
    <n v="3.2"/>
    <x v="2"/>
    <x v="3"/>
  </r>
  <r>
    <s v="TRIP04587"/>
    <x v="262"/>
    <x v="0"/>
    <s v="Chennai"/>
    <n v="6.81"/>
    <d v="1900-01-17T00:43:12"/>
    <n v="134.76"/>
    <n v="2"/>
    <n v="269.52"/>
    <n v="4"/>
    <x v="3"/>
    <x v="3"/>
  </r>
  <r>
    <s v="TRIP04588"/>
    <x v="164"/>
    <x v="1"/>
    <s v="Chennai"/>
    <n v="6.02"/>
    <d v="1900-01-11T03:07:12"/>
    <n v="90.39"/>
    <n v="1.5"/>
    <n v="135.58000000000001"/>
    <n v="3.2"/>
    <x v="4"/>
    <x v="2"/>
  </r>
  <r>
    <s v="TRIP04589"/>
    <x v="52"/>
    <x v="4"/>
    <s v="Delhi"/>
    <n v="6.91"/>
    <d v="1900-01-15T11:16:48"/>
    <n v="71.319999999999993"/>
    <n v="1"/>
    <n v="71.319999999999993"/>
    <n v="4.0999999999999996"/>
    <x v="0"/>
    <x v="2"/>
  </r>
  <r>
    <s v="TRIP04590"/>
    <x v="102"/>
    <x v="4"/>
    <s v="Delhi"/>
    <n v="21.65"/>
    <d v="1900-03-15T00:57:36"/>
    <n v="221.04"/>
    <n v="1"/>
    <n v="221.04"/>
    <n v="4.7"/>
    <x v="0"/>
    <x v="0"/>
  </r>
  <r>
    <s v="TRIP04591"/>
    <x v="114"/>
    <x v="3"/>
    <s v="Chennai"/>
    <n v="11.08"/>
    <d v="1900-01-26T18:43:12"/>
    <n v="137.76"/>
    <n v="1.2"/>
    <n v="165.31"/>
    <n v="4.7"/>
    <x v="4"/>
    <x v="0"/>
  </r>
  <r>
    <s v="TRIP04592"/>
    <x v="356"/>
    <x v="2"/>
    <s v="Chennai"/>
    <n v="3.51"/>
    <d v="1900-01-08T01:40:48"/>
    <n v="36.700000000000003"/>
    <n v="1.5"/>
    <n v="55.05"/>
    <n v="3.2"/>
    <x v="0"/>
    <x v="1"/>
  </r>
  <r>
    <s v="TRIP04593"/>
    <x v="351"/>
    <x v="2"/>
    <s v="Delhi"/>
    <n v="9.94"/>
    <d v="1900-01-30T06:43:12"/>
    <n v="140.11000000000001"/>
    <n v="1.2"/>
    <n v="168.13"/>
    <n v="3.7"/>
    <x v="3"/>
    <x v="1"/>
  </r>
  <r>
    <s v="TRIP04594"/>
    <x v="222"/>
    <x v="4"/>
    <s v="Chennai"/>
    <n v="24.14"/>
    <d v="1900-04-04T07:12:00"/>
    <n v="325.42"/>
    <n v="2"/>
    <n v="650.84"/>
    <n v="4.8"/>
    <x v="1"/>
    <x v="2"/>
  </r>
  <r>
    <s v="TRIP04595"/>
    <x v="154"/>
    <x v="3"/>
    <s v="Mumbai"/>
    <n v="23.02"/>
    <d v="1900-03-11T11:16:48"/>
    <n v="410.58"/>
    <n v="1"/>
    <n v="410.58"/>
    <n v="3"/>
    <x v="2"/>
    <x v="1"/>
  </r>
  <r>
    <s v="TRIP04596"/>
    <x v="340"/>
    <x v="2"/>
    <s v="Kolkata"/>
    <n v="28.85"/>
    <d v="1900-03-22T13:40:48"/>
    <n v="393.92"/>
    <n v="1.2"/>
    <n v="472.7"/>
    <n v="4"/>
    <x v="3"/>
    <x v="3"/>
  </r>
  <r>
    <s v="TRIP04597"/>
    <x v="265"/>
    <x v="4"/>
    <s v="Mumbai"/>
    <n v="19.149999999999999"/>
    <d v="1900-03-06T10:04:48"/>
    <n v="341.82"/>
    <n v="1.2"/>
    <n v="410.18"/>
    <n v="4.2"/>
    <x v="4"/>
    <x v="1"/>
  </r>
  <r>
    <s v="TRIP04598"/>
    <x v="302"/>
    <x v="0"/>
    <s v="Kolkata"/>
    <n v="21.62"/>
    <d v="1900-03-01T16:33:36"/>
    <n v="312.75"/>
    <n v="1"/>
    <n v="312.75"/>
    <n v="3.4"/>
    <x v="0"/>
    <x v="0"/>
  </r>
  <r>
    <s v="TRIP04599"/>
    <x v="176"/>
    <x v="3"/>
    <s v="Delhi"/>
    <n v="15.97"/>
    <d v="1900-02-09T06:00:00"/>
    <n v="293.67"/>
    <n v="1.2"/>
    <n v="352.4"/>
    <n v="4.0999999999999996"/>
    <x v="2"/>
    <x v="3"/>
  </r>
  <r>
    <s v="TRIP04600"/>
    <x v="350"/>
    <x v="1"/>
    <s v="Bangalore"/>
    <n v="27.7"/>
    <d v="1900-04-10T01:26:24"/>
    <n v="295.11"/>
    <n v="2"/>
    <n v="590.22"/>
    <n v="5"/>
    <x v="2"/>
    <x v="0"/>
  </r>
  <r>
    <s v="TRIP04601"/>
    <x v="142"/>
    <x v="0"/>
    <s v="Chennai"/>
    <n v="7.19"/>
    <d v="1900-01-26T10:48:00"/>
    <n v="135.9"/>
    <n v="2"/>
    <n v="271.8"/>
    <n v="4.5"/>
    <x v="1"/>
    <x v="3"/>
  </r>
  <r>
    <s v="TRIP04602"/>
    <x v="358"/>
    <x v="4"/>
    <s v="Kolkata"/>
    <n v="1.39"/>
    <d v="1900-01-03T00:00:00"/>
    <n v="14.46"/>
    <n v="2"/>
    <n v="28.92"/>
    <n v="4.2"/>
    <x v="1"/>
    <x v="1"/>
  </r>
  <r>
    <s v="TRIP04603"/>
    <x v="328"/>
    <x v="3"/>
    <s v="Chennai"/>
    <n v="9.9600000000000009"/>
    <d v="1900-01-23T01:12:00"/>
    <n v="140.34"/>
    <n v="2"/>
    <n v="280.68"/>
    <n v="3.9"/>
    <x v="4"/>
    <x v="3"/>
  </r>
  <r>
    <s v="TRIP04604"/>
    <x v="49"/>
    <x v="1"/>
    <s v="Delhi"/>
    <n v="5.48"/>
    <d v="1900-01-19T23:16:48"/>
    <n v="78.28"/>
    <n v="1"/>
    <n v="78.28"/>
    <n v="4.8"/>
    <x v="2"/>
    <x v="2"/>
  </r>
  <r>
    <s v="TRIP04605"/>
    <x v="33"/>
    <x v="4"/>
    <s v="Chennai"/>
    <n v="23.05"/>
    <d v="1900-03-16T07:12:00"/>
    <n v="284.04000000000002"/>
    <n v="2"/>
    <n v="568.08000000000004"/>
    <n v="4.8"/>
    <x v="0"/>
    <x v="2"/>
  </r>
  <r>
    <s v="TRIP04606"/>
    <x v="104"/>
    <x v="4"/>
    <s v="Bangalore"/>
    <n v="25.91"/>
    <d v="1900-03-09T01:55:12"/>
    <n v="397.97"/>
    <n v="1.5"/>
    <n v="596.96"/>
    <n v="3.2"/>
    <x v="1"/>
    <x v="0"/>
  </r>
  <r>
    <s v="TRIP04607"/>
    <x v="29"/>
    <x v="4"/>
    <s v="Mumbai"/>
    <n v="18.05"/>
    <d v="1900-03-04T10:19:12"/>
    <n v="182.62"/>
    <n v="2"/>
    <n v="365.24"/>
    <n v="4.8"/>
    <x v="1"/>
    <x v="2"/>
  </r>
  <r>
    <s v="TRIP04608"/>
    <x v="252"/>
    <x v="4"/>
    <s v="Mumbai"/>
    <n v="6.31"/>
    <d v="1900-01-21T08:52:48"/>
    <n v="79.2"/>
    <n v="2"/>
    <n v="158.4"/>
    <n v="3.4"/>
    <x v="3"/>
    <x v="3"/>
  </r>
  <r>
    <s v="TRIP04609"/>
    <x v="220"/>
    <x v="0"/>
    <s v="Chennai"/>
    <n v="12.38"/>
    <d v="1900-02-14T09:36:00"/>
    <n v="200.36"/>
    <n v="2"/>
    <n v="400.72"/>
    <n v="3.7"/>
    <x v="2"/>
    <x v="3"/>
  </r>
  <r>
    <s v="TRIP04610"/>
    <x v="84"/>
    <x v="0"/>
    <s v="Kolkata"/>
    <n v="28.66"/>
    <d v="1900-03-03T19:26:24"/>
    <n v="346.13"/>
    <n v="1"/>
    <n v="346.13"/>
    <n v="3.3"/>
    <x v="4"/>
    <x v="2"/>
  </r>
  <r>
    <s v="TRIP04611"/>
    <x v="19"/>
    <x v="0"/>
    <s v="Mumbai"/>
    <n v="6.14"/>
    <d v="1900-01-13T01:26:24"/>
    <n v="87.25"/>
    <n v="1.2"/>
    <n v="104.7"/>
    <n v="3.5"/>
    <x v="4"/>
    <x v="0"/>
  </r>
  <r>
    <s v="TRIP04612"/>
    <x v="294"/>
    <x v="1"/>
    <s v="Bangalore"/>
    <n v="3.25"/>
    <d v="1900-01-05T21:07:12"/>
    <n v="48.27"/>
    <n v="1"/>
    <n v="48.27"/>
    <n v="3.4"/>
    <x v="2"/>
    <x v="1"/>
  </r>
  <r>
    <s v="TRIP04613"/>
    <x v="201"/>
    <x v="3"/>
    <s v="Mumbai"/>
    <n v="29.94"/>
    <d v="1900-03-31T17:31:12"/>
    <n v="411.75"/>
    <n v="1"/>
    <n v="411.75"/>
    <n v="4.4000000000000004"/>
    <x v="2"/>
    <x v="0"/>
  </r>
  <r>
    <s v="TRIP04614"/>
    <x v="29"/>
    <x v="1"/>
    <s v="Kolkata"/>
    <n v="15.85"/>
    <d v="1900-02-13T14:38:24"/>
    <n v="201.42"/>
    <n v="2"/>
    <n v="402.84"/>
    <n v="4.4000000000000004"/>
    <x v="1"/>
    <x v="0"/>
  </r>
  <r>
    <s v="TRIP04615"/>
    <x v="20"/>
    <x v="2"/>
    <s v="Bangalore"/>
    <n v="15.75"/>
    <d v="1900-02-01T08:09:36"/>
    <n v="181.71"/>
    <n v="1.5"/>
    <n v="272.56"/>
    <n v="3.6"/>
    <x v="2"/>
    <x v="2"/>
  </r>
  <r>
    <s v="TRIP04616"/>
    <x v="47"/>
    <x v="4"/>
    <s v="Kolkata"/>
    <n v="2.84"/>
    <d v="1900-01-08T14:52:48"/>
    <n v="30.16"/>
    <n v="1"/>
    <n v="30.16"/>
    <n v="3.1"/>
    <x v="0"/>
    <x v="1"/>
  </r>
  <r>
    <s v="TRIP04617"/>
    <x v="112"/>
    <x v="1"/>
    <s v="Mumbai"/>
    <n v="19.88"/>
    <d v="1900-03-08T20:52:48"/>
    <n v="216.29"/>
    <n v="1.2"/>
    <n v="259.55"/>
    <n v="4"/>
    <x v="0"/>
    <x v="2"/>
  </r>
  <r>
    <s v="TRIP04618"/>
    <x v="319"/>
    <x v="2"/>
    <s v="Kolkata"/>
    <n v="28.34"/>
    <d v="1900-03-25T04:19:12"/>
    <n v="557.57000000000005"/>
    <n v="1.2"/>
    <n v="669.08"/>
    <n v="3.8"/>
    <x v="4"/>
    <x v="2"/>
  </r>
  <r>
    <s v="TRIP04619"/>
    <x v="215"/>
    <x v="2"/>
    <s v="Bangalore"/>
    <n v="19.84"/>
    <d v="1900-03-02T18:00:00"/>
    <n v="377.23"/>
    <n v="1.2"/>
    <n v="452.68"/>
    <n v="3.5"/>
    <x v="0"/>
    <x v="1"/>
  </r>
  <r>
    <s v="TRIP04620"/>
    <x v="253"/>
    <x v="0"/>
    <s v="Bangalore"/>
    <n v="19.11"/>
    <d v="1900-02-08T17:45:36"/>
    <n v="314.35000000000002"/>
    <n v="1.5"/>
    <n v="471.52"/>
    <n v="3.1"/>
    <x v="3"/>
    <x v="3"/>
  </r>
  <r>
    <s v="TRIP04621"/>
    <x v="329"/>
    <x v="2"/>
    <s v="Bangalore"/>
    <n v="18.14"/>
    <d v="1900-03-08T17:02:24"/>
    <n v="202.49"/>
    <n v="1.2"/>
    <n v="242.99"/>
    <n v="4.5"/>
    <x v="0"/>
    <x v="1"/>
  </r>
  <r>
    <s v="TRIP04622"/>
    <x v="322"/>
    <x v="1"/>
    <s v="Chennai"/>
    <n v="10.76"/>
    <d v="1900-01-20T12:28:48"/>
    <n v="203.47"/>
    <n v="2"/>
    <n v="406.94"/>
    <n v="3.5"/>
    <x v="2"/>
    <x v="2"/>
  </r>
  <r>
    <s v="TRIP04623"/>
    <x v="237"/>
    <x v="1"/>
    <s v="Chennai"/>
    <n v="4.74"/>
    <d v="1900-01-12T01:40:48"/>
    <n v="91.21"/>
    <n v="1"/>
    <n v="91.21"/>
    <n v="4.9000000000000004"/>
    <x v="0"/>
    <x v="3"/>
  </r>
  <r>
    <s v="TRIP04624"/>
    <x v="29"/>
    <x v="3"/>
    <s v="Bangalore"/>
    <n v="27.48"/>
    <d v="1900-03-25T17:31:12"/>
    <n v="439.03"/>
    <n v="1"/>
    <n v="439.03"/>
    <n v="3.1"/>
    <x v="4"/>
    <x v="1"/>
  </r>
  <r>
    <s v="TRIP04625"/>
    <x v="0"/>
    <x v="2"/>
    <s v="Bangalore"/>
    <n v="11.86"/>
    <d v="1900-02-09T10:48:00"/>
    <n v="214.44"/>
    <n v="1.2"/>
    <n v="257.33"/>
    <n v="3.3"/>
    <x v="3"/>
    <x v="3"/>
  </r>
  <r>
    <s v="TRIP04626"/>
    <x v="5"/>
    <x v="1"/>
    <s v="Bangalore"/>
    <n v="19.45"/>
    <d v="1900-03-08T00:43:12"/>
    <n v="242.93"/>
    <n v="1.2"/>
    <n v="291.52"/>
    <n v="4.2"/>
    <x v="0"/>
    <x v="0"/>
  </r>
  <r>
    <s v="TRIP04627"/>
    <x v="19"/>
    <x v="1"/>
    <s v="Mumbai"/>
    <n v="9.65"/>
    <d v="1900-01-22T14:38:24"/>
    <n v="116.85"/>
    <n v="2"/>
    <n v="233.7"/>
    <n v="3.8"/>
    <x v="4"/>
    <x v="3"/>
  </r>
  <r>
    <s v="TRIP04628"/>
    <x v="177"/>
    <x v="1"/>
    <s v="Kolkata"/>
    <n v="18.649999999999999"/>
    <d v="1900-02-16T14:38:24"/>
    <n v="305.58999999999997"/>
    <n v="1.2"/>
    <n v="366.71"/>
    <n v="4.0999999999999996"/>
    <x v="2"/>
    <x v="2"/>
  </r>
  <r>
    <s v="TRIP04629"/>
    <x v="296"/>
    <x v="0"/>
    <s v="Chennai"/>
    <n v="5.62"/>
    <d v="1900-01-17T08:52:48"/>
    <n v="80.38"/>
    <n v="1"/>
    <n v="80.38"/>
    <n v="4.7"/>
    <x v="3"/>
    <x v="3"/>
  </r>
  <r>
    <s v="TRIP04630"/>
    <x v="299"/>
    <x v="2"/>
    <s v="Delhi"/>
    <n v="29.69"/>
    <d v="1900-03-20T03:36:00"/>
    <n v="583.57000000000005"/>
    <n v="1.5"/>
    <n v="875.36"/>
    <n v="3.1"/>
    <x v="0"/>
    <x v="0"/>
  </r>
  <r>
    <s v="TRIP04631"/>
    <x v="154"/>
    <x v="4"/>
    <s v="Mumbai"/>
    <n v="4.32"/>
    <d v="1900-01-10T00:00:00"/>
    <n v="67.86"/>
    <n v="1.5"/>
    <n v="101.79"/>
    <n v="4.5"/>
    <x v="2"/>
    <x v="3"/>
  </r>
  <r>
    <s v="TRIP04632"/>
    <x v="308"/>
    <x v="0"/>
    <s v="Chennai"/>
    <n v="18.84"/>
    <d v="1900-02-28T01:12:00"/>
    <n v="360.29"/>
    <n v="2"/>
    <n v="720.58"/>
    <n v="4.7"/>
    <x v="4"/>
    <x v="0"/>
  </r>
  <r>
    <s v="TRIP04633"/>
    <x v="80"/>
    <x v="4"/>
    <s v="Chennai"/>
    <n v="5.69"/>
    <d v="1900-01-14T22:19:12"/>
    <n v="97.46"/>
    <n v="1.2"/>
    <n v="116.95"/>
    <n v="4.8"/>
    <x v="2"/>
    <x v="1"/>
  </r>
  <r>
    <s v="TRIP04634"/>
    <x v="280"/>
    <x v="2"/>
    <s v="Chennai"/>
    <n v="4.08"/>
    <d v="1900-01-11T22:33:36"/>
    <n v="50.71"/>
    <n v="1.2"/>
    <n v="60.85"/>
    <n v="4.5"/>
    <x v="1"/>
    <x v="2"/>
  </r>
  <r>
    <s v="TRIP04635"/>
    <x v="111"/>
    <x v="4"/>
    <s v="Kolkata"/>
    <n v="23.08"/>
    <d v="1900-03-01T11:45:36"/>
    <n v="364.25"/>
    <n v="1.2"/>
    <n v="437.1"/>
    <n v="4.5999999999999996"/>
    <x v="1"/>
    <x v="2"/>
  </r>
  <r>
    <s v="TRIP04636"/>
    <x v="209"/>
    <x v="1"/>
    <s v="Delhi"/>
    <n v="10.77"/>
    <d v="1900-02-11T00:43:12"/>
    <n v="213.09"/>
    <n v="1"/>
    <n v="213.09"/>
    <n v="4.8"/>
    <x v="2"/>
    <x v="3"/>
  </r>
  <r>
    <s v="TRIP04637"/>
    <x v="272"/>
    <x v="4"/>
    <s v="Delhi"/>
    <n v="2.13"/>
    <d v="1900-01-03T12:14:24"/>
    <n v="23.24"/>
    <n v="2"/>
    <n v="46.48"/>
    <n v="4.9000000000000004"/>
    <x v="4"/>
    <x v="3"/>
  </r>
  <r>
    <s v="TRIP04638"/>
    <x v="220"/>
    <x v="3"/>
    <s v="Delhi"/>
    <n v="22.05"/>
    <d v="1900-03-03T13:26:24"/>
    <n v="404.89"/>
    <n v="1"/>
    <n v="404.89"/>
    <n v="3.9"/>
    <x v="0"/>
    <x v="1"/>
  </r>
  <r>
    <s v="TRIP04639"/>
    <x v="118"/>
    <x v="1"/>
    <s v="Kolkata"/>
    <n v="8.2799999999999994"/>
    <d v="1900-01-19T08:38:24"/>
    <n v="85.41"/>
    <n v="1.5"/>
    <n v="128.12"/>
    <n v="4.7"/>
    <x v="0"/>
    <x v="3"/>
  </r>
  <r>
    <s v="TRIP04640"/>
    <x v="321"/>
    <x v="4"/>
    <s v="Bangalore"/>
    <n v="11.08"/>
    <d v="1900-02-04T07:55:12"/>
    <n v="160.19999999999999"/>
    <n v="1"/>
    <n v="160.19999999999999"/>
    <n v="3.4"/>
    <x v="1"/>
    <x v="0"/>
  </r>
  <r>
    <s v="TRIP04641"/>
    <x v="356"/>
    <x v="3"/>
    <s v="Bangalore"/>
    <n v="29.83"/>
    <d v="1900-03-02T13:12:00"/>
    <n v="506.12"/>
    <n v="2"/>
    <n v="1012.24"/>
    <n v="4.5999999999999996"/>
    <x v="4"/>
    <x v="3"/>
  </r>
  <r>
    <s v="TRIP04642"/>
    <x v="322"/>
    <x v="2"/>
    <s v="Chennai"/>
    <n v="17.52"/>
    <d v="1900-02-27T19:55:12"/>
    <n v="250.42"/>
    <n v="1.5"/>
    <n v="375.63"/>
    <n v="4.5999999999999996"/>
    <x v="4"/>
    <x v="1"/>
  </r>
  <r>
    <s v="TRIP04643"/>
    <x v="55"/>
    <x v="1"/>
    <s v="Chennai"/>
    <n v="13.54"/>
    <d v="1900-02-13T02:24:00"/>
    <n v="207.34"/>
    <n v="1.2"/>
    <n v="248.81"/>
    <n v="4"/>
    <x v="2"/>
    <x v="0"/>
  </r>
  <r>
    <s v="TRIP04644"/>
    <x v="5"/>
    <x v="2"/>
    <s v="Chennai"/>
    <n v="25.49"/>
    <d v="1900-03-23T21:07:12"/>
    <n v="476.45"/>
    <n v="2"/>
    <n v="952.9"/>
    <n v="3.9"/>
    <x v="4"/>
    <x v="1"/>
  </r>
  <r>
    <s v="TRIP04645"/>
    <x v="199"/>
    <x v="3"/>
    <s v="Mumbai"/>
    <n v="28.8"/>
    <d v="1900-04-21T13:40:48"/>
    <n v="466.37"/>
    <n v="2"/>
    <n v="932.74"/>
    <n v="4.0999999999999996"/>
    <x v="0"/>
    <x v="0"/>
  </r>
  <r>
    <s v="TRIP04646"/>
    <x v="77"/>
    <x v="2"/>
    <s v="Bangalore"/>
    <n v="19.010000000000002"/>
    <d v="1900-02-06T18:14:24"/>
    <n v="257.76"/>
    <n v="1.2"/>
    <n v="309.31"/>
    <n v="4.8"/>
    <x v="0"/>
    <x v="2"/>
  </r>
  <r>
    <s v="TRIP04647"/>
    <x v="165"/>
    <x v="2"/>
    <s v="Kolkata"/>
    <n v="2.99"/>
    <d v="1900-01-10T11:31:12"/>
    <n v="43.39"/>
    <n v="1.2"/>
    <n v="52.07"/>
    <n v="4.9000000000000004"/>
    <x v="3"/>
    <x v="2"/>
  </r>
  <r>
    <s v="TRIP04648"/>
    <x v="156"/>
    <x v="4"/>
    <s v="Chennai"/>
    <n v="24.33"/>
    <d v="1900-03-03T13:12:00"/>
    <n v="319.92"/>
    <n v="2"/>
    <n v="639.84"/>
    <n v="3.3"/>
    <x v="0"/>
    <x v="2"/>
  </r>
  <r>
    <s v="TRIP04649"/>
    <x v="303"/>
    <x v="3"/>
    <s v="Kolkata"/>
    <n v="26.73"/>
    <d v="1900-03-15T12:43:12"/>
    <n v="359.23"/>
    <n v="1.2"/>
    <n v="431.08"/>
    <n v="3.4"/>
    <x v="1"/>
    <x v="1"/>
  </r>
  <r>
    <s v="TRIP04650"/>
    <x v="287"/>
    <x v="1"/>
    <s v="Kolkata"/>
    <n v="5.47"/>
    <d v="1900-01-12T08:09:36"/>
    <n v="99.37"/>
    <n v="1.5"/>
    <n v="149.06"/>
    <n v="4.9000000000000004"/>
    <x v="0"/>
    <x v="1"/>
  </r>
  <r>
    <s v="TRIP04651"/>
    <x v="290"/>
    <x v="1"/>
    <s v="Mumbai"/>
    <n v="9.0299999999999994"/>
    <d v="1900-02-03T02:38:24"/>
    <n v="98.05"/>
    <n v="1.2"/>
    <n v="117.66"/>
    <n v="3.9"/>
    <x v="0"/>
    <x v="3"/>
  </r>
  <r>
    <s v="TRIP04652"/>
    <x v="336"/>
    <x v="0"/>
    <s v="Mumbai"/>
    <n v="12.91"/>
    <d v="1900-01-30T20:09:36"/>
    <n v="179.01"/>
    <n v="2"/>
    <n v="358.02"/>
    <n v="3.6"/>
    <x v="0"/>
    <x v="0"/>
  </r>
  <r>
    <s v="TRIP04653"/>
    <x v="106"/>
    <x v="1"/>
    <s v="Chennai"/>
    <n v="23.09"/>
    <d v="1900-03-02T18:00:00"/>
    <n v="396.41"/>
    <n v="2"/>
    <n v="792.82"/>
    <n v="3.3"/>
    <x v="2"/>
    <x v="3"/>
  </r>
  <r>
    <s v="TRIP04654"/>
    <x v="51"/>
    <x v="4"/>
    <s v="Mumbai"/>
    <n v="12.74"/>
    <d v="1900-01-31T08:09:36"/>
    <n v="152.69"/>
    <n v="1.2"/>
    <n v="183.23"/>
    <n v="4.3"/>
    <x v="2"/>
    <x v="3"/>
  </r>
  <r>
    <s v="TRIP04655"/>
    <x v="240"/>
    <x v="3"/>
    <s v="Bangalore"/>
    <n v="27.05"/>
    <d v="1900-03-29T09:36:00"/>
    <n v="401.33"/>
    <n v="1.5"/>
    <n v="602"/>
    <n v="3.7"/>
    <x v="2"/>
    <x v="1"/>
  </r>
  <r>
    <s v="TRIP04656"/>
    <x v="137"/>
    <x v="0"/>
    <s v="Mumbai"/>
    <n v="27.17"/>
    <d v="1900-03-14T22:04:48"/>
    <n v="279.58999999999997"/>
    <n v="1.2"/>
    <n v="335.51"/>
    <n v="5"/>
    <x v="2"/>
    <x v="1"/>
  </r>
  <r>
    <s v="TRIP04657"/>
    <x v="87"/>
    <x v="4"/>
    <s v="Delhi"/>
    <n v="16.73"/>
    <d v="1900-02-14T22:33:36"/>
    <n v="309.69"/>
    <n v="1.2"/>
    <n v="371.63"/>
    <n v="3.1"/>
    <x v="4"/>
    <x v="2"/>
  </r>
  <r>
    <s v="TRIP04658"/>
    <x v="0"/>
    <x v="2"/>
    <s v="Bangalore"/>
    <n v="1.71"/>
    <d v="1900-01-02T23:31:12"/>
    <n v="33.19"/>
    <n v="2"/>
    <n v="66.38"/>
    <n v="3.9"/>
    <x v="1"/>
    <x v="2"/>
  </r>
  <r>
    <s v="TRIP04659"/>
    <x v="172"/>
    <x v="2"/>
    <s v="Chennai"/>
    <n v="15.11"/>
    <d v="1900-02-23T10:48:00"/>
    <n v="232.54"/>
    <n v="2"/>
    <n v="465.08"/>
    <n v="4.2"/>
    <x v="0"/>
    <x v="1"/>
  </r>
  <r>
    <s v="TRIP04660"/>
    <x v="248"/>
    <x v="2"/>
    <s v="Chennai"/>
    <n v="14.07"/>
    <d v="1900-02-09T13:12:00"/>
    <n v="147.35"/>
    <n v="1"/>
    <n v="147.35"/>
    <n v="4.0999999999999996"/>
    <x v="3"/>
    <x v="3"/>
  </r>
  <r>
    <s v="TRIP04661"/>
    <x v="237"/>
    <x v="3"/>
    <s v="Chennai"/>
    <n v="12.88"/>
    <d v="1900-02-08T06:57:36"/>
    <n v="176.89"/>
    <n v="1.2"/>
    <n v="212.27"/>
    <n v="4"/>
    <x v="0"/>
    <x v="0"/>
  </r>
  <r>
    <s v="TRIP04662"/>
    <x v="300"/>
    <x v="2"/>
    <s v="Kolkata"/>
    <n v="2.73"/>
    <d v="1900-01-07T22:19:12"/>
    <n v="35.97"/>
    <n v="2"/>
    <n v="71.94"/>
    <n v="4.3"/>
    <x v="0"/>
    <x v="1"/>
  </r>
  <r>
    <s v="TRIP04663"/>
    <x v="129"/>
    <x v="3"/>
    <s v="Mumbai"/>
    <n v="29.21"/>
    <d v="1900-04-04T04:33:36"/>
    <n v="547.52"/>
    <n v="2"/>
    <n v="1095.04"/>
    <n v="3.3"/>
    <x v="1"/>
    <x v="3"/>
  </r>
  <r>
    <s v="TRIP04664"/>
    <x v="51"/>
    <x v="2"/>
    <s v="Mumbai"/>
    <n v="7.22"/>
    <d v="1900-01-14T19:12:00"/>
    <n v="110.61"/>
    <n v="1.2"/>
    <n v="132.72999999999999"/>
    <n v="4.7"/>
    <x v="2"/>
    <x v="1"/>
  </r>
  <r>
    <s v="TRIP04665"/>
    <x v="294"/>
    <x v="1"/>
    <s v="Bangalore"/>
    <n v="11.64"/>
    <d v="1900-02-05T10:33:36"/>
    <n v="217.67"/>
    <n v="2"/>
    <n v="435.34"/>
    <n v="3.8"/>
    <x v="3"/>
    <x v="3"/>
  </r>
  <r>
    <s v="TRIP04666"/>
    <x v="219"/>
    <x v="3"/>
    <s v="Mumbai"/>
    <n v="25.06"/>
    <d v="1900-03-25T06:14:24"/>
    <n v="498.65"/>
    <n v="1.2"/>
    <n v="598.38"/>
    <n v="4.3"/>
    <x v="4"/>
    <x v="3"/>
  </r>
  <r>
    <s v="TRIP04667"/>
    <x v="222"/>
    <x v="1"/>
    <s v="Delhi"/>
    <n v="22.75"/>
    <d v="1900-03-11T10:33:36"/>
    <n v="362.86"/>
    <n v="1"/>
    <n v="362.86"/>
    <n v="4.5999999999999996"/>
    <x v="4"/>
    <x v="2"/>
  </r>
  <r>
    <s v="TRIP04668"/>
    <x v="86"/>
    <x v="3"/>
    <s v="Kolkata"/>
    <n v="21.37"/>
    <d v="1900-02-13T07:12:00"/>
    <n v="356.97"/>
    <n v="1.2"/>
    <n v="428.36"/>
    <n v="3.6"/>
    <x v="0"/>
    <x v="0"/>
  </r>
  <r>
    <s v="TRIP04669"/>
    <x v="124"/>
    <x v="2"/>
    <s v="Kolkata"/>
    <n v="28.51"/>
    <d v="1900-04-05T22:19:12"/>
    <n v="363.89"/>
    <n v="1"/>
    <n v="363.89"/>
    <n v="4.3"/>
    <x v="1"/>
    <x v="3"/>
  </r>
  <r>
    <s v="TRIP04670"/>
    <x v="236"/>
    <x v="4"/>
    <s v="Bangalore"/>
    <n v="29.39"/>
    <d v="1900-03-02T05:31:12"/>
    <n v="515.46"/>
    <n v="1.5"/>
    <n v="773.19"/>
    <n v="4.5999999999999996"/>
    <x v="3"/>
    <x v="1"/>
  </r>
  <r>
    <s v="TRIP04671"/>
    <x v="236"/>
    <x v="3"/>
    <s v="Mumbai"/>
    <n v="4.1500000000000004"/>
    <d v="1900-01-07T17:16:48"/>
    <n v="78.400000000000006"/>
    <n v="1"/>
    <n v="78.400000000000006"/>
    <n v="3.9"/>
    <x v="2"/>
    <x v="2"/>
  </r>
  <r>
    <s v="TRIP04672"/>
    <x v="239"/>
    <x v="3"/>
    <s v="Mumbai"/>
    <n v="18.37"/>
    <d v="1900-02-18T15:07:12"/>
    <n v="351.89"/>
    <n v="2"/>
    <n v="703.78"/>
    <n v="3.1"/>
    <x v="4"/>
    <x v="1"/>
  </r>
  <r>
    <s v="TRIP04673"/>
    <x v="192"/>
    <x v="4"/>
    <s v="Delhi"/>
    <n v="7.72"/>
    <d v="1900-01-18T15:36:00"/>
    <n v="94.21"/>
    <n v="1"/>
    <n v="94.21"/>
    <n v="4.4000000000000004"/>
    <x v="1"/>
    <x v="0"/>
  </r>
  <r>
    <s v="TRIP04674"/>
    <x v="278"/>
    <x v="1"/>
    <s v="Delhi"/>
    <n v="18.14"/>
    <d v="1900-02-23T15:50:24"/>
    <n v="334.59"/>
    <n v="2"/>
    <n v="669.18"/>
    <n v="4.5"/>
    <x v="3"/>
    <x v="3"/>
  </r>
  <r>
    <s v="TRIP04675"/>
    <x v="164"/>
    <x v="2"/>
    <s v="Mumbai"/>
    <n v="7.13"/>
    <d v="1900-01-22T09:21:36"/>
    <n v="74.17"/>
    <n v="1"/>
    <n v="74.17"/>
    <n v="3.7"/>
    <x v="2"/>
    <x v="0"/>
  </r>
  <r>
    <s v="TRIP04676"/>
    <x v="112"/>
    <x v="2"/>
    <s v="Chennai"/>
    <n v="1.71"/>
    <d v="1900-01-04T09:36:00"/>
    <n v="31.47"/>
    <n v="1"/>
    <n v="31.47"/>
    <n v="3.6"/>
    <x v="2"/>
    <x v="2"/>
  </r>
  <r>
    <s v="TRIP04677"/>
    <x v="226"/>
    <x v="0"/>
    <s v="Kolkata"/>
    <n v="21.7"/>
    <d v="1900-03-23T18:00:00"/>
    <n v="372.63"/>
    <n v="2"/>
    <n v="745.26"/>
    <n v="4.4000000000000004"/>
    <x v="0"/>
    <x v="1"/>
  </r>
  <r>
    <s v="TRIP04678"/>
    <x v="168"/>
    <x v="2"/>
    <s v="Chennai"/>
    <n v="1.45"/>
    <d v="1900-01-03T21:50:24"/>
    <n v="17.850000000000001"/>
    <n v="1"/>
    <n v="17.850000000000001"/>
    <n v="4.5999999999999996"/>
    <x v="2"/>
    <x v="2"/>
  </r>
  <r>
    <s v="TRIP04679"/>
    <x v="176"/>
    <x v="4"/>
    <s v="Chennai"/>
    <n v="16.39"/>
    <d v="1900-02-25T11:45:36"/>
    <n v="291.64999999999998"/>
    <n v="1.5"/>
    <n v="437.48"/>
    <n v="4.4000000000000004"/>
    <x v="0"/>
    <x v="3"/>
  </r>
  <r>
    <s v="TRIP04680"/>
    <x v="263"/>
    <x v="2"/>
    <s v="Delhi"/>
    <n v="10.89"/>
    <d v="1900-01-21T05:16:48"/>
    <n v="187.5"/>
    <n v="1.2"/>
    <n v="225"/>
    <n v="4.3"/>
    <x v="2"/>
    <x v="3"/>
  </r>
  <r>
    <s v="TRIP04681"/>
    <x v="189"/>
    <x v="1"/>
    <s v="Kolkata"/>
    <n v="1.75"/>
    <d v="1900-01-03T06:14:24"/>
    <n v="25.17"/>
    <n v="1"/>
    <n v="25.17"/>
    <n v="3.9"/>
    <x v="4"/>
    <x v="3"/>
  </r>
  <r>
    <s v="TRIP04682"/>
    <x v="256"/>
    <x v="3"/>
    <s v="Delhi"/>
    <n v="27.56"/>
    <d v="1900-04-15T20:38:24"/>
    <n v="305.13"/>
    <n v="1.5"/>
    <n v="457.7"/>
    <n v="3.5"/>
    <x v="2"/>
    <x v="1"/>
  </r>
  <r>
    <s v="TRIP04683"/>
    <x v="324"/>
    <x v="3"/>
    <s v="Kolkata"/>
    <n v="24.29"/>
    <d v="1900-04-03T12:14:24"/>
    <n v="485.2"/>
    <n v="2"/>
    <n v="970.4"/>
    <n v="4.5999999999999996"/>
    <x v="0"/>
    <x v="1"/>
  </r>
  <r>
    <s v="TRIP04684"/>
    <x v="180"/>
    <x v="0"/>
    <s v="Bangalore"/>
    <n v="8.26"/>
    <d v="1900-01-28T01:12:00"/>
    <n v="107.32"/>
    <n v="1.5"/>
    <n v="160.97999999999999"/>
    <n v="3.4"/>
    <x v="1"/>
    <x v="3"/>
  </r>
  <r>
    <s v="TRIP04685"/>
    <x v="304"/>
    <x v="0"/>
    <s v="Kolkata"/>
    <n v="24.02"/>
    <d v="1900-03-01T06:57:36"/>
    <n v="362.23"/>
    <n v="1.5"/>
    <n v="543.34"/>
    <n v="3.2"/>
    <x v="2"/>
    <x v="1"/>
  </r>
  <r>
    <s v="TRIP04686"/>
    <x v="86"/>
    <x v="1"/>
    <s v="Kolkata"/>
    <n v="2.52"/>
    <d v="1900-01-05T15:50:24"/>
    <n v="50.26"/>
    <n v="2"/>
    <n v="100.52"/>
    <n v="4.5999999999999996"/>
    <x v="3"/>
    <x v="0"/>
  </r>
  <r>
    <s v="TRIP04687"/>
    <x v="1"/>
    <x v="4"/>
    <s v="Mumbai"/>
    <n v="4.84"/>
    <d v="1900-01-13T01:55:12"/>
    <n v="57.36"/>
    <n v="1.2"/>
    <n v="68.83"/>
    <n v="4.5"/>
    <x v="0"/>
    <x v="2"/>
  </r>
  <r>
    <s v="TRIP04688"/>
    <x v="25"/>
    <x v="3"/>
    <s v="Delhi"/>
    <n v="13.53"/>
    <d v="1900-01-28T02:24:00"/>
    <n v="258.39999999999998"/>
    <n v="2"/>
    <n v="516.79999999999995"/>
    <n v="4.0999999999999996"/>
    <x v="3"/>
    <x v="1"/>
  </r>
  <r>
    <s v="TRIP04689"/>
    <x v="53"/>
    <x v="3"/>
    <s v="Bangalore"/>
    <n v="29.4"/>
    <d v="1900-04-07T15:36:00"/>
    <n v="559.04"/>
    <n v="1"/>
    <n v="559.04"/>
    <n v="3.1"/>
    <x v="0"/>
    <x v="1"/>
  </r>
  <r>
    <s v="TRIP04690"/>
    <x v="275"/>
    <x v="1"/>
    <s v="Delhi"/>
    <n v="8.8699999999999992"/>
    <d v="1900-01-25T02:52:48"/>
    <n v="146.05000000000001"/>
    <n v="1"/>
    <n v="146.05000000000001"/>
    <n v="3.3"/>
    <x v="3"/>
    <x v="0"/>
  </r>
  <r>
    <s v="TRIP04691"/>
    <x v="239"/>
    <x v="4"/>
    <s v="Kolkata"/>
    <n v="3.67"/>
    <d v="1900-01-09T00:28:48"/>
    <n v="65.81"/>
    <n v="1.2"/>
    <n v="78.97"/>
    <n v="3.2"/>
    <x v="3"/>
    <x v="3"/>
  </r>
  <r>
    <s v="TRIP04692"/>
    <x v="4"/>
    <x v="1"/>
    <s v="Delhi"/>
    <n v="25.05"/>
    <d v="1900-03-27T01:26:24"/>
    <n v="353.67"/>
    <n v="2"/>
    <n v="707.34"/>
    <n v="4.0999999999999996"/>
    <x v="3"/>
    <x v="1"/>
  </r>
  <r>
    <s v="TRIP04693"/>
    <x v="220"/>
    <x v="0"/>
    <s v="Bangalore"/>
    <n v="27.47"/>
    <d v="1900-03-27T04:48:00"/>
    <n v="384.78"/>
    <n v="1.5"/>
    <n v="577.16999999999996"/>
    <n v="4.3"/>
    <x v="1"/>
    <x v="2"/>
  </r>
  <r>
    <s v="TRIP04694"/>
    <x v="299"/>
    <x v="2"/>
    <s v="Kolkata"/>
    <n v="27.11"/>
    <d v="1900-03-31T23:31:12"/>
    <n v="526.1"/>
    <n v="1.2"/>
    <n v="631.32000000000005"/>
    <n v="3.8"/>
    <x v="3"/>
    <x v="3"/>
  </r>
  <r>
    <s v="TRIP04695"/>
    <x v="303"/>
    <x v="0"/>
    <s v="Chennai"/>
    <n v="24.47"/>
    <d v="1900-03-23T07:12:00"/>
    <n v="296.17"/>
    <n v="1"/>
    <n v="296.17"/>
    <n v="4.4000000000000004"/>
    <x v="2"/>
    <x v="3"/>
  </r>
  <r>
    <s v="TRIP04696"/>
    <x v="94"/>
    <x v="4"/>
    <s v="Kolkata"/>
    <n v="13.96"/>
    <d v="1900-02-16T10:33:36"/>
    <n v="192.46"/>
    <n v="2"/>
    <n v="384.92"/>
    <n v="4.8"/>
    <x v="3"/>
    <x v="3"/>
  </r>
  <r>
    <s v="TRIP04697"/>
    <x v="208"/>
    <x v="2"/>
    <s v="Chennai"/>
    <n v="2.16"/>
    <d v="1900-01-03T09:36:00"/>
    <n v="35.57"/>
    <n v="1.2"/>
    <n v="42.68"/>
    <n v="3.8"/>
    <x v="3"/>
    <x v="3"/>
  </r>
  <r>
    <s v="TRIP04698"/>
    <x v="351"/>
    <x v="3"/>
    <s v="Bangalore"/>
    <n v="23.91"/>
    <d v="1900-03-05T18:57:36"/>
    <n v="477.11"/>
    <n v="1.2"/>
    <n v="572.53"/>
    <n v="4.7"/>
    <x v="4"/>
    <x v="0"/>
  </r>
  <r>
    <s v="TRIP04699"/>
    <x v="36"/>
    <x v="0"/>
    <s v="Chennai"/>
    <n v="26.05"/>
    <d v="1900-03-05T13:12:00"/>
    <n v="513.35"/>
    <n v="1.2"/>
    <n v="616.02"/>
    <n v="4.9000000000000004"/>
    <x v="2"/>
    <x v="1"/>
  </r>
  <r>
    <s v="TRIP04700"/>
    <x v="99"/>
    <x v="2"/>
    <s v="Kolkata"/>
    <n v="1.99"/>
    <d v="1900-01-03T13:40:48"/>
    <n v="23.63"/>
    <n v="2"/>
    <n v="47.26"/>
    <n v="4.3"/>
    <x v="0"/>
    <x v="2"/>
  </r>
  <r>
    <s v="TRIP04701"/>
    <x v="245"/>
    <x v="2"/>
    <s v="Kolkata"/>
    <n v="29.11"/>
    <d v="1900-04-04T06:00:00"/>
    <n v="492.69"/>
    <n v="1.5"/>
    <n v="739.04"/>
    <n v="3.7"/>
    <x v="2"/>
    <x v="0"/>
  </r>
  <r>
    <s v="TRIP04702"/>
    <x v="138"/>
    <x v="3"/>
    <s v="Kolkata"/>
    <n v="20.37"/>
    <d v="1900-03-15T23:02:24"/>
    <n v="398.54"/>
    <n v="2"/>
    <n v="797.08"/>
    <n v="4"/>
    <x v="4"/>
    <x v="0"/>
  </r>
  <r>
    <s v="TRIP04703"/>
    <x v="48"/>
    <x v="4"/>
    <s v="Bangalore"/>
    <n v="24.3"/>
    <d v="1900-03-30T16:33:36"/>
    <n v="384.85"/>
    <n v="2"/>
    <n v="769.7"/>
    <n v="4.9000000000000004"/>
    <x v="0"/>
    <x v="0"/>
  </r>
  <r>
    <s v="TRIP04704"/>
    <x v="98"/>
    <x v="1"/>
    <s v="Kolkata"/>
    <n v="9.86"/>
    <d v="1900-01-23T10:04:48"/>
    <n v="146.72999999999999"/>
    <n v="1"/>
    <n v="146.72999999999999"/>
    <n v="4.3"/>
    <x v="0"/>
    <x v="0"/>
  </r>
  <r>
    <s v="TRIP04705"/>
    <x v="225"/>
    <x v="0"/>
    <s v="Chennai"/>
    <n v="28.74"/>
    <d v="1900-04-14T18:00:00"/>
    <n v="558.02"/>
    <n v="2"/>
    <n v="1116.04"/>
    <n v="3"/>
    <x v="1"/>
    <x v="2"/>
  </r>
  <r>
    <s v="TRIP04706"/>
    <x v="50"/>
    <x v="4"/>
    <s v="Bangalore"/>
    <n v="24.55"/>
    <d v="1900-04-03T10:04:48"/>
    <n v="478"/>
    <n v="1.2"/>
    <n v="573.6"/>
    <n v="3.6"/>
    <x v="1"/>
    <x v="0"/>
  </r>
  <r>
    <s v="TRIP04707"/>
    <x v="179"/>
    <x v="2"/>
    <s v="Mumbai"/>
    <n v="2.15"/>
    <d v="1900-01-03T22:19:12"/>
    <n v="42.26"/>
    <n v="1.5"/>
    <n v="63.39"/>
    <n v="4.7"/>
    <x v="3"/>
    <x v="0"/>
  </r>
  <r>
    <s v="TRIP04708"/>
    <x v="289"/>
    <x v="1"/>
    <s v="Kolkata"/>
    <n v="21.6"/>
    <d v="1900-03-12T08:09:36"/>
    <n v="271.62"/>
    <n v="2"/>
    <n v="543.24"/>
    <n v="3.9"/>
    <x v="2"/>
    <x v="0"/>
  </r>
  <r>
    <s v="TRIP04709"/>
    <x v="258"/>
    <x v="3"/>
    <s v="Delhi"/>
    <n v="11.3"/>
    <d v="1900-01-25T07:26:24"/>
    <n v="166.5"/>
    <n v="2"/>
    <n v="333"/>
    <n v="4.5999999999999996"/>
    <x v="3"/>
    <x v="3"/>
  </r>
  <r>
    <s v="TRIP04710"/>
    <x v="264"/>
    <x v="0"/>
    <s v="Bangalore"/>
    <n v="22.08"/>
    <d v="1900-03-19T02:52:48"/>
    <n v="318.17"/>
    <n v="1.2"/>
    <n v="381.8"/>
    <n v="3.8"/>
    <x v="1"/>
    <x v="0"/>
  </r>
  <r>
    <s v="TRIP04711"/>
    <x v="162"/>
    <x v="4"/>
    <s v="Bangalore"/>
    <n v="29.07"/>
    <d v="1900-03-22T06:14:24"/>
    <n v="489.88"/>
    <n v="1.5"/>
    <n v="734.82"/>
    <n v="4.5"/>
    <x v="2"/>
    <x v="1"/>
  </r>
  <r>
    <s v="TRIP04712"/>
    <x v="258"/>
    <x v="4"/>
    <s v="Kolkata"/>
    <n v="9.5"/>
    <d v="1900-01-27T09:21:36"/>
    <n v="98.98"/>
    <n v="1"/>
    <n v="98.98"/>
    <n v="4.8"/>
    <x v="4"/>
    <x v="2"/>
  </r>
  <r>
    <s v="TRIP04713"/>
    <x v="8"/>
    <x v="1"/>
    <s v="Bangalore"/>
    <n v="25.19"/>
    <d v="1900-03-14T13:12:00"/>
    <n v="399.6"/>
    <n v="2"/>
    <n v="799.2"/>
    <n v="4.5999999999999996"/>
    <x v="1"/>
    <x v="1"/>
  </r>
  <r>
    <s v="TRIP04714"/>
    <x v="126"/>
    <x v="1"/>
    <s v="Chennai"/>
    <n v="21.32"/>
    <d v="1900-03-19T09:07:12"/>
    <n v="256.39999999999998"/>
    <n v="1.5"/>
    <n v="384.6"/>
    <n v="3.8"/>
    <x v="4"/>
    <x v="3"/>
  </r>
  <r>
    <s v="TRIP04715"/>
    <x v="254"/>
    <x v="0"/>
    <s v="Kolkata"/>
    <n v="29.51"/>
    <d v="1900-03-12T04:48:00"/>
    <n v="314.70999999999998"/>
    <n v="1.5"/>
    <n v="472.06"/>
    <n v="3.3"/>
    <x v="0"/>
    <x v="3"/>
  </r>
  <r>
    <s v="TRIP04716"/>
    <x v="192"/>
    <x v="0"/>
    <s v="Mumbai"/>
    <n v="13.79"/>
    <d v="1900-02-12T15:36:00"/>
    <n v="261.94"/>
    <n v="1"/>
    <n v="261.94"/>
    <n v="4.2"/>
    <x v="4"/>
    <x v="1"/>
  </r>
  <r>
    <s v="TRIP04717"/>
    <x v="6"/>
    <x v="1"/>
    <s v="Kolkata"/>
    <n v="12.1"/>
    <d v="1900-02-15T08:38:24"/>
    <n v="155.87"/>
    <n v="1.5"/>
    <n v="233.8"/>
    <n v="3.8"/>
    <x v="2"/>
    <x v="1"/>
  </r>
  <r>
    <s v="TRIP04718"/>
    <x v="171"/>
    <x v="3"/>
    <s v="Chennai"/>
    <n v="11.62"/>
    <d v="1900-02-02T04:04:48"/>
    <n v="181.31"/>
    <n v="1.2"/>
    <n v="217.57"/>
    <n v="3.1"/>
    <x v="3"/>
    <x v="2"/>
  </r>
  <r>
    <s v="TRIP04719"/>
    <x v="274"/>
    <x v="4"/>
    <s v="Delhi"/>
    <n v="2.04"/>
    <d v="1900-01-05T23:45:36"/>
    <n v="37.21"/>
    <n v="1.5"/>
    <n v="55.82"/>
    <n v="4.8"/>
    <x v="0"/>
    <x v="0"/>
  </r>
  <r>
    <s v="TRIP04720"/>
    <x v="16"/>
    <x v="2"/>
    <s v="Mumbai"/>
    <n v="25.34"/>
    <d v="1900-03-30T02:09:36"/>
    <n v="389.23"/>
    <n v="1"/>
    <n v="389.23"/>
    <n v="4"/>
    <x v="4"/>
    <x v="3"/>
  </r>
  <r>
    <s v="TRIP04721"/>
    <x v="77"/>
    <x v="0"/>
    <s v="Bangalore"/>
    <n v="17.53"/>
    <d v="1900-02-20T07:26:24"/>
    <n v="266.08999999999997"/>
    <n v="1"/>
    <n v="266.08999999999997"/>
    <n v="3.9"/>
    <x v="0"/>
    <x v="1"/>
  </r>
  <r>
    <s v="TRIP04722"/>
    <x v="225"/>
    <x v="1"/>
    <s v="Delhi"/>
    <n v="14.15"/>
    <d v="1900-02-09T04:48:00"/>
    <n v="214.4"/>
    <n v="1.5"/>
    <n v="321.60000000000002"/>
    <n v="3.9"/>
    <x v="0"/>
    <x v="3"/>
  </r>
  <r>
    <s v="TRIP04723"/>
    <x v="72"/>
    <x v="0"/>
    <s v="Mumbai"/>
    <n v="19.829999999999998"/>
    <d v="1900-02-18T15:50:24"/>
    <n v="303.7"/>
    <n v="1"/>
    <n v="303.7"/>
    <n v="3.5"/>
    <x v="0"/>
    <x v="3"/>
  </r>
  <r>
    <s v="TRIP04724"/>
    <x v="164"/>
    <x v="2"/>
    <s v="Delhi"/>
    <n v="16.89"/>
    <d v="1900-03-02T17:16:48"/>
    <n v="255.8"/>
    <n v="1.2"/>
    <n v="306.95999999999998"/>
    <n v="3.9"/>
    <x v="0"/>
    <x v="2"/>
  </r>
  <r>
    <s v="TRIP04725"/>
    <x v="140"/>
    <x v="0"/>
    <s v="Delhi"/>
    <n v="18.88"/>
    <d v="1900-02-24T18:14:24"/>
    <n v="362.25"/>
    <n v="1"/>
    <n v="362.25"/>
    <n v="3.3"/>
    <x v="3"/>
    <x v="2"/>
  </r>
  <r>
    <s v="TRIP04726"/>
    <x v="192"/>
    <x v="1"/>
    <s v="Chennai"/>
    <n v="17.350000000000001"/>
    <d v="1900-02-27T06:57:36"/>
    <n v="327.38"/>
    <n v="1.5"/>
    <n v="491.07"/>
    <n v="3"/>
    <x v="2"/>
    <x v="0"/>
  </r>
  <r>
    <s v="TRIP04727"/>
    <x v="80"/>
    <x v="1"/>
    <s v="Chennai"/>
    <n v="10.119999999999999"/>
    <d v="1900-01-25T06:57:36"/>
    <n v="132.47999999999999"/>
    <n v="1"/>
    <n v="132.47999999999999"/>
    <n v="3.6"/>
    <x v="4"/>
    <x v="3"/>
  </r>
  <r>
    <s v="TRIP04728"/>
    <x v="268"/>
    <x v="0"/>
    <s v="Delhi"/>
    <n v="6.37"/>
    <d v="1900-01-17T16:19:12"/>
    <n v="116.98"/>
    <n v="2"/>
    <n v="233.96"/>
    <n v="3.7"/>
    <x v="4"/>
    <x v="0"/>
  </r>
  <r>
    <s v="TRIP04729"/>
    <x v="263"/>
    <x v="3"/>
    <s v="Delhi"/>
    <n v="5.67"/>
    <d v="1900-01-13T11:02:24"/>
    <n v="90.43"/>
    <n v="1.2"/>
    <n v="108.52"/>
    <n v="3.7"/>
    <x v="0"/>
    <x v="1"/>
  </r>
  <r>
    <s v="TRIP04730"/>
    <x v="203"/>
    <x v="0"/>
    <s v="Chennai"/>
    <n v="21.78"/>
    <d v="1900-02-15T22:33:36"/>
    <n v="353.83"/>
    <n v="2"/>
    <n v="707.66"/>
    <n v="4.5999999999999996"/>
    <x v="3"/>
    <x v="3"/>
  </r>
  <r>
    <s v="TRIP04731"/>
    <x v="279"/>
    <x v="2"/>
    <s v="Mumbai"/>
    <n v="6.16"/>
    <d v="1900-01-13T10:48:00"/>
    <n v="99.57"/>
    <n v="1.2"/>
    <n v="119.48"/>
    <n v="3.4"/>
    <x v="0"/>
    <x v="1"/>
  </r>
  <r>
    <s v="TRIP04732"/>
    <x v="7"/>
    <x v="3"/>
    <s v="Delhi"/>
    <n v="8.85"/>
    <d v="1900-01-30T23:02:24"/>
    <n v="148.97999999999999"/>
    <n v="1.2"/>
    <n v="178.78"/>
    <n v="4.2"/>
    <x v="2"/>
    <x v="0"/>
  </r>
  <r>
    <s v="TRIP04733"/>
    <x v="63"/>
    <x v="3"/>
    <s v="Kolkata"/>
    <n v="26.42"/>
    <d v="1900-03-13T06:14:24"/>
    <n v="467.44"/>
    <n v="1"/>
    <n v="467.44"/>
    <n v="3.9"/>
    <x v="3"/>
    <x v="2"/>
  </r>
  <r>
    <s v="TRIP04734"/>
    <x v="222"/>
    <x v="4"/>
    <s v="Delhi"/>
    <n v="21.23"/>
    <d v="1900-02-26T01:40:48"/>
    <n v="395.7"/>
    <n v="2"/>
    <n v="791.4"/>
    <n v="4.9000000000000004"/>
    <x v="1"/>
    <x v="3"/>
  </r>
  <r>
    <s v="TRIP04735"/>
    <x v="64"/>
    <x v="1"/>
    <s v="Delhi"/>
    <n v="4.79"/>
    <d v="1900-01-16T15:36:00"/>
    <n v="88.25"/>
    <n v="1.2"/>
    <n v="105.9"/>
    <n v="4"/>
    <x v="2"/>
    <x v="2"/>
  </r>
  <r>
    <s v="TRIP04736"/>
    <x v="117"/>
    <x v="0"/>
    <s v="Delhi"/>
    <n v="20.7"/>
    <d v="1900-03-22T02:09:36"/>
    <n v="317.20999999999998"/>
    <n v="2"/>
    <n v="634.41999999999996"/>
    <n v="5"/>
    <x v="3"/>
    <x v="3"/>
  </r>
  <r>
    <s v="TRIP04737"/>
    <x v="271"/>
    <x v="1"/>
    <s v="Mumbai"/>
    <n v="29.43"/>
    <d v="1900-03-20T15:50:24"/>
    <n v="575.95000000000005"/>
    <n v="1"/>
    <n v="575.95000000000005"/>
    <n v="3.9"/>
    <x v="4"/>
    <x v="0"/>
  </r>
  <r>
    <s v="TRIP04738"/>
    <x v="11"/>
    <x v="4"/>
    <s v="Mumbai"/>
    <n v="16.71"/>
    <d v="1900-02-21T17:16:48"/>
    <n v="278.35000000000002"/>
    <n v="1"/>
    <n v="278.35000000000002"/>
    <n v="4.2"/>
    <x v="3"/>
    <x v="1"/>
  </r>
  <r>
    <s v="TRIP04739"/>
    <x v="308"/>
    <x v="2"/>
    <s v="Chennai"/>
    <n v="18.309999999999999"/>
    <d v="1900-03-10T17:16:48"/>
    <n v="298.8"/>
    <n v="1"/>
    <n v="298.8"/>
    <n v="4.3"/>
    <x v="1"/>
    <x v="0"/>
  </r>
  <r>
    <s v="TRIP04740"/>
    <x v="315"/>
    <x v="0"/>
    <s v="Mumbai"/>
    <n v="25.06"/>
    <d v="1900-03-06T11:16:48"/>
    <n v="490.29"/>
    <n v="1.5"/>
    <n v="735.44"/>
    <n v="5"/>
    <x v="4"/>
    <x v="3"/>
  </r>
  <r>
    <s v="TRIP04741"/>
    <x v="321"/>
    <x v="4"/>
    <s v="Kolkata"/>
    <n v="26.54"/>
    <d v="1900-04-02T19:55:12"/>
    <n v="389.46"/>
    <n v="1.5"/>
    <n v="584.19000000000005"/>
    <n v="4.5"/>
    <x v="3"/>
    <x v="1"/>
  </r>
  <r>
    <s v="TRIP04742"/>
    <x v="33"/>
    <x v="4"/>
    <s v="Delhi"/>
    <n v="16.78"/>
    <d v="1900-02-26T07:55:12"/>
    <n v="300.47000000000003"/>
    <n v="1"/>
    <n v="300.47000000000003"/>
    <n v="3.2"/>
    <x v="3"/>
    <x v="2"/>
  </r>
  <r>
    <s v="TRIP04743"/>
    <x v="165"/>
    <x v="2"/>
    <s v="Kolkata"/>
    <n v="6.74"/>
    <d v="1900-01-15T18:43:12"/>
    <n v="128.38999999999999"/>
    <n v="2"/>
    <n v="256.77999999999997"/>
    <n v="3.8"/>
    <x v="1"/>
    <x v="1"/>
  </r>
  <r>
    <s v="TRIP04744"/>
    <x v="167"/>
    <x v="1"/>
    <s v="Kolkata"/>
    <n v="26.21"/>
    <d v="1900-02-21T17:45:36"/>
    <n v="382.22"/>
    <n v="1.5"/>
    <n v="573.33000000000004"/>
    <n v="3.6"/>
    <x v="0"/>
    <x v="1"/>
  </r>
  <r>
    <s v="TRIP04745"/>
    <x v="51"/>
    <x v="1"/>
    <s v="Chennai"/>
    <n v="29.2"/>
    <d v="1900-04-03T01:40:48"/>
    <n v="406.52"/>
    <n v="1.2"/>
    <n v="487.82"/>
    <n v="4.4000000000000004"/>
    <x v="4"/>
    <x v="1"/>
  </r>
  <r>
    <s v="TRIP04746"/>
    <x v="269"/>
    <x v="0"/>
    <s v="Mumbai"/>
    <n v="7.47"/>
    <d v="1900-01-20T12:57:36"/>
    <n v="129.77000000000001"/>
    <n v="1.5"/>
    <n v="194.66"/>
    <n v="3.1"/>
    <x v="4"/>
    <x v="2"/>
  </r>
  <r>
    <s v="TRIP04747"/>
    <x v="82"/>
    <x v="3"/>
    <s v="Chennai"/>
    <n v="25.3"/>
    <d v="1900-02-24T08:38:24"/>
    <n v="382.86"/>
    <n v="1.5"/>
    <n v="574.29"/>
    <n v="3.9"/>
    <x v="2"/>
    <x v="1"/>
  </r>
  <r>
    <s v="TRIP04748"/>
    <x v="227"/>
    <x v="2"/>
    <s v="Chennai"/>
    <n v="19.5"/>
    <d v="1900-02-13T09:07:12"/>
    <n v="250.35"/>
    <n v="1.5"/>
    <n v="375.52"/>
    <n v="4.5"/>
    <x v="1"/>
    <x v="0"/>
  </r>
  <r>
    <s v="TRIP04749"/>
    <x v="223"/>
    <x v="2"/>
    <s v="Bangalore"/>
    <n v="18.690000000000001"/>
    <d v="1900-02-06T21:50:24"/>
    <n v="329.47"/>
    <n v="2"/>
    <n v="658.94"/>
    <n v="3.5"/>
    <x v="3"/>
    <x v="0"/>
  </r>
  <r>
    <s v="TRIP04750"/>
    <x v="155"/>
    <x v="3"/>
    <s v="Mumbai"/>
    <n v="18.03"/>
    <d v="1900-02-15T00:28:48"/>
    <n v="249.09"/>
    <n v="1.2"/>
    <n v="298.91000000000003"/>
    <n v="4.9000000000000004"/>
    <x v="3"/>
    <x v="1"/>
  </r>
  <r>
    <s v="TRIP04751"/>
    <x v="339"/>
    <x v="1"/>
    <s v="Bangalore"/>
    <n v="21.52"/>
    <d v="1900-02-19T16:19:12"/>
    <n v="249.31"/>
    <n v="1"/>
    <n v="249.31"/>
    <n v="3.4"/>
    <x v="4"/>
    <x v="1"/>
  </r>
  <r>
    <s v="TRIP04752"/>
    <x v="183"/>
    <x v="3"/>
    <s v="Mumbai"/>
    <n v="16.77"/>
    <d v="1900-02-22T08:52:48"/>
    <n v="303.23"/>
    <n v="1.5"/>
    <n v="454.84"/>
    <n v="4.4000000000000004"/>
    <x v="0"/>
    <x v="1"/>
  </r>
  <r>
    <s v="TRIP04753"/>
    <x v="255"/>
    <x v="0"/>
    <s v="Bangalore"/>
    <n v="29"/>
    <d v="1900-03-15T06:00:00"/>
    <n v="361.95"/>
    <n v="1"/>
    <n v="361.95"/>
    <n v="5"/>
    <x v="0"/>
    <x v="1"/>
  </r>
  <r>
    <s v="TRIP04754"/>
    <x v="166"/>
    <x v="4"/>
    <s v="Bangalore"/>
    <n v="13.03"/>
    <d v="1900-01-30T14:38:24"/>
    <n v="231.79"/>
    <n v="1.5"/>
    <n v="347.68"/>
    <n v="3.1"/>
    <x v="2"/>
    <x v="1"/>
  </r>
  <r>
    <s v="TRIP04755"/>
    <x v="171"/>
    <x v="1"/>
    <s v="Bangalore"/>
    <n v="6.95"/>
    <d v="1900-01-24T11:16:48"/>
    <n v="81.67"/>
    <n v="1.5"/>
    <n v="122.5"/>
    <n v="4.3"/>
    <x v="0"/>
    <x v="1"/>
  </r>
  <r>
    <s v="TRIP04756"/>
    <x v="318"/>
    <x v="4"/>
    <s v="Chennai"/>
    <n v="20.309999999999999"/>
    <d v="1900-02-16T17:31:12"/>
    <n v="257.67"/>
    <n v="1.5"/>
    <n v="386.5"/>
    <n v="3.7"/>
    <x v="3"/>
    <x v="0"/>
  </r>
  <r>
    <s v="TRIP04757"/>
    <x v="65"/>
    <x v="4"/>
    <s v="Delhi"/>
    <n v="23.46"/>
    <d v="1900-03-04T03:50:24"/>
    <n v="272.72000000000003"/>
    <n v="2"/>
    <n v="545.44000000000005"/>
    <n v="3.5"/>
    <x v="3"/>
    <x v="1"/>
  </r>
  <r>
    <s v="TRIP04758"/>
    <x v="110"/>
    <x v="4"/>
    <s v="Bangalore"/>
    <n v="22.22"/>
    <d v="1900-03-05T08:09:36"/>
    <n v="379.66"/>
    <n v="1"/>
    <n v="379.66"/>
    <n v="4.8"/>
    <x v="2"/>
    <x v="3"/>
  </r>
  <r>
    <s v="TRIP04759"/>
    <x v="65"/>
    <x v="3"/>
    <s v="Chennai"/>
    <n v="5.19"/>
    <d v="1900-01-15T23:31:12"/>
    <n v="96.02"/>
    <n v="1.2"/>
    <n v="115.22"/>
    <n v="4.9000000000000004"/>
    <x v="1"/>
    <x v="1"/>
  </r>
  <r>
    <s v="TRIP04760"/>
    <x v="221"/>
    <x v="1"/>
    <s v="Kolkata"/>
    <n v="22.53"/>
    <d v="1900-03-11T06:14:24"/>
    <n v="334.96"/>
    <n v="1.5"/>
    <n v="502.44"/>
    <n v="4.0999999999999996"/>
    <x v="2"/>
    <x v="1"/>
  </r>
  <r>
    <s v="TRIP04761"/>
    <x v="333"/>
    <x v="0"/>
    <s v="Mumbai"/>
    <n v="11.29"/>
    <d v="1900-02-10T18:28:48"/>
    <n v="119.22"/>
    <n v="1.2"/>
    <n v="143.06"/>
    <n v="3.9"/>
    <x v="3"/>
    <x v="3"/>
  </r>
  <r>
    <s v="TRIP04762"/>
    <x v="326"/>
    <x v="2"/>
    <s v="Bangalore"/>
    <n v="26.68"/>
    <d v="1900-03-24T06:14:24"/>
    <n v="327.41000000000003"/>
    <n v="1.5"/>
    <n v="491.12"/>
    <n v="3.5"/>
    <x v="2"/>
    <x v="1"/>
  </r>
  <r>
    <s v="TRIP04763"/>
    <x v="265"/>
    <x v="3"/>
    <s v="Chennai"/>
    <n v="12.84"/>
    <d v="1900-02-02T18:14:24"/>
    <n v="141.6"/>
    <n v="1.5"/>
    <n v="212.4"/>
    <n v="4.8"/>
    <x v="1"/>
    <x v="2"/>
  </r>
  <r>
    <s v="TRIP04764"/>
    <x v="58"/>
    <x v="3"/>
    <s v="Delhi"/>
    <n v="20.16"/>
    <d v="1900-02-21T04:33:36"/>
    <n v="288.52"/>
    <n v="2"/>
    <n v="577.04"/>
    <n v="3.9"/>
    <x v="1"/>
    <x v="0"/>
  </r>
  <r>
    <s v="TRIP04765"/>
    <x v="39"/>
    <x v="0"/>
    <s v="Delhi"/>
    <n v="15.72"/>
    <d v="1900-01-31T04:48:00"/>
    <n v="242.28"/>
    <n v="1"/>
    <n v="242.28"/>
    <n v="3.7"/>
    <x v="3"/>
    <x v="3"/>
  </r>
  <r>
    <s v="TRIP04766"/>
    <x v="30"/>
    <x v="0"/>
    <s v="Chennai"/>
    <n v="20.83"/>
    <d v="1900-02-12T20:24:00"/>
    <n v="283.92"/>
    <n v="2"/>
    <n v="567.84"/>
    <n v="4.0999999999999996"/>
    <x v="2"/>
    <x v="0"/>
  </r>
  <r>
    <s v="TRIP04767"/>
    <x v="343"/>
    <x v="4"/>
    <s v="Kolkata"/>
    <n v="2.77"/>
    <d v="1900-01-05T14:09:36"/>
    <n v="40.06"/>
    <n v="2"/>
    <n v="80.12"/>
    <n v="4.3"/>
    <x v="3"/>
    <x v="2"/>
  </r>
  <r>
    <s v="TRIP04768"/>
    <x v="287"/>
    <x v="3"/>
    <s v="Kolkata"/>
    <n v="19.86"/>
    <d v="1900-02-21T01:26:24"/>
    <n v="271.54000000000002"/>
    <n v="2"/>
    <n v="543.08000000000004"/>
    <n v="3"/>
    <x v="3"/>
    <x v="2"/>
  </r>
  <r>
    <s v="TRIP04769"/>
    <x v="350"/>
    <x v="4"/>
    <s v="Bangalore"/>
    <n v="27.51"/>
    <d v="1900-04-13T14:52:48"/>
    <n v="417.81"/>
    <n v="2"/>
    <n v="835.62"/>
    <n v="4.8"/>
    <x v="0"/>
    <x v="3"/>
  </r>
  <r>
    <s v="TRIP04770"/>
    <x v="267"/>
    <x v="3"/>
    <s v="Mumbai"/>
    <n v="1.22"/>
    <d v="1900-01-01T15:50:24"/>
    <n v="20.43"/>
    <n v="1.5"/>
    <n v="30.64"/>
    <n v="4.3"/>
    <x v="1"/>
    <x v="0"/>
  </r>
  <r>
    <s v="TRIP04771"/>
    <x v="339"/>
    <x v="4"/>
    <s v="Delhi"/>
    <n v="1.35"/>
    <d v="1900-01-03T21:07:12"/>
    <n v="15.33"/>
    <n v="1.2"/>
    <n v="18.399999999999999"/>
    <n v="3.5"/>
    <x v="0"/>
    <x v="2"/>
  </r>
  <r>
    <s v="TRIP04772"/>
    <x v="177"/>
    <x v="4"/>
    <s v="Delhi"/>
    <n v="2.5"/>
    <d v="1900-01-05T18:00:00"/>
    <n v="27.11"/>
    <n v="1"/>
    <n v="27.11"/>
    <n v="5"/>
    <x v="2"/>
    <x v="1"/>
  </r>
  <r>
    <s v="TRIP04773"/>
    <x v="177"/>
    <x v="3"/>
    <s v="Delhi"/>
    <n v="24.21"/>
    <d v="1900-03-13T22:48:00"/>
    <n v="328.7"/>
    <n v="1"/>
    <n v="328.7"/>
    <n v="3.1"/>
    <x v="4"/>
    <x v="2"/>
  </r>
  <r>
    <s v="TRIP04774"/>
    <x v="112"/>
    <x v="3"/>
    <s v="Mumbai"/>
    <n v="15.92"/>
    <d v="1900-02-20T23:45:36"/>
    <n v="195.65"/>
    <n v="1"/>
    <n v="195.65"/>
    <n v="3"/>
    <x v="1"/>
    <x v="0"/>
  </r>
  <r>
    <s v="TRIP04775"/>
    <x v="270"/>
    <x v="3"/>
    <s v="Mumbai"/>
    <n v="6.72"/>
    <d v="1900-01-14T04:19:12"/>
    <n v="89.85"/>
    <n v="2"/>
    <n v="179.7"/>
    <n v="4.7"/>
    <x v="1"/>
    <x v="0"/>
  </r>
  <r>
    <s v="TRIP04776"/>
    <x v="270"/>
    <x v="2"/>
    <s v="Bangalore"/>
    <n v="24.84"/>
    <d v="1900-03-11T11:02:24"/>
    <n v="405.5"/>
    <n v="2"/>
    <n v="811"/>
    <n v="4.4000000000000004"/>
    <x v="3"/>
    <x v="0"/>
  </r>
  <r>
    <s v="TRIP04777"/>
    <x v="182"/>
    <x v="4"/>
    <s v="Delhi"/>
    <n v="9.41"/>
    <d v="1900-01-19T14:38:24"/>
    <n v="179.56"/>
    <n v="2"/>
    <n v="359.12"/>
    <n v="3.8"/>
    <x v="4"/>
    <x v="2"/>
  </r>
  <r>
    <s v="TRIP04778"/>
    <x v="31"/>
    <x v="0"/>
    <s v="Mumbai"/>
    <n v="17.21"/>
    <d v="1900-02-06T12:28:48"/>
    <n v="178.03"/>
    <n v="1.2"/>
    <n v="213.64"/>
    <n v="3"/>
    <x v="4"/>
    <x v="2"/>
  </r>
  <r>
    <s v="TRIP04779"/>
    <x v="171"/>
    <x v="3"/>
    <s v="Kolkata"/>
    <n v="3.37"/>
    <d v="1900-01-06T14:24:00"/>
    <n v="63.78"/>
    <n v="2"/>
    <n v="127.56"/>
    <n v="4.4000000000000004"/>
    <x v="3"/>
    <x v="2"/>
  </r>
  <r>
    <s v="TRIP04780"/>
    <x v="54"/>
    <x v="4"/>
    <s v="Mumbai"/>
    <n v="8.3699999999999992"/>
    <d v="1900-01-23T21:50:24"/>
    <n v="103.49"/>
    <n v="1.5"/>
    <n v="155.22999999999999"/>
    <n v="4.2"/>
    <x v="0"/>
    <x v="2"/>
  </r>
  <r>
    <s v="TRIP04781"/>
    <x v="126"/>
    <x v="1"/>
    <s v="Mumbai"/>
    <n v="4.6900000000000004"/>
    <d v="1900-01-09T01:12:00"/>
    <n v="79.430000000000007"/>
    <n v="1"/>
    <n v="79.430000000000007"/>
    <n v="4.5999999999999996"/>
    <x v="3"/>
    <x v="0"/>
  </r>
  <r>
    <s v="TRIP04782"/>
    <x v="303"/>
    <x v="0"/>
    <s v="Bangalore"/>
    <n v="22.47"/>
    <d v="1900-03-05T16:33:36"/>
    <n v="445.88"/>
    <n v="1.2"/>
    <n v="535.05999999999995"/>
    <n v="3.6"/>
    <x v="2"/>
    <x v="1"/>
  </r>
  <r>
    <s v="TRIP04783"/>
    <x v="340"/>
    <x v="0"/>
    <s v="Kolkata"/>
    <n v="29.79"/>
    <d v="1900-02-28T22:33:36"/>
    <n v="461.71"/>
    <n v="1"/>
    <n v="461.71"/>
    <n v="3.5"/>
    <x v="4"/>
    <x v="0"/>
  </r>
  <r>
    <s v="TRIP04784"/>
    <x v="329"/>
    <x v="4"/>
    <s v="Chennai"/>
    <n v="17.2"/>
    <d v="1900-02-10T15:50:24"/>
    <n v="267.77999999999997"/>
    <n v="1"/>
    <n v="267.77999999999997"/>
    <n v="4.4000000000000004"/>
    <x v="0"/>
    <x v="3"/>
  </r>
  <r>
    <s v="TRIP04785"/>
    <x v="347"/>
    <x v="2"/>
    <s v="Mumbai"/>
    <n v="12.12"/>
    <d v="1900-01-29T17:45:36"/>
    <n v="220.65"/>
    <n v="2"/>
    <n v="441.3"/>
    <n v="4.3"/>
    <x v="3"/>
    <x v="1"/>
  </r>
  <r>
    <s v="TRIP04786"/>
    <x v="15"/>
    <x v="3"/>
    <s v="Kolkata"/>
    <n v="3.13"/>
    <d v="1900-01-06T00:14:24"/>
    <n v="36.340000000000003"/>
    <n v="1.2"/>
    <n v="43.61"/>
    <n v="4.0999999999999996"/>
    <x v="2"/>
    <x v="2"/>
  </r>
  <r>
    <s v="TRIP04787"/>
    <x v="318"/>
    <x v="0"/>
    <s v="Chennai"/>
    <n v="11.36"/>
    <d v="1900-02-12T12:00:00"/>
    <n v="117.94"/>
    <n v="1"/>
    <n v="117.94"/>
    <n v="3.4"/>
    <x v="2"/>
    <x v="2"/>
  </r>
  <r>
    <s v="TRIP04788"/>
    <x v="273"/>
    <x v="4"/>
    <s v="Mumbai"/>
    <n v="27.46"/>
    <d v="1900-02-26T00:14:24"/>
    <n v="534.98"/>
    <n v="2"/>
    <n v="1069.96"/>
    <n v="4.5999999999999996"/>
    <x v="2"/>
    <x v="2"/>
  </r>
  <r>
    <s v="TRIP04789"/>
    <x v="318"/>
    <x v="0"/>
    <s v="Chennai"/>
    <n v="15.24"/>
    <d v="1900-02-10T01:55:12"/>
    <n v="254.13"/>
    <n v="1.2"/>
    <n v="304.95999999999998"/>
    <n v="4.5"/>
    <x v="3"/>
    <x v="3"/>
  </r>
  <r>
    <s v="TRIP04790"/>
    <x v="28"/>
    <x v="2"/>
    <s v="Mumbai"/>
    <n v="21.92"/>
    <d v="1900-02-15T16:48:00"/>
    <n v="356.82"/>
    <n v="1"/>
    <n v="356.82"/>
    <n v="4.9000000000000004"/>
    <x v="3"/>
    <x v="3"/>
  </r>
  <r>
    <s v="TRIP04791"/>
    <x v="206"/>
    <x v="3"/>
    <s v="Mumbai"/>
    <n v="12.26"/>
    <d v="1900-02-09T04:19:12"/>
    <n v="150.57"/>
    <n v="1.5"/>
    <n v="225.86"/>
    <n v="3.3"/>
    <x v="0"/>
    <x v="0"/>
  </r>
  <r>
    <s v="TRIP04792"/>
    <x v="213"/>
    <x v="3"/>
    <s v="Mumbai"/>
    <n v="9.82"/>
    <d v="1900-01-23T15:07:12"/>
    <n v="103.08"/>
    <n v="1.5"/>
    <n v="154.62"/>
    <n v="4.0999999999999996"/>
    <x v="0"/>
    <x v="2"/>
  </r>
  <r>
    <s v="TRIP04793"/>
    <x v="62"/>
    <x v="1"/>
    <s v="Bangalore"/>
    <n v="26.73"/>
    <d v="1900-02-28T04:04:48"/>
    <n v="284.74"/>
    <n v="1.2"/>
    <n v="341.69"/>
    <n v="3.5"/>
    <x v="0"/>
    <x v="2"/>
  </r>
  <r>
    <s v="TRIP04794"/>
    <x v="306"/>
    <x v="1"/>
    <s v="Delhi"/>
    <n v="15.25"/>
    <d v="1900-02-16T00:28:48"/>
    <n v="196.28"/>
    <n v="2"/>
    <n v="392.56"/>
    <n v="3.5"/>
    <x v="4"/>
    <x v="3"/>
  </r>
  <r>
    <s v="TRIP04795"/>
    <x v="136"/>
    <x v="2"/>
    <s v="Delhi"/>
    <n v="10.71"/>
    <d v="1900-02-07T02:52:48"/>
    <n v="185.04"/>
    <n v="1"/>
    <n v="185.04"/>
    <n v="4.5999999999999996"/>
    <x v="2"/>
    <x v="2"/>
  </r>
  <r>
    <s v="TRIP04796"/>
    <x v="127"/>
    <x v="2"/>
    <s v="Kolkata"/>
    <n v="27.69"/>
    <d v="1900-03-25T02:38:24"/>
    <n v="336.42"/>
    <n v="2"/>
    <n v="672.84"/>
    <n v="4.0999999999999996"/>
    <x v="2"/>
    <x v="3"/>
  </r>
  <r>
    <s v="TRIP04797"/>
    <x v="115"/>
    <x v="0"/>
    <s v="Delhi"/>
    <n v="2.4"/>
    <d v="1900-01-05T08:52:48"/>
    <n v="41.45"/>
    <n v="1"/>
    <n v="41.45"/>
    <n v="3.4"/>
    <x v="3"/>
    <x v="2"/>
  </r>
  <r>
    <s v="TRIP04798"/>
    <x v="218"/>
    <x v="4"/>
    <s v="Bangalore"/>
    <n v="28.6"/>
    <d v="1900-03-02T11:31:12"/>
    <n v="303.38"/>
    <n v="1.5"/>
    <n v="455.07"/>
    <n v="4.8"/>
    <x v="3"/>
    <x v="2"/>
  </r>
  <r>
    <s v="TRIP04799"/>
    <x v="257"/>
    <x v="3"/>
    <s v="Chennai"/>
    <n v="15.58"/>
    <d v="1900-01-31T18:28:48"/>
    <n v="190.27"/>
    <n v="2"/>
    <n v="380.54"/>
    <n v="4.5"/>
    <x v="3"/>
    <x v="1"/>
  </r>
  <r>
    <s v="TRIP04800"/>
    <x v="10"/>
    <x v="3"/>
    <s v="Bangalore"/>
    <n v="2.2599999999999998"/>
    <d v="1900-01-07T14:38:24"/>
    <n v="34.25"/>
    <n v="1"/>
    <n v="34.25"/>
    <n v="4.4000000000000004"/>
    <x v="3"/>
    <x v="2"/>
  </r>
  <r>
    <s v="TRIP04801"/>
    <x v="57"/>
    <x v="3"/>
    <s v="Delhi"/>
    <n v="2.57"/>
    <d v="1900-01-07T03:36:00"/>
    <n v="48.5"/>
    <n v="1.2"/>
    <n v="58.2"/>
    <n v="3.9"/>
    <x v="1"/>
    <x v="2"/>
  </r>
  <r>
    <s v="TRIP04802"/>
    <x v="163"/>
    <x v="4"/>
    <s v="Bangalore"/>
    <n v="3.2"/>
    <d v="1900-01-06T16:33:36"/>
    <n v="53.05"/>
    <n v="2"/>
    <n v="106.1"/>
    <n v="4.9000000000000004"/>
    <x v="3"/>
    <x v="0"/>
  </r>
  <r>
    <s v="TRIP04803"/>
    <x v="322"/>
    <x v="4"/>
    <s v="Mumbai"/>
    <n v="13.14"/>
    <d v="1900-02-05T23:31:12"/>
    <n v="251.05"/>
    <n v="2"/>
    <n v="502.1"/>
    <n v="4.5999999999999996"/>
    <x v="2"/>
    <x v="3"/>
  </r>
  <r>
    <s v="TRIP04804"/>
    <x v="10"/>
    <x v="0"/>
    <s v="Chennai"/>
    <n v="16.59"/>
    <d v="1900-02-24T08:24:00"/>
    <n v="270.52"/>
    <n v="2"/>
    <n v="541.04"/>
    <n v="4.7"/>
    <x v="3"/>
    <x v="2"/>
  </r>
  <r>
    <s v="TRIP04805"/>
    <x v="188"/>
    <x v="1"/>
    <s v="Kolkata"/>
    <n v="17.16"/>
    <d v="1900-02-09T16:33:36"/>
    <n v="248.97"/>
    <n v="1.5"/>
    <n v="373.46"/>
    <n v="3.9"/>
    <x v="0"/>
    <x v="0"/>
  </r>
  <r>
    <s v="TRIP04806"/>
    <x v="137"/>
    <x v="2"/>
    <s v="Chennai"/>
    <n v="28.83"/>
    <d v="1900-04-01T13:40:48"/>
    <n v="440.21"/>
    <n v="1.2"/>
    <n v="528.25"/>
    <n v="4.5"/>
    <x v="4"/>
    <x v="1"/>
  </r>
  <r>
    <s v="TRIP04807"/>
    <x v="26"/>
    <x v="3"/>
    <s v="Kolkata"/>
    <n v="5.53"/>
    <d v="1900-01-10T16:04:48"/>
    <n v="77.47"/>
    <n v="2"/>
    <n v="154.94"/>
    <n v="4.9000000000000004"/>
    <x v="0"/>
    <x v="3"/>
  </r>
  <r>
    <s v="TRIP04808"/>
    <x v="176"/>
    <x v="0"/>
    <s v="Delhi"/>
    <n v="22.92"/>
    <d v="1900-02-26T15:36:00"/>
    <n v="423.12"/>
    <n v="2"/>
    <n v="846.24"/>
    <n v="4.9000000000000004"/>
    <x v="2"/>
    <x v="2"/>
  </r>
  <r>
    <s v="TRIP04809"/>
    <x v="311"/>
    <x v="0"/>
    <s v="Chennai"/>
    <n v="3.94"/>
    <d v="1900-01-13T02:09:36"/>
    <n v="59.78"/>
    <n v="2"/>
    <n v="119.56"/>
    <n v="3.2"/>
    <x v="4"/>
    <x v="2"/>
  </r>
  <r>
    <s v="TRIP04810"/>
    <x v="285"/>
    <x v="3"/>
    <s v="Chennai"/>
    <n v="13.46"/>
    <d v="1900-02-14T21:21:36"/>
    <n v="170.86"/>
    <n v="1.2"/>
    <n v="205.03"/>
    <n v="5"/>
    <x v="0"/>
    <x v="2"/>
  </r>
  <r>
    <s v="TRIP04811"/>
    <x v="66"/>
    <x v="2"/>
    <s v="Chennai"/>
    <n v="12.27"/>
    <d v="1900-02-14T18:43:12"/>
    <n v="227.71"/>
    <n v="1.2"/>
    <n v="273.25"/>
    <n v="3.6"/>
    <x v="2"/>
    <x v="3"/>
  </r>
  <r>
    <s v="TRIP04812"/>
    <x v="103"/>
    <x v="3"/>
    <s v="Bangalore"/>
    <n v="6.6"/>
    <d v="1900-01-24T18:57:36"/>
    <n v="79.38"/>
    <n v="2"/>
    <n v="158.76"/>
    <n v="4.0999999999999996"/>
    <x v="2"/>
    <x v="3"/>
  </r>
  <r>
    <s v="TRIP04813"/>
    <x v="97"/>
    <x v="2"/>
    <s v="Mumbai"/>
    <n v="10.28"/>
    <d v="1900-01-20T00:14:24"/>
    <n v="179.87"/>
    <n v="1.5"/>
    <n v="269.8"/>
    <n v="4.9000000000000004"/>
    <x v="2"/>
    <x v="3"/>
  </r>
  <r>
    <s v="TRIP04814"/>
    <x v="228"/>
    <x v="0"/>
    <s v="Bangalore"/>
    <n v="21.51"/>
    <d v="1900-03-15T11:31:12"/>
    <n v="336.29"/>
    <n v="1.2"/>
    <n v="403.55"/>
    <n v="4.2"/>
    <x v="0"/>
    <x v="0"/>
  </r>
  <r>
    <s v="TRIP04815"/>
    <x v="359"/>
    <x v="4"/>
    <s v="Chennai"/>
    <n v="15.1"/>
    <d v="1900-02-16T22:04:48"/>
    <n v="232.13"/>
    <n v="1"/>
    <n v="232.13"/>
    <n v="4.5999999999999996"/>
    <x v="3"/>
    <x v="1"/>
  </r>
  <r>
    <s v="TRIP04816"/>
    <x v="354"/>
    <x v="3"/>
    <s v="Mumbai"/>
    <n v="11.31"/>
    <d v="1900-01-26T07:55:12"/>
    <n v="164.71"/>
    <n v="1.5"/>
    <n v="247.06"/>
    <n v="4"/>
    <x v="0"/>
    <x v="3"/>
  </r>
  <r>
    <s v="TRIP04817"/>
    <x v="12"/>
    <x v="4"/>
    <s v="Kolkata"/>
    <n v="27.2"/>
    <d v="1900-03-27T23:45:36"/>
    <n v="504.68"/>
    <n v="1.5"/>
    <n v="757.02"/>
    <n v="4.3"/>
    <x v="3"/>
    <x v="0"/>
  </r>
  <r>
    <s v="TRIP04818"/>
    <x v="106"/>
    <x v="0"/>
    <s v="Kolkata"/>
    <n v="18.45"/>
    <d v="1900-02-06T01:40:48"/>
    <n v="301.31"/>
    <n v="1"/>
    <n v="301.31"/>
    <n v="4.8"/>
    <x v="1"/>
    <x v="3"/>
  </r>
  <r>
    <s v="TRIP04819"/>
    <x v="232"/>
    <x v="4"/>
    <s v="Mumbai"/>
    <n v="17.89"/>
    <d v="1900-03-08T12:57:36"/>
    <n v="180.63"/>
    <n v="1.2"/>
    <n v="216.76"/>
    <n v="4.0999999999999996"/>
    <x v="1"/>
    <x v="2"/>
  </r>
  <r>
    <s v="TRIP04820"/>
    <x v="223"/>
    <x v="4"/>
    <s v="Kolkata"/>
    <n v="11.06"/>
    <d v="1900-02-04T00:00:00"/>
    <n v="116.43"/>
    <n v="1.5"/>
    <n v="174.64"/>
    <n v="3.2"/>
    <x v="3"/>
    <x v="3"/>
  </r>
  <r>
    <s v="TRIP04821"/>
    <x v="269"/>
    <x v="3"/>
    <s v="Kolkata"/>
    <n v="9.9"/>
    <d v="1900-01-28T18:43:12"/>
    <n v="136.33000000000001"/>
    <n v="1.2"/>
    <n v="163.6"/>
    <n v="3.9"/>
    <x v="0"/>
    <x v="1"/>
  </r>
  <r>
    <s v="TRIP04822"/>
    <x v="44"/>
    <x v="3"/>
    <s v="Mumbai"/>
    <n v="28.11"/>
    <d v="1900-04-14T08:09:36"/>
    <n v="427.96"/>
    <n v="2"/>
    <n v="855.92"/>
    <n v="4.5"/>
    <x v="2"/>
    <x v="1"/>
  </r>
  <r>
    <s v="TRIP04823"/>
    <x v="171"/>
    <x v="0"/>
    <s v="Kolkata"/>
    <n v="12.87"/>
    <d v="1900-02-01T00:57:36"/>
    <n v="141.35"/>
    <n v="2"/>
    <n v="282.7"/>
    <n v="3.3"/>
    <x v="0"/>
    <x v="1"/>
  </r>
  <r>
    <s v="TRIP04824"/>
    <x v="99"/>
    <x v="1"/>
    <s v="Mumbai"/>
    <n v="17.27"/>
    <d v="1900-02-25T14:24:00"/>
    <n v="192.2"/>
    <n v="1.2"/>
    <n v="230.64"/>
    <n v="3.5"/>
    <x v="4"/>
    <x v="0"/>
  </r>
  <r>
    <s v="TRIP04825"/>
    <x v="244"/>
    <x v="4"/>
    <s v="Mumbai"/>
    <n v="28.59"/>
    <d v="1900-03-17T19:26:24"/>
    <n v="536.77"/>
    <n v="1.2"/>
    <n v="644.12"/>
    <n v="4.4000000000000004"/>
    <x v="1"/>
    <x v="2"/>
  </r>
  <r>
    <s v="TRIP04826"/>
    <x v="148"/>
    <x v="1"/>
    <s v="Mumbai"/>
    <n v="18.420000000000002"/>
    <d v="1900-03-08T12:28:48"/>
    <n v="184.81"/>
    <n v="1"/>
    <n v="184.81"/>
    <n v="4.7"/>
    <x v="4"/>
    <x v="2"/>
  </r>
  <r>
    <s v="TRIP04827"/>
    <x v="91"/>
    <x v="4"/>
    <s v="Delhi"/>
    <n v="1.6"/>
    <d v="1900-01-03T07:55:12"/>
    <n v="26.69"/>
    <n v="1"/>
    <n v="26.69"/>
    <n v="4.0999999999999996"/>
    <x v="1"/>
    <x v="0"/>
  </r>
  <r>
    <s v="TRIP04828"/>
    <x v="110"/>
    <x v="1"/>
    <s v="Delhi"/>
    <n v="1.49"/>
    <d v="1900-01-03T06:43:12"/>
    <n v="24.87"/>
    <n v="1"/>
    <n v="24.87"/>
    <n v="4.5"/>
    <x v="2"/>
    <x v="2"/>
  </r>
  <r>
    <s v="TRIP04829"/>
    <x v="171"/>
    <x v="1"/>
    <s v="Mumbai"/>
    <n v="27.92"/>
    <d v="1900-04-02T02:38:24"/>
    <n v="394.82"/>
    <n v="1.2"/>
    <n v="473.78"/>
    <n v="3.1"/>
    <x v="1"/>
    <x v="3"/>
  </r>
  <r>
    <s v="TRIP04830"/>
    <x v="329"/>
    <x v="3"/>
    <s v="Delhi"/>
    <n v="4.3099999999999996"/>
    <d v="1900-01-13T19:40:48"/>
    <n v="78.62"/>
    <n v="2"/>
    <n v="157.24"/>
    <n v="3.4"/>
    <x v="1"/>
    <x v="1"/>
  </r>
  <r>
    <s v="TRIP04831"/>
    <x v="138"/>
    <x v="4"/>
    <s v="Mumbai"/>
    <n v="1.99"/>
    <d v="1900-01-06T12:43:12"/>
    <n v="34.880000000000003"/>
    <n v="1.5"/>
    <n v="52.32"/>
    <n v="3.1"/>
    <x v="2"/>
    <x v="0"/>
  </r>
  <r>
    <s v="TRIP04832"/>
    <x v="73"/>
    <x v="0"/>
    <s v="Mumbai"/>
    <n v="17.68"/>
    <d v="1900-02-07T22:48:00"/>
    <n v="208.07"/>
    <n v="2"/>
    <n v="416.14"/>
    <n v="4.5999999999999996"/>
    <x v="0"/>
    <x v="0"/>
  </r>
  <r>
    <s v="TRIP04833"/>
    <x v="248"/>
    <x v="4"/>
    <s v="Kolkata"/>
    <n v="12.01"/>
    <d v="1900-02-11T03:50:24"/>
    <n v="143.07"/>
    <n v="2"/>
    <n v="286.14"/>
    <n v="4.5999999999999996"/>
    <x v="3"/>
    <x v="2"/>
  </r>
  <r>
    <s v="TRIP04834"/>
    <x v="95"/>
    <x v="1"/>
    <s v="Chennai"/>
    <n v="12.21"/>
    <d v="1900-02-05T06:28:48"/>
    <n v="204.62"/>
    <n v="1.5"/>
    <n v="306.93"/>
    <n v="3.2"/>
    <x v="3"/>
    <x v="3"/>
  </r>
  <r>
    <s v="TRIP04835"/>
    <x v="241"/>
    <x v="2"/>
    <s v="Kolkata"/>
    <n v="17.57"/>
    <d v="1900-03-07T02:38:24"/>
    <n v="347.24"/>
    <n v="1.5"/>
    <n v="520.86"/>
    <n v="4"/>
    <x v="2"/>
    <x v="3"/>
  </r>
  <r>
    <s v="TRIP04836"/>
    <x v="7"/>
    <x v="4"/>
    <s v="Kolkata"/>
    <n v="9.3800000000000008"/>
    <d v="1900-02-05T09:36:00"/>
    <n v="115.31"/>
    <n v="1"/>
    <n v="115.31"/>
    <n v="4.5999999999999996"/>
    <x v="0"/>
    <x v="3"/>
  </r>
  <r>
    <s v="TRIP04837"/>
    <x v="237"/>
    <x v="0"/>
    <s v="Kolkata"/>
    <n v="14.7"/>
    <d v="1900-02-14T10:33:36"/>
    <n v="179.25"/>
    <n v="1"/>
    <n v="179.25"/>
    <n v="3.3"/>
    <x v="3"/>
    <x v="3"/>
  </r>
  <r>
    <s v="TRIP04838"/>
    <x v="7"/>
    <x v="3"/>
    <s v="Bangalore"/>
    <n v="14.79"/>
    <d v="1900-02-07T12:28:48"/>
    <n v="247.71"/>
    <n v="1"/>
    <n v="247.71"/>
    <n v="4.5"/>
    <x v="2"/>
    <x v="3"/>
  </r>
  <r>
    <s v="TRIP04839"/>
    <x v="177"/>
    <x v="0"/>
    <s v="Kolkata"/>
    <n v="1.21"/>
    <d v="1900-01-02T00:43:12"/>
    <n v="19.760000000000002"/>
    <n v="2"/>
    <n v="39.520000000000003"/>
    <n v="4.3"/>
    <x v="0"/>
    <x v="2"/>
  </r>
  <r>
    <s v="TRIP04840"/>
    <x v="344"/>
    <x v="4"/>
    <s v="Mumbai"/>
    <n v="19.760000000000002"/>
    <d v="1900-03-09T09:21:36"/>
    <n v="261.14"/>
    <n v="1.2"/>
    <n v="313.37"/>
    <n v="3.6"/>
    <x v="3"/>
    <x v="1"/>
  </r>
  <r>
    <s v="TRIP04841"/>
    <x v="112"/>
    <x v="1"/>
    <s v="Delhi"/>
    <n v="28.42"/>
    <d v="1900-03-14T07:40:48"/>
    <n v="514.4"/>
    <n v="1.2"/>
    <n v="617.28"/>
    <n v="3.7"/>
    <x v="4"/>
    <x v="1"/>
  </r>
  <r>
    <s v="TRIP04842"/>
    <x v="217"/>
    <x v="1"/>
    <s v="Delhi"/>
    <n v="14.85"/>
    <d v="1900-02-20T17:02:24"/>
    <n v="262.57"/>
    <n v="1.2"/>
    <n v="315.08"/>
    <n v="3.7"/>
    <x v="1"/>
    <x v="2"/>
  </r>
  <r>
    <s v="TRIP04843"/>
    <x v="224"/>
    <x v="3"/>
    <s v="Kolkata"/>
    <n v="8.57"/>
    <d v="1900-01-18T05:45:36"/>
    <n v="122.14"/>
    <n v="1"/>
    <n v="122.14"/>
    <n v="4.5999999999999996"/>
    <x v="3"/>
    <x v="3"/>
  </r>
  <r>
    <s v="TRIP04844"/>
    <x v="344"/>
    <x v="4"/>
    <s v="Chennai"/>
    <n v="19.420000000000002"/>
    <d v="1900-03-03T01:55:12"/>
    <n v="219.95"/>
    <n v="1"/>
    <n v="219.95"/>
    <n v="4.5999999999999996"/>
    <x v="2"/>
    <x v="3"/>
  </r>
  <r>
    <s v="TRIP04845"/>
    <x v="99"/>
    <x v="2"/>
    <s v="Bangalore"/>
    <n v="29.19"/>
    <d v="1900-03-08T04:33:36"/>
    <n v="411.71"/>
    <n v="1.2"/>
    <n v="494.05"/>
    <n v="4.5"/>
    <x v="0"/>
    <x v="2"/>
  </r>
  <r>
    <s v="TRIP04846"/>
    <x v="185"/>
    <x v="3"/>
    <s v="Chennai"/>
    <n v="11.93"/>
    <d v="1900-02-04T18:14:24"/>
    <n v="146.81"/>
    <n v="2"/>
    <n v="293.62"/>
    <n v="3.7"/>
    <x v="1"/>
    <x v="2"/>
  </r>
  <r>
    <s v="TRIP04847"/>
    <x v="22"/>
    <x v="3"/>
    <s v="Chennai"/>
    <n v="28.92"/>
    <d v="1900-03-16T13:26:24"/>
    <n v="488.17"/>
    <n v="1.5"/>
    <n v="732.26"/>
    <n v="3.3"/>
    <x v="0"/>
    <x v="1"/>
  </r>
  <r>
    <s v="TRIP04848"/>
    <x v="61"/>
    <x v="1"/>
    <s v="Chennai"/>
    <n v="20.51"/>
    <d v="1900-03-13T22:48:00"/>
    <n v="215.22"/>
    <n v="1.5"/>
    <n v="322.83"/>
    <n v="3.5"/>
    <x v="3"/>
    <x v="1"/>
  </r>
  <r>
    <s v="TRIP04849"/>
    <x v="264"/>
    <x v="2"/>
    <s v="Mumbai"/>
    <n v="9.5"/>
    <d v="1900-01-22T23:45:36"/>
    <n v="150.1"/>
    <n v="1.2"/>
    <n v="180.12"/>
    <n v="4.5999999999999996"/>
    <x v="1"/>
    <x v="1"/>
  </r>
  <r>
    <s v="TRIP04850"/>
    <x v="3"/>
    <x v="3"/>
    <s v="Mumbai"/>
    <n v="17.45"/>
    <d v="1900-02-08T20:24:00"/>
    <n v="198.99"/>
    <n v="1"/>
    <n v="198.99"/>
    <n v="4.9000000000000004"/>
    <x v="2"/>
    <x v="1"/>
  </r>
  <r>
    <s v="TRIP04851"/>
    <x v="85"/>
    <x v="0"/>
    <s v="Delhi"/>
    <n v="13.79"/>
    <d v="1900-02-05T12:14:24"/>
    <n v="227.31"/>
    <n v="1"/>
    <n v="227.31"/>
    <n v="4.8"/>
    <x v="0"/>
    <x v="3"/>
  </r>
  <r>
    <s v="TRIP04852"/>
    <x v="290"/>
    <x v="4"/>
    <s v="Bangalore"/>
    <n v="11.22"/>
    <d v="1900-02-07T01:12:00"/>
    <n v="141.07"/>
    <n v="1.2"/>
    <n v="169.28"/>
    <n v="3.4"/>
    <x v="1"/>
    <x v="2"/>
  </r>
  <r>
    <s v="TRIP04853"/>
    <x v="290"/>
    <x v="1"/>
    <s v="Bangalore"/>
    <n v="10.54"/>
    <d v="1900-01-30T00:43:12"/>
    <n v="134.84"/>
    <n v="1"/>
    <n v="134.84"/>
    <n v="3.6"/>
    <x v="4"/>
    <x v="3"/>
  </r>
  <r>
    <s v="TRIP04854"/>
    <x v="133"/>
    <x v="3"/>
    <s v="Kolkata"/>
    <n v="23.36"/>
    <d v="1900-02-27T19:26:24"/>
    <n v="328.92"/>
    <n v="2"/>
    <n v="657.84"/>
    <n v="3"/>
    <x v="0"/>
    <x v="2"/>
  </r>
  <r>
    <s v="TRIP04855"/>
    <x v="169"/>
    <x v="3"/>
    <s v="Mumbai"/>
    <n v="25.01"/>
    <d v="1900-03-09T17:45:36"/>
    <n v="486.72"/>
    <n v="1.2"/>
    <n v="584.05999999999995"/>
    <n v="4.5999999999999996"/>
    <x v="1"/>
    <x v="3"/>
  </r>
  <r>
    <s v="TRIP04856"/>
    <x v="81"/>
    <x v="1"/>
    <s v="Kolkata"/>
    <n v="20.72"/>
    <d v="1900-03-12T19:12:00"/>
    <n v="242.62"/>
    <n v="1.5"/>
    <n v="363.93"/>
    <n v="3.9"/>
    <x v="4"/>
    <x v="1"/>
  </r>
  <r>
    <s v="TRIP04857"/>
    <x v="265"/>
    <x v="1"/>
    <s v="Kolkata"/>
    <n v="1.57"/>
    <d v="1900-01-02T12:43:12"/>
    <n v="19.559999999999999"/>
    <n v="1.5"/>
    <n v="29.34"/>
    <n v="4.2"/>
    <x v="0"/>
    <x v="1"/>
  </r>
  <r>
    <s v="TRIP04858"/>
    <x v="2"/>
    <x v="4"/>
    <s v="Chennai"/>
    <n v="9.5299999999999994"/>
    <d v="1900-01-21T01:40:48"/>
    <n v="181.63"/>
    <n v="1.2"/>
    <n v="217.96"/>
    <n v="4.4000000000000004"/>
    <x v="3"/>
    <x v="3"/>
  </r>
  <r>
    <s v="TRIP04859"/>
    <x v="359"/>
    <x v="1"/>
    <s v="Chennai"/>
    <n v="17.71"/>
    <d v="1900-02-10T00:14:24"/>
    <n v="199.58"/>
    <n v="1"/>
    <n v="199.58"/>
    <n v="4.9000000000000004"/>
    <x v="0"/>
    <x v="0"/>
  </r>
  <r>
    <s v="TRIP04860"/>
    <x v="145"/>
    <x v="4"/>
    <s v="Bangalore"/>
    <n v="15.89"/>
    <d v="1900-02-02T00:00:00"/>
    <n v="194.4"/>
    <n v="1"/>
    <n v="194.4"/>
    <n v="3.6"/>
    <x v="3"/>
    <x v="3"/>
  </r>
  <r>
    <s v="TRIP04861"/>
    <x v="139"/>
    <x v="1"/>
    <s v="Bangalore"/>
    <n v="17.399999999999999"/>
    <d v="1900-02-27T08:38:24"/>
    <n v="182.22"/>
    <n v="1"/>
    <n v="182.22"/>
    <n v="3.1"/>
    <x v="2"/>
    <x v="0"/>
  </r>
  <r>
    <s v="TRIP04862"/>
    <x v="14"/>
    <x v="3"/>
    <s v="Delhi"/>
    <n v="28.38"/>
    <d v="1900-03-01T12:14:24"/>
    <n v="436.33"/>
    <n v="2"/>
    <n v="872.66"/>
    <n v="4.9000000000000004"/>
    <x v="4"/>
    <x v="3"/>
  </r>
  <r>
    <s v="TRIP04863"/>
    <x v="1"/>
    <x v="3"/>
    <s v="Kolkata"/>
    <n v="27.09"/>
    <d v="1900-03-18T01:26:24"/>
    <n v="526.13"/>
    <n v="1.2"/>
    <n v="631.36"/>
    <n v="4.2"/>
    <x v="1"/>
    <x v="0"/>
  </r>
  <r>
    <s v="TRIP04864"/>
    <x v="297"/>
    <x v="1"/>
    <s v="Kolkata"/>
    <n v="8.5299999999999994"/>
    <d v="1900-01-26T22:04:48"/>
    <n v="131.21"/>
    <n v="1.5"/>
    <n v="196.82"/>
    <n v="4.7"/>
    <x v="2"/>
    <x v="3"/>
  </r>
  <r>
    <s v="TRIP04865"/>
    <x v="41"/>
    <x v="0"/>
    <s v="Delhi"/>
    <n v="9.39"/>
    <d v="1900-01-30T12:14:24"/>
    <n v="113.87"/>
    <n v="1.5"/>
    <n v="170.8"/>
    <n v="3.7"/>
    <x v="3"/>
    <x v="0"/>
  </r>
  <r>
    <s v="TRIP04866"/>
    <x v="185"/>
    <x v="3"/>
    <s v="Kolkata"/>
    <n v="20.69"/>
    <d v="1900-03-18T04:19:12"/>
    <n v="346.47"/>
    <n v="1"/>
    <n v="346.47"/>
    <n v="3.2"/>
    <x v="1"/>
    <x v="0"/>
  </r>
  <r>
    <s v="TRIP04867"/>
    <x v="225"/>
    <x v="4"/>
    <s v="Delhi"/>
    <n v="3"/>
    <d v="1900-01-05T14:24:00"/>
    <n v="46.63"/>
    <n v="1.5"/>
    <n v="69.95"/>
    <n v="3.5"/>
    <x v="0"/>
    <x v="2"/>
  </r>
  <r>
    <s v="TRIP04868"/>
    <x v="42"/>
    <x v="2"/>
    <s v="Mumbai"/>
    <n v="13.96"/>
    <d v="1900-02-03T20:09:36"/>
    <n v="212.67"/>
    <n v="1"/>
    <n v="212.67"/>
    <n v="4.5"/>
    <x v="3"/>
    <x v="2"/>
  </r>
  <r>
    <s v="TRIP04869"/>
    <x v="353"/>
    <x v="1"/>
    <s v="Chennai"/>
    <n v="29.57"/>
    <d v="1900-03-16T14:24:00"/>
    <n v="486.35"/>
    <n v="1.2"/>
    <n v="583.62"/>
    <n v="3.3"/>
    <x v="0"/>
    <x v="0"/>
  </r>
  <r>
    <s v="TRIP04870"/>
    <x v="123"/>
    <x v="2"/>
    <s v="Bangalore"/>
    <n v="10.55"/>
    <d v="1900-02-04T21:07:12"/>
    <n v="191.74"/>
    <n v="1"/>
    <n v="191.74"/>
    <n v="5"/>
    <x v="2"/>
    <x v="0"/>
  </r>
  <r>
    <s v="TRIP04871"/>
    <x v="63"/>
    <x v="3"/>
    <s v="Delhi"/>
    <n v="28.2"/>
    <d v="1900-04-02T15:07:12"/>
    <n v="444.36"/>
    <n v="1.2"/>
    <n v="533.23"/>
    <n v="3.1"/>
    <x v="3"/>
    <x v="3"/>
  </r>
  <r>
    <s v="TRIP04872"/>
    <x v="24"/>
    <x v="1"/>
    <s v="Delhi"/>
    <n v="12.32"/>
    <d v="1900-02-14T08:24:00"/>
    <n v="143.05000000000001"/>
    <n v="1.2"/>
    <n v="171.66"/>
    <n v="3.8"/>
    <x v="0"/>
    <x v="1"/>
  </r>
  <r>
    <s v="TRIP04873"/>
    <x v="299"/>
    <x v="1"/>
    <s v="Delhi"/>
    <n v="11.33"/>
    <d v="1900-02-03T09:36:00"/>
    <n v="226.17"/>
    <n v="2"/>
    <n v="452.34"/>
    <n v="3.4"/>
    <x v="3"/>
    <x v="3"/>
  </r>
  <r>
    <s v="TRIP04874"/>
    <x v="159"/>
    <x v="3"/>
    <s v="Bangalore"/>
    <n v="22.98"/>
    <d v="1900-03-12T19:40:48"/>
    <n v="252.2"/>
    <n v="1"/>
    <n v="252.2"/>
    <n v="3.8"/>
    <x v="4"/>
    <x v="2"/>
  </r>
  <r>
    <s v="TRIP04875"/>
    <x v="330"/>
    <x v="1"/>
    <s v="Delhi"/>
    <n v="13.16"/>
    <d v="1900-02-19T08:38:24"/>
    <n v="249.31"/>
    <n v="1.5"/>
    <n v="373.96"/>
    <n v="4.4000000000000004"/>
    <x v="4"/>
    <x v="0"/>
  </r>
  <r>
    <s v="TRIP04876"/>
    <x v="290"/>
    <x v="4"/>
    <s v="Kolkata"/>
    <n v="2.68"/>
    <d v="1900-01-08T02:09:36"/>
    <n v="45.75"/>
    <n v="1.2"/>
    <n v="54.9"/>
    <n v="3.7"/>
    <x v="2"/>
    <x v="0"/>
  </r>
  <r>
    <s v="TRIP04877"/>
    <x v="231"/>
    <x v="2"/>
    <s v="Delhi"/>
    <n v="27.54"/>
    <d v="1900-03-18T13:55:12"/>
    <n v="455.43"/>
    <n v="1.2"/>
    <n v="546.52"/>
    <n v="3.3"/>
    <x v="4"/>
    <x v="2"/>
  </r>
  <r>
    <s v="TRIP04878"/>
    <x v="114"/>
    <x v="4"/>
    <s v="Kolkata"/>
    <n v="24.7"/>
    <d v="1900-03-08T13:12:00"/>
    <n v="395.98"/>
    <n v="2"/>
    <n v="791.96"/>
    <n v="4.5"/>
    <x v="0"/>
    <x v="1"/>
  </r>
  <r>
    <s v="TRIP04879"/>
    <x v="110"/>
    <x v="2"/>
    <s v="Kolkata"/>
    <n v="27.8"/>
    <d v="1900-04-12T18:43:12"/>
    <n v="347.83"/>
    <n v="1.5"/>
    <n v="521.74"/>
    <n v="4.9000000000000004"/>
    <x v="4"/>
    <x v="0"/>
  </r>
  <r>
    <s v="TRIP04880"/>
    <x v="22"/>
    <x v="0"/>
    <s v="Chennai"/>
    <n v="9.3000000000000007"/>
    <d v="1900-01-30T06:28:48"/>
    <n v="154.96"/>
    <n v="1"/>
    <n v="154.96"/>
    <n v="3.1"/>
    <x v="1"/>
    <x v="3"/>
  </r>
  <r>
    <s v="TRIP04881"/>
    <x v="55"/>
    <x v="0"/>
    <s v="Kolkata"/>
    <n v="11.12"/>
    <d v="1900-02-04T01:12:00"/>
    <n v="155.94"/>
    <n v="1.2"/>
    <n v="187.13"/>
    <n v="3.1"/>
    <x v="3"/>
    <x v="1"/>
  </r>
  <r>
    <s v="TRIP04882"/>
    <x v="105"/>
    <x v="1"/>
    <s v="Delhi"/>
    <n v="13.82"/>
    <d v="1900-02-16T13:26:24"/>
    <n v="176.84"/>
    <n v="1.5"/>
    <n v="265.26"/>
    <n v="4.8"/>
    <x v="3"/>
    <x v="1"/>
  </r>
  <r>
    <s v="TRIP04883"/>
    <x v="276"/>
    <x v="4"/>
    <s v="Mumbai"/>
    <n v="27"/>
    <d v="1900-02-22T00:57:36"/>
    <n v="364.9"/>
    <n v="1.2"/>
    <n v="437.88"/>
    <n v="3.7"/>
    <x v="3"/>
    <x v="0"/>
  </r>
  <r>
    <s v="TRIP04884"/>
    <x v="108"/>
    <x v="1"/>
    <s v="Chennai"/>
    <n v="27.91"/>
    <d v="1900-03-10T02:38:24"/>
    <n v="381.62"/>
    <n v="2"/>
    <n v="763.24"/>
    <n v="4.4000000000000004"/>
    <x v="0"/>
    <x v="2"/>
  </r>
  <r>
    <s v="TRIP04885"/>
    <x v="116"/>
    <x v="4"/>
    <s v="Bangalore"/>
    <n v="15.41"/>
    <d v="1900-02-14T05:45:36"/>
    <n v="261.38"/>
    <n v="1.2"/>
    <n v="313.66000000000003"/>
    <n v="3.8"/>
    <x v="1"/>
    <x v="2"/>
  </r>
  <r>
    <s v="TRIP04886"/>
    <x v="326"/>
    <x v="4"/>
    <s v="Kolkata"/>
    <n v="6.01"/>
    <d v="1900-01-13T05:45:36"/>
    <n v="61.32"/>
    <n v="1.2"/>
    <n v="73.58"/>
    <n v="4.8"/>
    <x v="1"/>
    <x v="0"/>
  </r>
  <r>
    <s v="TRIP04887"/>
    <x v="90"/>
    <x v="3"/>
    <s v="Delhi"/>
    <n v="21.68"/>
    <d v="1900-03-26T09:50:24"/>
    <n v="413.99"/>
    <n v="1.2"/>
    <n v="496.79"/>
    <n v="3.8"/>
    <x v="3"/>
    <x v="2"/>
  </r>
  <r>
    <s v="TRIP04888"/>
    <x v="343"/>
    <x v="4"/>
    <s v="Chennai"/>
    <n v="19.22"/>
    <d v="1900-02-10T16:48:00"/>
    <n v="309"/>
    <n v="1.2"/>
    <n v="370.8"/>
    <n v="4.0999999999999996"/>
    <x v="4"/>
    <x v="1"/>
  </r>
  <r>
    <s v="TRIP04889"/>
    <x v="101"/>
    <x v="0"/>
    <s v="Kolkata"/>
    <n v="17.39"/>
    <d v="1900-02-13T13:55:12"/>
    <n v="279.58999999999997"/>
    <n v="1.5"/>
    <n v="419.38"/>
    <n v="4.7"/>
    <x v="2"/>
    <x v="0"/>
  </r>
  <r>
    <s v="TRIP04890"/>
    <x v="309"/>
    <x v="2"/>
    <s v="Chennai"/>
    <n v="20.58"/>
    <d v="1900-02-21T18:28:48"/>
    <n v="388.76"/>
    <n v="2"/>
    <n v="777.52"/>
    <n v="4.7"/>
    <x v="4"/>
    <x v="2"/>
  </r>
  <r>
    <s v="TRIP04891"/>
    <x v="252"/>
    <x v="2"/>
    <s v="Delhi"/>
    <n v="1.04"/>
    <d v="1900-01-01T13:40:48"/>
    <n v="11.33"/>
    <n v="2"/>
    <n v="22.66"/>
    <n v="3.6"/>
    <x v="4"/>
    <x v="3"/>
  </r>
  <r>
    <s v="TRIP04892"/>
    <x v="280"/>
    <x v="4"/>
    <s v="Chennai"/>
    <n v="18.84"/>
    <d v="1900-02-14T02:52:48"/>
    <n v="316.79000000000002"/>
    <n v="1"/>
    <n v="316.79000000000002"/>
    <n v="3.9"/>
    <x v="4"/>
    <x v="1"/>
  </r>
  <r>
    <s v="TRIP04893"/>
    <x v="268"/>
    <x v="3"/>
    <s v="Bangalore"/>
    <n v="13.69"/>
    <d v="1900-02-07T13:26:24"/>
    <n v="223.49"/>
    <n v="1.5"/>
    <n v="335.24"/>
    <n v="3.9"/>
    <x v="1"/>
    <x v="2"/>
  </r>
  <r>
    <s v="TRIP04894"/>
    <x v="345"/>
    <x v="3"/>
    <s v="Delhi"/>
    <n v="1.35"/>
    <d v="1900-01-02T00:43:12"/>
    <n v="21.19"/>
    <n v="1.5"/>
    <n v="31.79"/>
    <n v="4.5999999999999996"/>
    <x v="1"/>
    <x v="3"/>
  </r>
  <r>
    <s v="TRIP04895"/>
    <x v="301"/>
    <x v="0"/>
    <s v="Kolkata"/>
    <n v="10.41"/>
    <d v="1900-01-23T05:16:48"/>
    <n v="110.31"/>
    <n v="1.5"/>
    <n v="165.46"/>
    <n v="3.5"/>
    <x v="3"/>
    <x v="1"/>
  </r>
  <r>
    <s v="TRIP04896"/>
    <x v="124"/>
    <x v="4"/>
    <s v="Mumbai"/>
    <n v="9.9600000000000009"/>
    <d v="1900-02-02T18:14:24"/>
    <n v="104.36"/>
    <n v="2"/>
    <n v="208.72"/>
    <n v="4.4000000000000004"/>
    <x v="4"/>
    <x v="3"/>
  </r>
  <r>
    <s v="TRIP04897"/>
    <x v="260"/>
    <x v="1"/>
    <s v="Chennai"/>
    <n v="13.59"/>
    <d v="1900-02-04T10:48:00"/>
    <n v="218.46"/>
    <n v="2"/>
    <n v="436.92"/>
    <n v="3.4"/>
    <x v="2"/>
    <x v="0"/>
  </r>
  <r>
    <s v="TRIP04898"/>
    <x v="167"/>
    <x v="3"/>
    <s v="Delhi"/>
    <n v="28.79"/>
    <d v="1900-03-31T12:43:12"/>
    <n v="400.21"/>
    <n v="1.2"/>
    <n v="480.25"/>
    <n v="3.8"/>
    <x v="3"/>
    <x v="0"/>
  </r>
  <r>
    <s v="TRIP04899"/>
    <x v="239"/>
    <x v="0"/>
    <s v="Delhi"/>
    <n v="8.01"/>
    <d v="1900-01-18T07:55:12"/>
    <n v="111.89"/>
    <n v="2"/>
    <n v="223.78"/>
    <n v="4.4000000000000004"/>
    <x v="0"/>
    <x v="0"/>
  </r>
  <r>
    <s v="TRIP04900"/>
    <x v="173"/>
    <x v="0"/>
    <s v="Bangalore"/>
    <n v="7.34"/>
    <d v="1900-01-26T18:57:36"/>
    <n v="82.34"/>
    <n v="1.5"/>
    <n v="123.51"/>
    <n v="3.8"/>
    <x v="3"/>
    <x v="3"/>
  </r>
  <r>
    <s v="TRIP04901"/>
    <x v="142"/>
    <x v="4"/>
    <s v="Kolkata"/>
    <n v="18.57"/>
    <d v="1900-02-19T08:52:48"/>
    <n v="204.58"/>
    <n v="2"/>
    <n v="409.16"/>
    <n v="3.4"/>
    <x v="4"/>
    <x v="3"/>
  </r>
  <r>
    <s v="TRIP04902"/>
    <x v="44"/>
    <x v="0"/>
    <s v="Bangalore"/>
    <n v="20.73"/>
    <d v="1900-03-07T20:52:48"/>
    <n v="311"/>
    <n v="1.2"/>
    <n v="373.2"/>
    <n v="3.8"/>
    <x v="4"/>
    <x v="2"/>
  </r>
  <r>
    <s v="TRIP04903"/>
    <x v="59"/>
    <x v="4"/>
    <s v="Bangalore"/>
    <n v="21.02"/>
    <d v="1900-03-09T13:40:48"/>
    <n v="333.58"/>
    <n v="1"/>
    <n v="333.58"/>
    <n v="3.9"/>
    <x v="3"/>
    <x v="3"/>
  </r>
  <r>
    <s v="TRIP04904"/>
    <x v="349"/>
    <x v="2"/>
    <s v="Delhi"/>
    <n v="8.5500000000000007"/>
    <d v="1900-01-31T19:55:12"/>
    <n v="150.43"/>
    <n v="1.2"/>
    <n v="180.52"/>
    <n v="3.8"/>
    <x v="2"/>
    <x v="2"/>
  </r>
  <r>
    <s v="TRIP04905"/>
    <x v="196"/>
    <x v="0"/>
    <s v="Bangalore"/>
    <n v="4.22"/>
    <d v="1900-01-15T00:43:12"/>
    <n v="79.87"/>
    <n v="1"/>
    <n v="79.87"/>
    <n v="3.7"/>
    <x v="1"/>
    <x v="0"/>
  </r>
  <r>
    <s v="TRIP04906"/>
    <x v="265"/>
    <x v="0"/>
    <s v="Delhi"/>
    <n v="13.95"/>
    <d v="1900-02-04T22:33:36"/>
    <n v="242.61"/>
    <n v="2"/>
    <n v="485.22"/>
    <n v="3.5"/>
    <x v="4"/>
    <x v="2"/>
  </r>
  <r>
    <s v="TRIP04907"/>
    <x v="223"/>
    <x v="2"/>
    <s v="Chennai"/>
    <n v="3.16"/>
    <d v="1900-01-07T07:55:12"/>
    <n v="41.69"/>
    <n v="1.2"/>
    <n v="50.03"/>
    <n v="4.7"/>
    <x v="1"/>
    <x v="3"/>
  </r>
  <r>
    <s v="TRIP04908"/>
    <x v="108"/>
    <x v="0"/>
    <s v="Mumbai"/>
    <n v="9.2100000000000009"/>
    <d v="1900-01-25T14:38:24"/>
    <n v="125.97"/>
    <n v="2"/>
    <n v="251.94"/>
    <n v="4.9000000000000004"/>
    <x v="2"/>
    <x v="1"/>
  </r>
  <r>
    <s v="TRIP04909"/>
    <x v="286"/>
    <x v="1"/>
    <s v="Bangalore"/>
    <n v="19.96"/>
    <d v="1900-02-16T07:55:12"/>
    <n v="264.57"/>
    <n v="1.5"/>
    <n v="396.86"/>
    <n v="3.6"/>
    <x v="3"/>
    <x v="1"/>
  </r>
  <r>
    <s v="TRIP04910"/>
    <x v="230"/>
    <x v="2"/>
    <s v="Kolkata"/>
    <n v="8.69"/>
    <d v="1900-01-17T12:28:48"/>
    <n v="139.27000000000001"/>
    <n v="1.2"/>
    <n v="167.12"/>
    <n v="3.8"/>
    <x v="2"/>
    <x v="1"/>
  </r>
  <r>
    <s v="TRIP04911"/>
    <x v="0"/>
    <x v="3"/>
    <s v="Mumbai"/>
    <n v="24.82"/>
    <d v="1900-02-23T12:57:36"/>
    <n v="414.47"/>
    <n v="1.2"/>
    <n v="497.36"/>
    <n v="3.5"/>
    <x v="3"/>
    <x v="1"/>
  </r>
  <r>
    <s v="TRIP04912"/>
    <x v="185"/>
    <x v="0"/>
    <s v="Delhi"/>
    <n v="4.3"/>
    <d v="1900-01-10T07:26:24"/>
    <n v="46.9"/>
    <n v="1.5"/>
    <n v="70.349999999999994"/>
    <n v="3.8"/>
    <x v="3"/>
    <x v="0"/>
  </r>
  <r>
    <s v="TRIP04913"/>
    <x v="99"/>
    <x v="0"/>
    <s v="Kolkata"/>
    <n v="23.66"/>
    <d v="1900-03-21T12:43:12"/>
    <n v="362.71"/>
    <n v="1.5"/>
    <n v="544.05999999999995"/>
    <n v="3.1"/>
    <x v="3"/>
    <x v="3"/>
  </r>
  <r>
    <s v="TRIP04914"/>
    <x v="97"/>
    <x v="0"/>
    <s v="Bangalore"/>
    <n v="5.34"/>
    <d v="1900-01-18T15:07:12"/>
    <n v="68.33"/>
    <n v="1"/>
    <n v="68.33"/>
    <n v="3"/>
    <x v="2"/>
    <x v="3"/>
  </r>
  <r>
    <s v="TRIP04915"/>
    <x v="240"/>
    <x v="0"/>
    <s v="Mumbai"/>
    <n v="18.66"/>
    <d v="1900-02-27T23:31:12"/>
    <n v="235.15"/>
    <n v="2"/>
    <n v="470.3"/>
    <n v="3.6"/>
    <x v="2"/>
    <x v="1"/>
  </r>
  <r>
    <s v="TRIP04916"/>
    <x v="280"/>
    <x v="2"/>
    <s v="Mumbai"/>
    <n v="17.96"/>
    <d v="1900-03-03T22:04:48"/>
    <n v="314.86"/>
    <n v="2"/>
    <n v="629.72"/>
    <n v="4.5"/>
    <x v="0"/>
    <x v="1"/>
  </r>
  <r>
    <s v="TRIP04917"/>
    <x v="129"/>
    <x v="3"/>
    <s v="Delhi"/>
    <n v="14.88"/>
    <d v="1900-01-29T07:55:12"/>
    <n v="193.05"/>
    <n v="1"/>
    <n v="193.05"/>
    <n v="4.2"/>
    <x v="3"/>
    <x v="3"/>
  </r>
  <r>
    <s v="TRIP04918"/>
    <x v="11"/>
    <x v="3"/>
    <s v="Kolkata"/>
    <n v="14.43"/>
    <d v="1900-02-17T23:02:24"/>
    <n v="264.61"/>
    <n v="1.2"/>
    <n v="317.52999999999997"/>
    <n v="3.2"/>
    <x v="2"/>
    <x v="2"/>
  </r>
  <r>
    <s v="TRIP04919"/>
    <x v="294"/>
    <x v="4"/>
    <s v="Delhi"/>
    <n v="12.14"/>
    <d v="1900-01-27T23:02:24"/>
    <n v="139.19"/>
    <n v="1.5"/>
    <n v="208.78"/>
    <n v="4.0999999999999996"/>
    <x v="1"/>
    <x v="0"/>
  </r>
  <r>
    <s v="TRIP04920"/>
    <x v="203"/>
    <x v="3"/>
    <s v="Chennai"/>
    <n v="23.92"/>
    <d v="1900-03-21T12:28:48"/>
    <n v="285.58"/>
    <n v="1.5"/>
    <n v="428.37"/>
    <n v="4.2"/>
    <x v="2"/>
    <x v="3"/>
  </r>
  <r>
    <s v="TRIP04921"/>
    <x v="165"/>
    <x v="2"/>
    <s v="Delhi"/>
    <n v="13.29"/>
    <d v="1900-02-09T00:00:00"/>
    <n v="263.42"/>
    <n v="1.5"/>
    <n v="395.13"/>
    <n v="3.6"/>
    <x v="0"/>
    <x v="0"/>
  </r>
  <r>
    <s v="TRIP04922"/>
    <x v="200"/>
    <x v="4"/>
    <s v="Bangalore"/>
    <n v="1.86"/>
    <d v="1900-01-03T05:45:36"/>
    <n v="20.18"/>
    <n v="2"/>
    <n v="40.36"/>
    <n v="3.9"/>
    <x v="1"/>
    <x v="3"/>
  </r>
  <r>
    <s v="TRIP04923"/>
    <x v="260"/>
    <x v="4"/>
    <s v="Kolkata"/>
    <n v="5.51"/>
    <d v="1900-01-17T10:19:12"/>
    <n v="56.52"/>
    <n v="1"/>
    <n v="56.52"/>
    <n v="3.3"/>
    <x v="2"/>
    <x v="2"/>
  </r>
  <r>
    <s v="TRIP04924"/>
    <x v="108"/>
    <x v="2"/>
    <s v="Bangalore"/>
    <n v="10.85"/>
    <d v="1900-02-05T23:16:48"/>
    <n v="181.81"/>
    <n v="1.5"/>
    <n v="272.72000000000003"/>
    <n v="3.2"/>
    <x v="0"/>
    <x v="1"/>
  </r>
  <r>
    <s v="TRIP04925"/>
    <x v="272"/>
    <x v="2"/>
    <s v="Delhi"/>
    <n v="20.46"/>
    <d v="1900-03-16T17:45:36"/>
    <n v="408.07"/>
    <n v="1.2"/>
    <n v="489.68"/>
    <n v="4.4000000000000004"/>
    <x v="3"/>
    <x v="3"/>
  </r>
  <r>
    <s v="TRIP04926"/>
    <x v="283"/>
    <x v="3"/>
    <s v="Chennai"/>
    <n v="5.83"/>
    <d v="1900-01-14T10:19:12"/>
    <n v="64.34"/>
    <n v="1.2"/>
    <n v="77.209999999999994"/>
    <n v="3.9"/>
    <x v="0"/>
    <x v="3"/>
  </r>
  <r>
    <s v="TRIP04927"/>
    <x v="163"/>
    <x v="0"/>
    <s v="Delhi"/>
    <n v="29.3"/>
    <d v="1900-04-08T18:28:48"/>
    <n v="343.82"/>
    <n v="1"/>
    <n v="343.82"/>
    <n v="4"/>
    <x v="3"/>
    <x v="1"/>
  </r>
  <r>
    <s v="TRIP04928"/>
    <x v="4"/>
    <x v="0"/>
    <s v="Delhi"/>
    <n v="15.28"/>
    <d v="1900-02-14T22:19:12"/>
    <n v="157.56"/>
    <n v="1.2"/>
    <n v="189.07"/>
    <n v="4.5999999999999996"/>
    <x v="3"/>
    <x v="3"/>
  </r>
  <r>
    <s v="TRIP04929"/>
    <x v="230"/>
    <x v="1"/>
    <s v="Kolkata"/>
    <n v="23.12"/>
    <d v="1900-02-25T17:45:36"/>
    <n v="300.08"/>
    <n v="1.5"/>
    <n v="450.12"/>
    <n v="4.4000000000000004"/>
    <x v="2"/>
    <x v="2"/>
  </r>
  <r>
    <s v="TRIP04930"/>
    <x v="80"/>
    <x v="4"/>
    <s v="Kolkata"/>
    <n v="29.73"/>
    <d v="1900-03-08T11:45:36"/>
    <n v="435.05"/>
    <n v="1.2"/>
    <n v="522.05999999999995"/>
    <n v="3.6"/>
    <x v="4"/>
    <x v="0"/>
  </r>
  <r>
    <s v="TRIP04931"/>
    <x v="311"/>
    <x v="0"/>
    <s v="Bangalore"/>
    <n v="5.4"/>
    <d v="1900-01-10T00:28:48"/>
    <n v="107.62"/>
    <n v="1.5"/>
    <n v="161.43"/>
    <n v="3.1"/>
    <x v="1"/>
    <x v="3"/>
  </r>
  <r>
    <s v="TRIP04932"/>
    <x v="221"/>
    <x v="1"/>
    <s v="Mumbai"/>
    <n v="25.81"/>
    <d v="1900-03-17T08:09:36"/>
    <n v="507.11"/>
    <n v="1"/>
    <n v="507.11"/>
    <n v="4.3"/>
    <x v="0"/>
    <x v="3"/>
  </r>
  <r>
    <s v="TRIP04933"/>
    <x v="316"/>
    <x v="0"/>
    <s v="Delhi"/>
    <n v="6.61"/>
    <d v="1900-01-21T09:36:00"/>
    <n v="101.55"/>
    <n v="1.5"/>
    <n v="152.32"/>
    <n v="4.9000000000000004"/>
    <x v="0"/>
    <x v="0"/>
  </r>
  <r>
    <s v="TRIP04934"/>
    <x v="48"/>
    <x v="3"/>
    <s v="Kolkata"/>
    <n v="22.05"/>
    <d v="1900-02-14T00:14:24"/>
    <n v="397.47"/>
    <n v="1"/>
    <n v="397.47"/>
    <n v="4.0999999999999996"/>
    <x v="0"/>
    <x v="0"/>
  </r>
  <r>
    <s v="TRIP04935"/>
    <x v="356"/>
    <x v="1"/>
    <s v="Delhi"/>
    <n v="16.59"/>
    <d v="1900-02-21T12:00:00"/>
    <n v="190.7"/>
    <n v="1.5"/>
    <n v="286.05"/>
    <n v="5"/>
    <x v="4"/>
    <x v="3"/>
  </r>
  <r>
    <s v="TRIP04936"/>
    <x v="72"/>
    <x v="3"/>
    <s v="Bangalore"/>
    <n v="11.16"/>
    <d v="1900-01-23T08:38:24"/>
    <n v="129.44"/>
    <n v="1.5"/>
    <n v="194.16"/>
    <n v="3.9"/>
    <x v="2"/>
    <x v="1"/>
  </r>
  <r>
    <s v="TRIP04937"/>
    <x v="85"/>
    <x v="0"/>
    <s v="Kolkata"/>
    <n v="26.94"/>
    <d v="1900-03-04T23:31:12"/>
    <n v="381.52"/>
    <n v="1.2"/>
    <n v="457.82"/>
    <n v="4.5"/>
    <x v="2"/>
    <x v="2"/>
  </r>
  <r>
    <s v="TRIP04938"/>
    <x v="222"/>
    <x v="3"/>
    <s v="Delhi"/>
    <n v="2.4500000000000002"/>
    <d v="1900-01-04T20:38:24"/>
    <n v="29.66"/>
    <n v="2"/>
    <n v="59.32"/>
    <n v="3.1"/>
    <x v="3"/>
    <x v="1"/>
  </r>
  <r>
    <s v="TRIP04939"/>
    <x v="310"/>
    <x v="3"/>
    <s v="Mumbai"/>
    <n v="5.03"/>
    <d v="1900-01-11T19:12:00"/>
    <n v="58.74"/>
    <n v="1.5"/>
    <n v="88.11"/>
    <n v="3.5"/>
    <x v="1"/>
    <x v="1"/>
  </r>
  <r>
    <s v="TRIP04940"/>
    <x v="265"/>
    <x v="1"/>
    <s v="Mumbai"/>
    <n v="15.38"/>
    <d v="1900-02-18T04:19:12"/>
    <n v="204.75"/>
    <n v="1"/>
    <n v="204.75"/>
    <n v="3.9"/>
    <x v="2"/>
    <x v="2"/>
  </r>
  <r>
    <s v="TRIP04941"/>
    <x v="20"/>
    <x v="0"/>
    <s v="Kolkata"/>
    <n v="9.93"/>
    <d v="1900-01-31T19:26:24"/>
    <n v="114.23"/>
    <n v="1.5"/>
    <n v="171.34"/>
    <n v="4.2"/>
    <x v="4"/>
    <x v="1"/>
  </r>
  <r>
    <s v="TRIP04942"/>
    <x v="237"/>
    <x v="0"/>
    <s v="Chennai"/>
    <n v="24.68"/>
    <d v="1900-02-19T15:07:12"/>
    <n v="421.81"/>
    <n v="1.2"/>
    <n v="506.17"/>
    <n v="4.2"/>
    <x v="3"/>
    <x v="3"/>
  </r>
  <r>
    <s v="TRIP04943"/>
    <x v="174"/>
    <x v="1"/>
    <s v="Delhi"/>
    <n v="4.2699999999999996"/>
    <d v="1900-01-13T22:33:36"/>
    <n v="53.35"/>
    <n v="1"/>
    <n v="53.35"/>
    <n v="3.4"/>
    <x v="0"/>
    <x v="0"/>
  </r>
  <r>
    <s v="TRIP04944"/>
    <x v="4"/>
    <x v="2"/>
    <s v="Delhi"/>
    <n v="17.149999999999999"/>
    <d v="1900-03-06T09:36:00"/>
    <n v="201.7"/>
    <n v="1.2"/>
    <n v="242.04"/>
    <n v="4.8"/>
    <x v="4"/>
    <x v="0"/>
  </r>
  <r>
    <s v="TRIP04945"/>
    <x v="70"/>
    <x v="3"/>
    <s v="Delhi"/>
    <n v="20.55"/>
    <d v="1900-02-24T07:40:48"/>
    <n v="244.64"/>
    <n v="1"/>
    <n v="244.64"/>
    <n v="3.7"/>
    <x v="3"/>
    <x v="3"/>
  </r>
  <r>
    <s v="TRIP04946"/>
    <x v="123"/>
    <x v="1"/>
    <s v="Chennai"/>
    <n v="27.62"/>
    <d v="1900-02-23T18:57:36"/>
    <n v="384.78"/>
    <n v="2"/>
    <n v="769.56"/>
    <n v="3.2"/>
    <x v="4"/>
    <x v="2"/>
  </r>
  <r>
    <s v="TRIP04947"/>
    <x v="182"/>
    <x v="3"/>
    <s v="Delhi"/>
    <n v="12.23"/>
    <d v="1900-01-31T23:31:12"/>
    <n v="147.30000000000001"/>
    <n v="1"/>
    <n v="147.30000000000001"/>
    <n v="4.0999999999999996"/>
    <x v="4"/>
    <x v="2"/>
  </r>
  <r>
    <s v="TRIP04948"/>
    <x v="274"/>
    <x v="2"/>
    <s v="Kolkata"/>
    <n v="19.46"/>
    <d v="1900-03-13T04:48:00"/>
    <n v="201.39"/>
    <n v="1.5"/>
    <n v="302.08"/>
    <n v="4.3"/>
    <x v="4"/>
    <x v="3"/>
  </r>
  <r>
    <s v="TRIP04949"/>
    <x v="211"/>
    <x v="0"/>
    <s v="Kolkata"/>
    <n v="20.079999999999998"/>
    <d v="1900-02-23T02:52:48"/>
    <n v="340.46"/>
    <n v="1"/>
    <n v="340.46"/>
    <n v="4.3"/>
    <x v="3"/>
    <x v="3"/>
  </r>
  <r>
    <s v="TRIP04950"/>
    <x v="191"/>
    <x v="3"/>
    <s v="Mumbai"/>
    <n v="1.47"/>
    <d v="1900-01-04T08:38:24"/>
    <n v="17.190000000000001"/>
    <n v="1.2"/>
    <n v="20.63"/>
    <n v="4.9000000000000004"/>
    <x v="3"/>
    <x v="2"/>
  </r>
  <r>
    <s v="TRIP04951"/>
    <x v="50"/>
    <x v="3"/>
    <s v="Mumbai"/>
    <n v="6.97"/>
    <d v="1900-01-25T00:14:24"/>
    <n v="104.39"/>
    <n v="1.5"/>
    <n v="156.58000000000001"/>
    <n v="4.7"/>
    <x v="3"/>
    <x v="1"/>
  </r>
  <r>
    <s v="TRIP04952"/>
    <x v="338"/>
    <x v="0"/>
    <s v="Mumbai"/>
    <n v="10.9"/>
    <d v="1900-01-28T08:52:48"/>
    <n v="188.95"/>
    <n v="1.5"/>
    <n v="283.42"/>
    <n v="3.5"/>
    <x v="1"/>
    <x v="3"/>
  </r>
  <r>
    <s v="TRIP04953"/>
    <x v="60"/>
    <x v="0"/>
    <s v="Bangalore"/>
    <n v="24.42"/>
    <d v="1900-03-28T04:04:48"/>
    <n v="365.71"/>
    <n v="1.2"/>
    <n v="438.85"/>
    <n v="3.5"/>
    <x v="2"/>
    <x v="3"/>
  </r>
  <r>
    <s v="TRIP04954"/>
    <x v="321"/>
    <x v="1"/>
    <s v="Mumbai"/>
    <n v="15.77"/>
    <d v="1900-02-12T16:33:36"/>
    <n v="314.58999999999997"/>
    <n v="2"/>
    <n v="629.17999999999995"/>
    <n v="4.5999999999999996"/>
    <x v="1"/>
    <x v="2"/>
  </r>
  <r>
    <s v="TRIP04955"/>
    <x v="252"/>
    <x v="0"/>
    <s v="Chennai"/>
    <n v="20.69"/>
    <d v="1900-03-01T00:43:12"/>
    <n v="361.22"/>
    <n v="1.2"/>
    <n v="433.46"/>
    <n v="3.5"/>
    <x v="4"/>
    <x v="2"/>
  </r>
  <r>
    <s v="TRIP04956"/>
    <x v="4"/>
    <x v="2"/>
    <s v="Delhi"/>
    <n v="20.69"/>
    <d v="1900-03-22T05:31:12"/>
    <n v="207.42"/>
    <n v="1.2"/>
    <n v="248.9"/>
    <n v="4.5"/>
    <x v="0"/>
    <x v="1"/>
  </r>
  <r>
    <s v="TRIP04957"/>
    <x v="161"/>
    <x v="0"/>
    <s v="Chennai"/>
    <n v="26.04"/>
    <d v="1900-02-21T06:43:12"/>
    <n v="398.3"/>
    <n v="1"/>
    <n v="398.3"/>
    <n v="3"/>
    <x v="2"/>
    <x v="1"/>
  </r>
  <r>
    <s v="TRIP04958"/>
    <x v="133"/>
    <x v="2"/>
    <s v="Bangalore"/>
    <n v="9.9600000000000009"/>
    <d v="1900-02-03T04:04:48"/>
    <n v="193.7"/>
    <n v="1.2"/>
    <n v="232.44"/>
    <n v="3.6"/>
    <x v="3"/>
    <x v="0"/>
  </r>
  <r>
    <s v="TRIP04959"/>
    <x v="243"/>
    <x v="3"/>
    <s v="Bangalore"/>
    <n v="14.67"/>
    <d v="1900-02-17T04:19:12"/>
    <n v="282.95999999999998"/>
    <n v="1.2"/>
    <n v="339.55"/>
    <n v="3"/>
    <x v="0"/>
    <x v="2"/>
  </r>
  <r>
    <s v="TRIP04960"/>
    <x v="155"/>
    <x v="0"/>
    <s v="Chennai"/>
    <n v="2.94"/>
    <d v="1900-01-09T08:09:36"/>
    <n v="42.56"/>
    <n v="1.2"/>
    <n v="51.07"/>
    <n v="3.8"/>
    <x v="4"/>
    <x v="0"/>
  </r>
  <r>
    <s v="TRIP04961"/>
    <x v="113"/>
    <x v="3"/>
    <s v="Mumbai"/>
    <n v="25.73"/>
    <d v="1900-03-18T20:09:36"/>
    <n v="506.42"/>
    <n v="1.5"/>
    <n v="759.63"/>
    <n v="4"/>
    <x v="1"/>
    <x v="0"/>
  </r>
  <r>
    <s v="TRIP04962"/>
    <x v="173"/>
    <x v="0"/>
    <s v="Mumbai"/>
    <n v="22.21"/>
    <d v="1900-03-23T09:36:00"/>
    <n v="406.67"/>
    <n v="1"/>
    <n v="406.67"/>
    <n v="3.6"/>
    <x v="1"/>
    <x v="2"/>
  </r>
  <r>
    <s v="TRIP04963"/>
    <x v="363"/>
    <x v="4"/>
    <s v="Mumbai"/>
    <n v="26.07"/>
    <d v="1900-02-24T13:26:24"/>
    <n v="367.21"/>
    <n v="1.2"/>
    <n v="440.65"/>
    <n v="3.8"/>
    <x v="4"/>
    <x v="2"/>
  </r>
  <r>
    <s v="TRIP04964"/>
    <x v="350"/>
    <x v="3"/>
    <s v="Chennai"/>
    <n v="5.0199999999999996"/>
    <d v="1900-01-13T22:33:36"/>
    <n v="74.290000000000006"/>
    <n v="1.2"/>
    <n v="89.15"/>
    <n v="4.7"/>
    <x v="4"/>
    <x v="0"/>
  </r>
  <r>
    <s v="TRIP04965"/>
    <x v="43"/>
    <x v="0"/>
    <s v="Kolkata"/>
    <n v="1.01"/>
    <d v="1900-01-02T20:09:36"/>
    <n v="11.36"/>
    <n v="1.5"/>
    <n v="17.04"/>
    <n v="4.7"/>
    <x v="3"/>
    <x v="2"/>
  </r>
  <r>
    <s v="TRIP04966"/>
    <x v="167"/>
    <x v="0"/>
    <s v="Delhi"/>
    <n v="6.21"/>
    <d v="1900-01-21T09:21:36"/>
    <n v="98.09"/>
    <n v="1.2"/>
    <n v="117.71"/>
    <n v="4.0999999999999996"/>
    <x v="0"/>
    <x v="0"/>
  </r>
  <r>
    <s v="TRIP04967"/>
    <x v="215"/>
    <x v="2"/>
    <s v="Chennai"/>
    <n v="15.08"/>
    <d v="1900-02-27T15:21:36"/>
    <n v="275.43"/>
    <n v="1.5"/>
    <n v="413.14"/>
    <n v="3.1"/>
    <x v="4"/>
    <x v="0"/>
  </r>
  <r>
    <s v="TRIP04968"/>
    <x v="123"/>
    <x v="2"/>
    <s v="Mumbai"/>
    <n v="24.81"/>
    <d v="1900-02-21T22:19:12"/>
    <n v="481.76"/>
    <n v="1.5"/>
    <n v="722.64"/>
    <n v="4.2"/>
    <x v="0"/>
    <x v="1"/>
  </r>
  <r>
    <s v="TRIP04969"/>
    <x v="107"/>
    <x v="1"/>
    <s v="Kolkata"/>
    <n v="22.43"/>
    <d v="1900-03-06T17:16:48"/>
    <n v="242.79"/>
    <n v="1"/>
    <n v="242.79"/>
    <n v="4.3"/>
    <x v="0"/>
    <x v="2"/>
  </r>
  <r>
    <s v="TRIP04970"/>
    <x v="346"/>
    <x v="0"/>
    <s v="Bangalore"/>
    <n v="17.54"/>
    <d v="1900-02-13T08:52:48"/>
    <n v="217.87"/>
    <n v="1"/>
    <n v="217.87"/>
    <n v="5"/>
    <x v="4"/>
    <x v="3"/>
  </r>
  <r>
    <s v="TRIP04971"/>
    <x v="284"/>
    <x v="4"/>
    <s v="Chennai"/>
    <n v="13.37"/>
    <d v="1900-02-03T01:55:12"/>
    <n v="191.59"/>
    <n v="1.2"/>
    <n v="229.91"/>
    <n v="4.8"/>
    <x v="4"/>
    <x v="1"/>
  </r>
  <r>
    <s v="TRIP04972"/>
    <x v="336"/>
    <x v="2"/>
    <s v="Chennai"/>
    <n v="26.2"/>
    <d v="1900-02-22T10:33:36"/>
    <n v="300.16000000000003"/>
    <n v="1"/>
    <n v="300.16000000000003"/>
    <n v="4.2"/>
    <x v="1"/>
    <x v="0"/>
  </r>
  <r>
    <s v="TRIP04973"/>
    <x v="358"/>
    <x v="4"/>
    <s v="Bangalore"/>
    <n v="25.59"/>
    <d v="1900-02-19T18:00:00"/>
    <n v="419.96"/>
    <n v="1.5"/>
    <n v="629.94000000000005"/>
    <n v="4.7"/>
    <x v="4"/>
    <x v="0"/>
  </r>
  <r>
    <s v="TRIP04974"/>
    <x v="338"/>
    <x v="4"/>
    <s v="Kolkata"/>
    <n v="23.58"/>
    <d v="1900-03-10T17:45:36"/>
    <n v="285.95"/>
    <n v="1.5"/>
    <n v="428.92"/>
    <n v="4.5999999999999996"/>
    <x v="1"/>
    <x v="3"/>
  </r>
  <r>
    <s v="TRIP04975"/>
    <x v="81"/>
    <x v="1"/>
    <s v="Mumbai"/>
    <n v="6.51"/>
    <d v="1900-01-20T04:19:12"/>
    <n v="129.63"/>
    <n v="2"/>
    <n v="259.26"/>
    <n v="3.2"/>
    <x v="4"/>
    <x v="2"/>
  </r>
  <r>
    <s v="TRIP04976"/>
    <x v="54"/>
    <x v="1"/>
    <s v="Bangalore"/>
    <n v="29.95"/>
    <d v="1900-04-01T16:33:36"/>
    <n v="425.32"/>
    <n v="1.2"/>
    <n v="510.38"/>
    <n v="4"/>
    <x v="1"/>
    <x v="1"/>
  </r>
  <r>
    <s v="TRIP04977"/>
    <x v="224"/>
    <x v="0"/>
    <s v="Bangalore"/>
    <n v="3.83"/>
    <d v="1900-01-11T12:28:48"/>
    <n v="41.97"/>
    <n v="1.5"/>
    <n v="62.96"/>
    <n v="4.7"/>
    <x v="0"/>
    <x v="0"/>
  </r>
  <r>
    <s v="TRIP04978"/>
    <x v="84"/>
    <x v="0"/>
    <s v="Mumbai"/>
    <n v="16.88"/>
    <d v="1900-03-07T05:45:36"/>
    <n v="206.1"/>
    <n v="2"/>
    <n v="412.2"/>
    <n v="3.8"/>
    <x v="1"/>
    <x v="3"/>
  </r>
  <r>
    <s v="TRIP04979"/>
    <x v="236"/>
    <x v="0"/>
    <s v="Bangalore"/>
    <n v="29.02"/>
    <d v="1900-03-12T21:21:36"/>
    <n v="561.88"/>
    <n v="1"/>
    <n v="561.88"/>
    <n v="4.2"/>
    <x v="1"/>
    <x v="1"/>
  </r>
  <r>
    <s v="TRIP04980"/>
    <x v="16"/>
    <x v="1"/>
    <s v="Bangalore"/>
    <n v="12.76"/>
    <d v="1900-02-04T15:07:12"/>
    <n v="252.98"/>
    <n v="2"/>
    <n v="505.96"/>
    <n v="4.5999999999999996"/>
    <x v="2"/>
    <x v="2"/>
  </r>
  <r>
    <s v="TRIP04981"/>
    <x v="71"/>
    <x v="0"/>
    <s v="Delhi"/>
    <n v="26.77"/>
    <d v="1900-04-01T22:04:48"/>
    <n v="509.54"/>
    <n v="1.5"/>
    <n v="764.31"/>
    <n v="3.3"/>
    <x v="4"/>
    <x v="2"/>
  </r>
  <r>
    <s v="TRIP04982"/>
    <x v="295"/>
    <x v="3"/>
    <s v="Mumbai"/>
    <n v="22.66"/>
    <d v="1900-03-11T18:00:00"/>
    <n v="266.29000000000002"/>
    <n v="1"/>
    <n v="266.29000000000002"/>
    <n v="3.5"/>
    <x v="2"/>
    <x v="2"/>
  </r>
  <r>
    <s v="TRIP04983"/>
    <x v="141"/>
    <x v="4"/>
    <s v="Chennai"/>
    <n v="10.95"/>
    <d v="1900-02-01T04:19:12"/>
    <n v="203.11"/>
    <n v="1.5"/>
    <n v="304.67"/>
    <n v="3.1"/>
    <x v="1"/>
    <x v="2"/>
  </r>
  <r>
    <s v="TRIP04984"/>
    <x v="262"/>
    <x v="1"/>
    <s v="Delhi"/>
    <n v="2.38"/>
    <d v="1900-01-07T04:48:00"/>
    <n v="39.75"/>
    <n v="2"/>
    <n v="79.5"/>
    <n v="4.9000000000000004"/>
    <x v="3"/>
    <x v="3"/>
  </r>
  <r>
    <s v="TRIP04985"/>
    <x v="83"/>
    <x v="2"/>
    <s v="Bangalore"/>
    <n v="27.62"/>
    <d v="1900-02-23T23:16:48"/>
    <n v="431.78"/>
    <n v="1.5"/>
    <n v="647.66999999999996"/>
    <n v="3.8"/>
    <x v="2"/>
    <x v="0"/>
  </r>
  <r>
    <s v="TRIP04986"/>
    <x v="65"/>
    <x v="3"/>
    <s v="Mumbai"/>
    <n v="17.96"/>
    <d v="1900-02-17T14:38:24"/>
    <n v="197.36"/>
    <n v="1"/>
    <n v="197.36"/>
    <n v="5"/>
    <x v="0"/>
    <x v="1"/>
  </r>
  <r>
    <s v="TRIP04987"/>
    <x v="55"/>
    <x v="3"/>
    <s v="Chennai"/>
    <n v="1.48"/>
    <d v="1900-01-04T13:55:12"/>
    <n v="23.5"/>
    <n v="1.5"/>
    <n v="35.25"/>
    <n v="3.9"/>
    <x v="4"/>
    <x v="0"/>
  </r>
  <r>
    <s v="TRIP04988"/>
    <x v="58"/>
    <x v="4"/>
    <s v="Chennai"/>
    <n v="18.23"/>
    <d v="1900-02-05T18:14:24"/>
    <n v="324.49"/>
    <n v="2"/>
    <n v="648.98"/>
    <n v="4.5"/>
    <x v="2"/>
    <x v="3"/>
  </r>
  <r>
    <s v="TRIP04989"/>
    <x v="43"/>
    <x v="4"/>
    <s v="Mumbai"/>
    <n v="22.28"/>
    <d v="1900-03-22T17:45:36"/>
    <n v="358.87"/>
    <n v="1.2"/>
    <n v="430.64"/>
    <n v="4.7"/>
    <x v="0"/>
    <x v="0"/>
  </r>
  <r>
    <s v="TRIP04990"/>
    <x v="247"/>
    <x v="3"/>
    <s v="Bangalore"/>
    <n v="13.15"/>
    <d v="1900-02-16T04:19:12"/>
    <n v="143.41"/>
    <n v="2"/>
    <n v="286.82"/>
    <n v="4.2"/>
    <x v="1"/>
    <x v="0"/>
  </r>
  <r>
    <s v="TRIP04991"/>
    <x v="34"/>
    <x v="4"/>
    <s v="Mumbai"/>
    <n v="22.89"/>
    <d v="1900-03-20T11:02:24"/>
    <n v="242.76"/>
    <n v="1.5"/>
    <n v="364.14"/>
    <n v="4"/>
    <x v="1"/>
    <x v="2"/>
  </r>
  <r>
    <s v="TRIP04992"/>
    <x v="215"/>
    <x v="4"/>
    <s v="Mumbai"/>
    <n v="11.68"/>
    <d v="1900-01-31T23:02:24"/>
    <n v="208.07"/>
    <n v="2"/>
    <n v="416.14"/>
    <n v="4.2"/>
    <x v="2"/>
    <x v="0"/>
  </r>
  <r>
    <s v="TRIP04993"/>
    <x v="205"/>
    <x v="3"/>
    <s v="Chennai"/>
    <n v="1"/>
    <d v="1900-01-01T03:07:12"/>
    <n v="14.08"/>
    <n v="1.5"/>
    <n v="21.12"/>
    <n v="4.4000000000000004"/>
    <x v="1"/>
    <x v="2"/>
  </r>
  <r>
    <s v="TRIP04994"/>
    <x v="98"/>
    <x v="1"/>
    <s v="Chennai"/>
    <n v="17.079999999999998"/>
    <d v="1900-02-25T08:09:36"/>
    <n v="210"/>
    <n v="2"/>
    <n v="420"/>
    <n v="4.7"/>
    <x v="0"/>
    <x v="2"/>
  </r>
  <r>
    <s v="TRIP04995"/>
    <x v="94"/>
    <x v="2"/>
    <s v="Kolkata"/>
    <n v="26.85"/>
    <d v="1900-04-11T20:09:36"/>
    <n v="404.72"/>
    <n v="1.5"/>
    <n v="607.08000000000004"/>
    <n v="3.1"/>
    <x v="0"/>
    <x v="2"/>
  </r>
  <r>
    <s v="TRIP04996"/>
    <x v="36"/>
    <x v="2"/>
    <s v="Mumbai"/>
    <n v="5.55"/>
    <d v="1900-01-11T14:38:24"/>
    <n v="69.900000000000006"/>
    <n v="1.5"/>
    <n v="104.85"/>
    <n v="4.5"/>
    <x v="1"/>
    <x v="1"/>
  </r>
  <r>
    <s v="TRIP04997"/>
    <x v="79"/>
    <x v="3"/>
    <s v="Kolkata"/>
    <n v="26.83"/>
    <d v="1900-03-26T12:14:24"/>
    <n v="503.37"/>
    <n v="1"/>
    <n v="503.37"/>
    <n v="4.5"/>
    <x v="0"/>
    <x v="2"/>
  </r>
  <r>
    <s v="TRIP04998"/>
    <x v="71"/>
    <x v="0"/>
    <s v="Bangalore"/>
    <n v="14.44"/>
    <d v="1900-02-20T14:52:48"/>
    <n v="172.43"/>
    <n v="1"/>
    <n v="172.43"/>
    <n v="3.5"/>
    <x v="4"/>
    <x v="1"/>
  </r>
  <r>
    <s v="TRIP04999"/>
    <x v="49"/>
    <x v="2"/>
    <s v="Delhi"/>
    <n v="12.28"/>
    <d v="1900-01-31T01:55:12"/>
    <n v="139.41"/>
    <n v="1.2"/>
    <n v="167.29"/>
    <n v="3.1"/>
    <x v="1"/>
    <x v="1"/>
  </r>
  <r>
    <s v="TRIP05000"/>
    <x v="160"/>
    <x v="0"/>
    <s v="Kolkata"/>
    <n v="12.19"/>
    <d v="1900-02-07T19:12:00"/>
    <n v="187.28"/>
    <n v="2"/>
    <n v="374.56"/>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2279A-AE44-4336-912E-EFED0E42EC62}"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J9" firstHeaderRow="1" firstDataRow="1" firstDataCol="1"/>
  <pivotFields count="14">
    <pivotField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axis="axisRow" showAll="0">
      <items count="6">
        <item x="1"/>
        <item x="4"/>
        <item x="2"/>
        <item x="0"/>
        <item x="3"/>
        <item t="default"/>
      </items>
    </pivotField>
    <pivotField showAll="0"/>
    <pivotField numFmtId="2" showAll="0"/>
    <pivotField numFmtId="165" showAll="0"/>
    <pivotField numFmtId="166" showAll="0"/>
    <pivotField showAll="0"/>
    <pivotField dataField="1" numFmtId="166"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_Fare" fld="8"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5DC6B2-4472-4A99-8B03-63DE3A53D65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4">
    <pivotField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showAll="0"/>
    <pivotField showAll="0"/>
    <pivotField numFmtId="2" showAll="0"/>
    <pivotField numFmtId="165" showAll="0"/>
    <pivotField numFmtId="166" showAll="0"/>
    <pivotField showAll="0"/>
    <pivotField dataField="1" numFmtId="166"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_Fare" fld="8"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2D135-5CE4-43E1-9AAA-C79FE3ADD41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9:E32" firstHeaderRow="1" firstDataRow="1" firstDataCol="1"/>
  <pivotFields count="14">
    <pivotField dataField="1"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showAll="0"/>
    <pivotField showAll="0"/>
    <pivotField numFmtId="2" showAll="0"/>
    <pivotField numFmtId="165" showAll="0"/>
    <pivotField numFmtId="166" showAll="0"/>
    <pivotField showAll="0"/>
    <pivotField numFmtId="166"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Count of Trip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0EBD7E-3389-439D-A482-ACA9AB650172}"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7:J33" firstHeaderRow="1" firstDataRow="1" firstDataCol="1"/>
  <pivotFields count="14">
    <pivotField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showAll="0"/>
    <pivotField showAll="0"/>
    <pivotField numFmtId="2" showAll="0"/>
    <pivotField numFmtId="165" showAll="0"/>
    <pivotField numFmtId="166" showAll="0"/>
    <pivotField showAll="0"/>
    <pivotField dataField="1" numFmtId="166" showAll="0"/>
    <pivotField showAll="0"/>
    <pivotField axis="axisRow" showAll="0">
      <items count="6">
        <item x="2"/>
        <item x="3"/>
        <item x="0"/>
        <item x="4"/>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Average of Total_Fare" fld="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5AAEE6-ED75-4880-94AE-0BBEB7B8F9ED}"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0:J25" firstHeaderRow="1" firstDataRow="1" firstDataCol="1"/>
  <pivotFields count="14">
    <pivotField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showAll="0"/>
    <pivotField showAll="0"/>
    <pivotField numFmtId="2" showAll="0"/>
    <pivotField numFmtId="165" showAll="0"/>
    <pivotField numFmtId="166" showAll="0"/>
    <pivotField showAll="0"/>
    <pivotField dataField="1" numFmtId="166" showAll="0"/>
    <pivotField showAll="0"/>
    <pivotField showAll="0"/>
    <pivotField axis="axisRow" showAll="0">
      <items count="5">
        <item x="0"/>
        <item x="1"/>
        <item x="3"/>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Sum of Total_Fare" fld="8" baseField="0" baseItem="0" numFmtId="166"/>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963739-188C-4F2D-999C-CACE36292D9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F9" firstHeaderRow="0" firstDataRow="1" firstDataCol="1"/>
  <pivotFields count="14">
    <pivotField dataField="1"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axis="axisRow" showAll="0">
      <items count="6">
        <item x="1"/>
        <item x="4"/>
        <item x="2"/>
        <item x="0"/>
        <item x="3"/>
        <item t="default"/>
      </items>
    </pivotField>
    <pivotField showAll="0"/>
    <pivotField numFmtId="2" showAll="0"/>
    <pivotField numFmtId="165" showAll="0"/>
    <pivotField numFmtId="166" showAll="0"/>
    <pivotField showAll="0"/>
    <pivotField dataField="1" numFmtId="166"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Count of Trip_ID" fld="0" subtotal="count" baseField="0" baseItem="0"/>
    <dataField name="Average of Total_Fare" fld="8" subtotal="average"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91AED2-FC91-4AD0-9E9D-7BC63485625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4" firstHeaderRow="1" firstDataRow="1" firstDataCol="1"/>
  <pivotFields count="14">
    <pivotField dataField="1"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showAll="0"/>
    <pivotField showAll="0"/>
    <pivotField numFmtId="2" showAll="0"/>
    <pivotField numFmtId="165" showAll="0"/>
    <pivotField numFmtId="166" showAll="0"/>
    <pivotField showAll="0"/>
    <pivotField numFmtId="166" showAll="0"/>
    <pivotField showAll="0"/>
    <pivotField axis="axisRow" showAll="0">
      <items count="6">
        <item x="2"/>
        <item x="3"/>
        <item x="0"/>
        <item x="4"/>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Count of Tri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5476EE-BC9D-4FA5-B925-455395492E6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2" firstHeaderRow="1" firstDataRow="1" firstDataCol="1"/>
  <pivotFields count="14">
    <pivotField showAll="0"/>
    <pivotField numFmtId="164" showAll="0">
      <items count="366">
        <item x="78"/>
        <item x="27"/>
        <item x="205"/>
        <item x="59"/>
        <item x="204"/>
        <item x="303"/>
        <item x="260"/>
        <item x="190"/>
        <item x="35"/>
        <item x="221"/>
        <item x="301"/>
        <item x="61"/>
        <item x="48"/>
        <item x="103"/>
        <item x="122"/>
        <item x="333"/>
        <item x="151"/>
        <item x="135"/>
        <item x="192"/>
        <item x="229"/>
        <item x="6"/>
        <item x="98"/>
        <item x="87"/>
        <item x="181"/>
        <item x="132"/>
        <item x="111"/>
        <item x="170"/>
        <item x="349"/>
        <item x="157"/>
        <item x="362"/>
        <item x="165"/>
        <item x="134"/>
        <item x="169"/>
        <item x="88"/>
        <item x="17"/>
        <item x="198"/>
        <item x="348"/>
        <item x="112"/>
        <item x="121"/>
        <item x="163"/>
        <item x="244"/>
        <item x="322"/>
        <item x="326"/>
        <item x="240"/>
        <item x="272"/>
        <item x="289"/>
        <item x="281"/>
        <item x="16"/>
        <item x="220"/>
        <item x="182"/>
        <item x="5"/>
        <item x="274"/>
        <item x="191"/>
        <item x="9"/>
        <item x="346"/>
        <item x="327"/>
        <item x="234"/>
        <item x="171"/>
        <item x="179"/>
        <item x="295"/>
        <item x="97"/>
        <item x="118"/>
        <item x="14"/>
        <item x="342"/>
        <item x="158"/>
        <item x="91"/>
        <item x="352"/>
        <item x="210"/>
        <item x="55"/>
        <item x="108"/>
        <item x="334"/>
        <item x="307"/>
        <item x="287"/>
        <item x="350"/>
        <item x="297"/>
        <item x="174"/>
        <item x="197"/>
        <item x="99"/>
        <item x="217"/>
        <item x="187"/>
        <item x="329"/>
        <item x="82"/>
        <item x="212"/>
        <item x="257"/>
        <item x="201"/>
        <item x="56"/>
        <item x="138"/>
        <item x="224"/>
        <item x="54"/>
        <item x="62"/>
        <item x="248"/>
        <item x="213"/>
        <item x="254"/>
        <item x="110"/>
        <item x="318"/>
        <item x="25"/>
        <item x="285"/>
        <item x="92"/>
        <item x="161"/>
        <item x="200"/>
        <item x="60"/>
        <item x="150"/>
        <item x="0"/>
        <item x="119"/>
        <item x="277"/>
        <item x="51"/>
        <item x="188"/>
        <item x="155"/>
        <item x="202"/>
        <item x="128"/>
        <item x="95"/>
        <item x="298"/>
        <item x="268"/>
        <item x="136"/>
        <item x="144"/>
        <item x="23"/>
        <item x="246"/>
        <item x="232"/>
        <item x="104"/>
        <item x="36"/>
        <item x="270"/>
        <item x="69"/>
        <item x="162"/>
        <item x="250"/>
        <item x="237"/>
        <item x="28"/>
        <item x="127"/>
        <item x="39"/>
        <item x="53"/>
        <item x="114"/>
        <item x="154"/>
        <item x="227"/>
        <item x="94"/>
        <item x="290"/>
        <item x="353"/>
        <item x="324"/>
        <item x="292"/>
        <item x="238"/>
        <item x="218"/>
        <item x="264"/>
        <item x="74"/>
        <item x="49"/>
        <item x="335"/>
        <item x="68"/>
        <item x="172"/>
        <item x="159"/>
        <item x="32"/>
        <item x="360"/>
        <item x="129"/>
        <item x="133"/>
        <item x="284"/>
        <item x="109"/>
        <item x="120"/>
        <item x="149"/>
        <item x="164"/>
        <item x="196"/>
        <item x="363"/>
        <item x="40"/>
        <item x="123"/>
        <item x="276"/>
        <item x="3"/>
        <item x="291"/>
        <item x="207"/>
        <item x="148"/>
        <item x="24"/>
        <item x="93"/>
        <item x="282"/>
        <item x="70"/>
        <item x="339"/>
        <item x="4"/>
        <item x="126"/>
        <item x="222"/>
        <item x="214"/>
        <item x="358"/>
        <item x="265"/>
        <item x="310"/>
        <item x="64"/>
        <item x="113"/>
        <item x="19"/>
        <item x="306"/>
        <item x="147"/>
        <item x="73"/>
        <item x="354"/>
        <item x="267"/>
        <item x="331"/>
        <item x="184"/>
        <item x="67"/>
        <item x="141"/>
        <item x="305"/>
        <item x="65"/>
        <item x="225"/>
        <item x="308"/>
        <item x="167"/>
        <item x="355"/>
        <item x="142"/>
        <item x="63"/>
        <item x="296"/>
        <item x="30"/>
        <item x="193"/>
        <item x="152"/>
        <item x="245"/>
        <item x="10"/>
        <item x="29"/>
        <item x="57"/>
        <item x="345"/>
        <item x="336"/>
        <item x="180"/>
        <item x="266"/>
        <item x="226"/>
        <item x="344"/>
        <item x="243"/>
        <item x="81"/>
        <item x="239"/>
        <item x="102"/>
        <item x="1"/>
        <item x="300"/>
        <item x="72"/>
        <item x="125"/>
        <item x="286"/>
        <item x="219"/>
        <item x="194"/>
        <item x="58"/>
        <item x="45"/>
        <item x="84"/>
        <item x="185"/>
        <item x="143"/>
        <item x="77"/>
        <item x="183"/>
        <item x="302"/>
        <item x="314"/>
        <item x="15"/>
        <item x="216"/>
        <item x="105"/>
        <item x="340"/>
        <item x="275"/>
        <item x="106"/>
        <item x="146"/>
        <item x="177"/>
        <item x="100"/>
        <item x="321"/>
        <item x="255"/>
        <item x="83"/>
        <item x="20"/>
        <item x="309"/>
        <item x="262"/>
        <item x="145"/>
        <item x="139"/>
        <item x="235"/>
        <item x="206"/>
        <item x="330"/>
        <item x="90"/>
        <item x="11"/>
        <item x="44"/>
        <item x="211"/>
        <item x="18"/>
        <item x="343"/>
        <item x="101"/>
        <item x="223"/>
        <item x="89"/>
        <item x="269"/>
        <item x="124"/>
        <item x="312"/>
        <item x="140"/>
        <item x="8"/>
        <item x="7"/>
        <item x="208"/>
        <item x="359"/>
        <item x="251"/>
        <item x="156"/>
        <item x="117"/>
        <item x="283"/>
        <item x="364"/>
        <item x="263"/>
        <item x="337"/>
        <item x="249"/>
        <item x="319"/>
        <item x="41"/>
        <item x="332"/>
        <item x="323"/>
        <item x="12"/>
        <item x="315"/>
        <item x="278"/>
        <item x="85"/>
        <item x="21"/>
        <item x="168"/>
        <item x="357"/>
        <item x="304"/>
        <item x="273"/>
        <item x="38"/>
        <item x="361"/>
        <item x="130"/>
        <item x="195"/>
        <item x="299"/>
        <item x="189"/>
        <item x="26"/>
        <item x="116"/>
        <item x="241"/>
        <item x="34"/>
        <item x="47"/>
        <item x="178"/>
        <item x="13"/>
        <item x="242"/>
        <item x="311"/>
        <item x="42"/>
        <item x="160"/>
        <item x="280"/>
        <item x="271"/>
        <item x="215"/>
        <item x="2"/>
        <item x="228"/>
        <item x="86"/>
        <item x="75"/>
        <item x="259"/>
        <item x="176"/>
        <item x="107"/>
        <item x="186"/>
        <item x="76"/>
        <item x="175"/>
        <item x="231"/>
        <item x="173"/>
        <item x="209"/>
        <item x="351"/>
        <item x="279"/>
        <item x="252"/>
        <item x="338"/>
        <item x="31"/>
        <item x="325"/>
        <item x="153"/>
        <item x="341"/>
        <item x="79"/>
        <item x="316"/>
        <item x="253"/>
        <item x="317"/>
        <item x="115"/>
        <item x="258"/>
        <item x="230"/>
        <item x="313"/>
        <item x="33"/>
        <item x="71"/>
        <item x="37"/>
        <item x="236"/>
        <item x="46"/>
        <item x="256"/>
        <item x="166"/>
        <item x="347"/>
        <item x="52"/>
        <item x="131"/>
        <item x="22"/>
        <item x="43"/>
        <item x="50"/>
        <item x="356"/>
        <item x="328"/>
        <item x="203"/>
        <item x="293"/>
        <item x="247"/>
        <item x="233"/>
        <item x="80"/>
        <item x="288"/>
        <item x="137"/>
        <item x="96"/>
        <item x="66"/>
        <item x="199"/>
        <item x="261"/>
        <item x="294"/>
        <item x="320"/>
        <item t="default"/>
      </items>
    </pivotField>
    <pivotField axis="axisRow" showAll="0">
      <items count="6">
        <item x="1"/>
        <item x="4"/>
        <item x="2"/>
        <item x="0"/>
        <item x="3"/>
        <item t="default"/>
      </items>
    </pivotField>
    <pivotField showAll="0"/>
    <pivotField numFmtId="2" showAll="0"/>
    <pivotField numFmtId="165" showAll="0"/>
    <pivotField numFmtId="166" showAll="0"/>
    <pivotField showAll="0"/>
    <pivotField dataField="1" numFmtId="166"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Average of Total_Fare" fld="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E3A11D-F204-45AB-8F4B-4F216DA4FCAE}" autoFormatId="16" applyNumberFormats="0" applyBorderFormats="0" applyFontFormats="0" applyPatternFormats="0" applyAlignmentFormats="0" applyWidthHeightFormats="0">
  <queryTableRefresh nextId="13">
    <queryTableFields count="12">
      <queryTableField id="1" name="Trip_ID" tableColumnId="1"/>
      <queryTableField id="2" name="Date" tableColumnId="2"/>
      <queryTableField id="3" name="Pickup_City" tableColumnId="3"/>
      <queryTableField id="4" name="Drop_City" tableColumnId="4"/>
      <queryTableField id="5" name="Distance_km" tableColumnId="5"/>
      <queryTableField id="6" name="Duration_min" tableColumnId="6"/>
      <queryTableField id="7" name="Base_Fare" tableColumnId="7"/>
      <queryTableField id="8" name="Surge_Multiplier" tableColumnId="8"/>
      <queryTableField id="9" name="Total_Fare" tableColumnId="9"/>
      <queryTableField id="10" name="Customer_Rating" tableColumnId="10"/>
      <queryTableField id="11" name="Vehicle_Type" tableColumnId="11"/>
      <queryTableField id="12" name="Payment_Metho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City" xr10:uid="{66675563-F385-44F1-8613-ECD271BEE04A}" sourceName="Pickup_City">
  <pivotTables>
    <pivotTable tabId="3" name="PivotTable27"/>
  </pivotTables>
  <data>
    <tabular pivotCacheId="1807530719">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City1" xr10:uid="{552291C9-21C8-476E-99F0-C6ED8F932FCC}" sourceName="Pickup_City">
  <pivotTables>
    <pivotTable tabId="3" name="PivotTable34"/>
  </pivotTables>
  <data>
    <tabular pivotCacheId="1807530719">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_City" xr10:uid="{121C22C5-7DFA-4F8E-BC4D-C8DA4FF86B3A}" cache="Slicer_Pickup_City" caption="Pickup_City" rowHeight="247650"/>
  <slicer name="Pickup_City 1" xr10:uid="{B282B87B-390C-4C0C-BC80-4A6FEDBB2030}" cache="Slicer_Pickup_City1" caption="Pickup_City" startItem="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94B062-1E58-4C27-9DFF-ECFACC204976}" name="uber_trip_analysis_5000_rows" displayName="uber_trip_analysis_5000_rows" ref="A1:L5001" tableType="queryTable" totalsRowShown="0">
  <tableColumns count="12">
    <tableColumn id="1" xr3:uid="{7A18A758-4B6B-4BA7-9B8A-F89CE721024A}" uniqueName="1" name="Trip_ID" queryTableFieldId="1" dataDxfId="10"/>
    <tableColumn id="2" xr3:uid="{DADD46F8-8E77-46AA-AE1D-FB2253F1FF2B}" uniqueName="2" name="Date" queryTableFieldId="2" dataDxfId="9"/>
    <tableColumn id="3" xr3:uid="{9E400BD1-07EB-4488-864E-0EB287AE2605}" uniqueName="3" name="Pickup_City" queryTableFieldId="3" dataDxfId="8"/>
    <tableColumn id="4" xr3:uid="{FF849277-9A27-4887-8E24-2ECFFF19AB6A}" uniqueName="4" name="Drop_City" queryTableFieldId="4" dataDxfId="7"/>
    <tableColumn id="5" xr3:uid="{9CE44B64-EBAB-4077-A921-69E638AC1DCC}" uniqueName="5" name="Distance_km" queryTableFieldId="5" dataDxfId="6"/>
    <tableColumn id="6" xr3:uid="{36E4CC2C-DED5-4601-BD2A-BED829A3C804}" uniqueName="6" name="Duration_min" queryTableFieldId="6" dataDxfId="5"/>
    <tableColumn id="7" xr3:uid="{623261AC-9914-4E43-ABBF-14A3E1A23DCC}" uniqueName="7" name="Base_Fare" queryTableFieldId="7" dataDxfId="4"/>
    <tableColumn id="8" xr3:uid="{2AEA4590-D07F-4AA8-9120-9201EAD35011}" uniqueName="8" name="Surge_Multiplier" queryTableFieldId="8"/>
    <tableColumn id="9" xr3:uid="{300491F1-D0EA-4054-8131-470E6FF39C5B}" uniqueName="9" name="Total_Fare" queryTableFieldId="9" dataDxfId="3"/>
    <tableColumn id="10" xr3:uid="{F6B2CE57-AE7A-4F91-B4EE-9E6D0463A6E0}" uniqueName="10" name="Customer_Rating" queryTableFieldId="10" dataDxfId="2"/>
    <tableColumn id="11" xr3:uid="{3D53DF48-5C17-452D-B55F-6AD640C65528}" uniqueName="11" name="Vehicle_Type" queryTableFieldId="11" dataDxfId="1"/>
    <tableColumn id="12" xr3:uid="{82D1AB81-AE61-4F7A-9ED6-AD08FDC19B74}" uniqueName="12" name="Payment_Method"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2C197-7642-440B-BE30-45538A6F10A0}">
  <dimension ref="A1:M33"/>
  <sheetViews>
    <sheetView tabSelected="1" workbookViewId="0">
      <selection activeCell="G35" sqref="G35"/>
    </sheetView>
  </sheetViews>
  <sheetFormatPr defaultRowHeight="14.4" x14ac:dyDescent="0.3"/>
  <cols>
    <col min="1" max="1" width="12.44140625" bestFit="1" customWidth="1"/>
    <col min="2" max="2" width="18.5546875" bestFit="1" customWidth="1"/>
    <col min="3" max="3" width="2.5546875" customWidth="1"/>
    <col min="4" max="4" width="12.44140625" bestFit="1" customWidth="1"/>
    <col min="5" max="5" width="14" bestFit="1" customWidth="1"/>
    <col min="6" max="6" width="18.5546875" bestFit="1" customWidth="1"/>
    <col min="7" max="7" width="12.44140625" bestFit="1" customWidth="1"/>
    <col min="8" max="8" width="18.109375" customWidth="1"/>
    <col min="9" max="9" width="12.44140625" bestFit="1" customWidth="1"/>
    <col min="10" max="10" width="15.6640625" bestFit="1" customWidth="1"/>
    <col min="11" max="11" width="19.5546875" bestFit="1" customWidth="1"/>
    <col min="12" max="12" width="11.44140625" bestFit="1" customWidth="1"/>
    <col min="13" max="13" width="6.33203125" customWidth="1"/>
    <col min="14" max="14" width="5.6640625" customWidth="1"/>
    <col min="15" max="15" width="7" customWidth="1"/>
    <col min="16" max="16" width="20.109375" bestFit="1" customWidth="1"/>
  </cols>
  <sheetData>
    <row r="1" spans="1:13" x14ac:dyDescent="0.3">
      <c r="A1" s="10" t="s">
        <v>5050</v>
      </c>
      <c r="B1" s="11"/>
      <c r="C1" s="11"/>
      <c r="D1" s="11"/>
      <c r="E1" s="11"/>
      <c r="F1" s="11"/>
      <c r="G1" s="11"/>
      <c r="H1" s="11"/>
      <c r="I1" s="11"/>
      <c r="J1" s="11"/>
      <c r="K1" s="11"/>
      <c r="L1" s="11"/>
      <c r="M1" s="11"/>
    </row>
    <row r="2" spans="1:13" ht="44.4" customHeight="1" x14ac:dyDescent="0.3">
      <c r="A2" s="11"/>
      <c r="B2" s="11"/>
      <c r="C2" s="11"/>
      <c r="D2" s="11"/>
      <c r="E2" s="11"/>
      <c r="F2" s="11"/>
      <c r="G2" s="11"/>
      <c r="H2" s="11"/>
      <c r="I2" s="11"/>
      <c r="J2" s="11"/>
      <c r="K2" s="11"/>
      <c r="L2" s="11"/>
      <c r="M2" s="11"/>
    </row>
    <row r="3" spans="1:13" x14ac:dyDescent="0.3">
      <c r="A3" s="5" t="s">
        <v>5027</v>
      </c>
      <c r="B3" t="s">
        <v>5029</v>
      </c>
      <c r="D3" s="5" t="s">
        <v>5027</v>
      </c>
      <c r="E3" t="s">
        <v>5026</v>
      </c>
      <c r="F3" t="s">
        <v>5037</v>
      </c>
      <c r="I3" s="5" t="s">
        <v>5027</v>
      </c>
      <c r="J3" t="s">
        <v>5029</v>
      </c>
    </row>
    <row r="4" spans="1:13" x14ac:dyDescent="0.3">
      <c r="A4" s="6" t="s">
        <v>5038</v>
      </c>
      <c r="B4" s="4">
        <v>139816.71999999988</v>
      </c>
      <c r="D4" s="6" t="s">
        <v>14</v>
      </c>
      <c r="E4" s="12">
        <v>1033</v>
      </c>
      <c r="F4" s="4">
        <v>340.71180058083286</v>
      </c>
      <c r="I4" s="6" t="s">
        <v>14</v>
      </c>
      <c r="J4" s="9">
        <v>351955.29000000033</v>
      </c>
    </row>
    <row r="5" spans="1:13" x14ac:dyDescent="0.3">
      <c r="A5" s="6" t="s">
        <v>5039</v>
      </c>
      <c r="B5" s="4">
        <v>127203.38000000011</v>
      </c>
      <c r="D5" s="6" t="s">
        <v>22</v>
      </c>
      <c r="E5" s="12">
        <v>959</v>
      </c>
      <c r="F5" s="4">
        <v>338.89250260688215</v>
      </c>
      <c r="I5" s="6" t="s">
        <v>22</v>
      </c>
      <c r="J5" s="9">
        <v>324997.90999999997</v>
      </c>
    </row>
    <row r="6" spans="1:13" x14ac:dyDescent="0.3">
      <c r="A6" s="6" t="s">
        <v>5040</v>
      </c>
      <c r="B6" s="4">
        <v>144028.32000000004</v>
      </c>
      <c r="D6" s="6" t="s">
        <v>21</v>
      </c>
      <c r="E6" s="12">
        <v>995</v>
      </c>
      <c r="F6" s="4">
        <v>329.46910552763802</v>
      </c>
      <c r="I6" s="6" t="s">
        <v>21</v>
      </c>
      <c r="J6" s="9">
        <v>327821.75999999983</v>
      </c>
    </row>
    <row r="7" spans="1:13" x14ac:dyDescent="0.3">
      <c r="A7" s="6" t="s">
        <v>5041</v>
      </c>
      <c r="B7" s="4">
        <v>129651.03</v>
      </c>
      <c r="D7" s="6" t="s">
        <v>13</v>
      </c>
      <c r="E7" s="12">
        <v>1027</v>
      </c>
      <c r="F7" s="4">
        <v>328.21237585199663</v>
      </c>
      <c r="I7" s="6" t="s">
        <v>13</v>
      </c>
      <c r="J7" s="9">
        <v>337074.11000000051</v>
      </c>
    </row>
    <row r="8" spans="1:13" x14ac:dyDescent="0.3">
      <c r="A8" s="6" t="s">
        <v>5042</v>
      </c>
      <c r="B8" s="4">
        <v>142220.98999999985</v>
      </c>
      <c r="D8" s="6" t="s">
        <v>25</v>
      </c>
      <c r="E8" s="12">
        <v>986</v>
      </c>
      <c r="F8" s="4">
        <v>338.45705882352934</v>
      </c>
      <c r="I8" s="6" t="s">
        <v>25</v>
      </c>
      <c r="J8" s="9">
        <v>333718.65999999992</v>
      </c>
    </row>
    <row r="9" spans="1:13" x14ac:dyDescent="0.3">
      <c r="A9" s="6" t="s">
        <v>5043</v>
      </c>
      <c r="B9" s="4">
        <v>130361.6599999999</v>
      </c>
      <c r="D9" s="6" t="s">
        <v>5028</v>
      </c>
      <c r="E9" s="12">
        <v>5000</v>
      </c>
      <c r="F9" s="4">
        <v>335.11354600000072</v>
      </c>
      <c r="I9" s="6" t="s">
        <v>5028</v>
      </c>
      <c r="J9" s="9">
        <v>1675567.7300000007</v>
      </c>
    </row>
    <row r="10" spans="1:13" x14ac:dyDescent="0.3">
      <c r="A10" s="6" t="s">
        <v>5044</v>
      </c>
      <c r="B10" s="4">
        <v>134719.03999999989</v>
      </c>
    </row>
    <row r="11" spans="1:13" x14ac:dyDescent="0.3">
      <c r="A11" s="6" t="s">
        <v>5045</v>
      </c>
      <c r="B11" s="4">
        <v>157592.71999999991</v>
      </c>
    </row>
    <row r="12" spans="1:13" x14ac:dyDescent="0.3">
      <c r="A12" s="6" t="s">
        <v>5046</v>
      </c>
      <c r="B12" s="4">
        <v>134572.21</v>
      </c>
    </row>
    <row r="13" spans="1:13" x14ac:dyDescent="0.3">
      <c r="A13" s="6" t="s">
        <v>5047</v>
      </c>
      <c r="B13" s="4">
        <v>142591.86000000007</v>
      </c>
    </row>
    <row r="14" spans="1:13" x14ac:dyDescent="0.3">
      <c r="A14" s="6" t="s">
        <v>5048</v>
      </c>
      <c r="B14" s="4">
        <v>144708.56000000008</v>
      </c>
    </row>
    <row r="15" spans="1:13" x14ac:dyDescent="0.3">
      <c r="A15" s="6" t="s">
        <v>5049</v>
      </c>
      <c r="B15" s="4">
        <v>148101.23999999993</v>
      </c>
    </row>
    <row r="16" spans="1:13" x14ac:dyDescent="0.3">
      <c r="A16" s="6" t="s">
        <v>5028</v>
      </c>
      <c r="B16" s="4">
        <v>1675567.7299999997</v>
      </c>
    </row>
    <row r="18" spans="1:10" x14ac:dyDescent="0.3">
      <c r="A18" s="5" t="s">
        <v>5027</v>
      </c>
      <c r="B18" t="s">
        <v>5026</v>
      </c>
    </row>
    <row r="19" spans="1:10" x14ac:dyDescent="0.3">
      <c r="A19" s="6" t="s">
        <v>30</v>
      </c>
      <c r="B19">
        <v>961</v>
      </c>
      <c r="D19" s="5" t="s">
        <v>5027</v>
      </c>
      <c r="E19" t="s">
        <v>5026</v>
      </c>
    </row>
    <row r="20" spans="1:10" x14ac:dyDescent="0.3">
      <c r="A20" s="6" t="s">
        <v>33</v>
      </c>
      <c r="B20">
        <v>996</v>
      </c>
      <c r="D20" s="6" t="s">
        <v>5038</v>
      </c>
      <c r="E20">
        <v>400</v>
      </c>
      <c r="I20" s="5" t="s">
        <v>5027</v>
      </c>
      <c r="J20" t="s">
        <v>5029</v>
      </c>
    </row>
    <row r="21" spans="1:10" x14ac:dyDescent="0.3">
      <c r="A21" s="6" t="s">
        <v>15</v>
      </c>
      <c r="B21">
        <v>1056</v>
      </c>
      <c r="D21" s="6" t="s">
        <v>5039</v>
      </c>
      <c r="E21">
        <v>374</v>
      </c>
      <c r="I21" s="6" t="s">
        <v>16</v>
      </c>
      <c r="J21" s="4">
        <v>396724.35000000056</v>
      </c>
    </row>
    <row r="22" spans="1:10" x14ac:dyDescent="0.3">
      <c r="A22" s="6" t="s">
        <v>36</v>
      </c>
      <c r="B22">
        <v>1020</v>
      </c>
      <c r="D22" s="6" t="s">
        <v>5040</v>
      </c>
      <c r="E22">
        <v>428</v>
      </c>
      <c r="I22" s="6" t="s">
        <v>19</v>
      </c>
      <c r="J22" s="4">
        <v>411099.17000000068</v>
      </c>
    </row>
    <row r="23" spans="1:10" x14ac:dyDescent="0.3">
      <c r="A23" s="6" t="s">
        <v>18</v>
      </c>
      <c r="B23">
        <v>967</v>
      </c>
      <c r="D23" s="6" t="s">
        <v>5041</v>
      </c>
      <c r="E23">
        <v>404</v>
      </c>
      <c r="I23" s="6" t="s">
        <v>28</v>
      </c>
      <c r="J23" s="4">
        <v>439297.13000000064</v>
      </c>
    </row>
    <row r="24" spans="1:10" x14ac:dyDescent="0.3">
      <c r="A24" s="6" t="s">
        <v>5028</v>
      </c>
      <c r="B24">
        <v>5000</v>
      </c>
      <c r="D24" s="6" t="s">
        <v>5042</v>
      </c>
      <c r="E24">
        <v>412</v>
      </c>
      <c r="I24" s="6" t="s">
        <v>26</v>
      </c>
      <c r="J24" s="4">
        <v>428447.08</v>
      </c>
    </row>
    <row r="25" spans="1:10" x14ac:dyDescent="0.3">
      <c r="D25" s="6" t="s">
        <v>5043</v>
      </c>
      <c r="E25">
        <v>416</v>
      </c>
      <c r="I25" s="6" t="s">
        <v>5028</v>
      </c>
      <c r="J25" s="4">
        <v>1675567.7300000018</v>
      </c>
    </row>
    <row r="26" spans="1:10" x14ac:dyDescent="0.3">
      <c r="A26" s="5" t="s">
        <v>5027</v>
      </c>
      <c r="B26" t="s">
        <v>5037</v>
      </c>
      <c r="D26" s="6" t="s">
        <v>5044</v>
      </c>
      <c r="E26">
        <v>395</v>
      </c>
    </row>
    <row r="27" spans="1:10" x14ac:dyDescent="0.3">
      <c r="A27" s="6" t="s">
        <v>14</v>
      </c>
      <c r="B27" s="4">
        <v>340.71180058083286</v>
      </c>
      <c r="D27" s="6" t="s">
        <v>5045</v>
      </c>
      <c r="E27">
        <v>461</v>
      </c>
      <c r="I27" s="5" t="s">
        <v>5027</v>
      </c>
      <c r="J27" t="s">
        <v>5037</v>
      </c>
    </row>
    <row r="28" spans="1:10" x14ac:dyDescent="0.3">
      <c r="A28" s="6" t="s">
        <v>22</v>
      </c>
      <c r="B28" s="4">
        <v>338.89250260688215</v>
      </c>
      <c r="D28" s="6" t="s">
        <v>5046</v>
      </c>
      <c r="E28">
        <v>421</v>
      </c>
      <c r="I28" s="6" t="s">
        <v>30</v>
      </c>
      <c r="J28" s="4">
        <v>332.9461394380852</v>
      </c>
    </row>
    <row r="29" spans="1:10" x14ac:dyDescent="0.3">
      <c r="A29" s="6" t="s">
        <v>21</v>
      </c>
      <c r="B29" s="4">
        <v>329.46910552763802</v>
      </c>
      <c r="D29" s="6" t="s">
        <v>5047</v>
      </c>
      <c r="E29">
        <v>422</v>
      </c>
      <c r="I29" s="6" t="s">
        <v>33</v>
      </c>
      <c r="J29" s="4">
        <v>333.63779116465884</v>
      </c>
    </row>
    <row r="30" spans="1:10" x14ac:dyDescent="0.3">
      <c r="A30" s="6" t="s">
        <v>13</v>
      </c>
      <c r="B30" s="4">
        <v>328.21237585199663</v>
      </c>
      <c r="D30" s="6" t="s">
        <v>5048</v>
      </c>
      <c r="E30">
        <v>435</v>
      </c>
      <c r="I30" s="6" t="s">
        <v>15</v>
      </c>
      <c r="J30" s="4">
        <v>340.7986458333333</v>
      </c>
    </row>
    <row r="31" spans="1:10" x14ac:dyDescent="0.3">
      <c r="A31" s="6" t="s">
        <v>25</v>
      </c>
      <c r="B31" s="4">
        <v>338.45705882352934</v>
      </c>
      <c r="D31" s="6" t="s">
        <v>5049</v>
      </c>
      <c r="E31">
        <v>432</v>
      </c>
      <c r="I31" s="6" t="s">
        <v>36</v>
      </c>
      <c r="J31" s="4">
        <v>337.58080392156887</v>
      </c>
    </row>
    <row r="32" spans="1:10" x14ac:dyDescent="0.3">
      <c r="A32" s="6" t="s">
        <v>5028</v>
      </c>
      <c r="B32" s="4">
        <v>335.11354600000072</v>
      </c>
      <c r="D32" s="6" t="s">
        <v>5028</v>
      </c>
      <c r="E32">
        <v>5000</v>
      </c>
      <c r="I32" s="6" t="s">
        <v>18</v>
      </c>
      <c r="J32" s="4">
        <v>329.97669079627735</v>
      </c>
    </row>
    <row r="33" spans="9:10" x14ac:dyDescent="0.3">
      <c r="I33" s="6" t="s">
        <v>5028</v>
      </c>
      <c r="J33" s="4">
        <v>335.11354599999993</v>
      </c>
    </row>
  </sheetData>
  <mergeCells count="1">
    <mergeCell ref="A1:M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02B8-EC80-4036-A1E1-47B7F5D27329}">
  <dimension ref="A1:O5001"/>
  <sheetViews>
    <sheetView topLeftCell="A2" workbookViewId="0">
      <selection sqref="A1:L5001"/>
    </sheetView>
  </sheetViews>
  <sheetFormatPr defaultRowHeight="14.4" x14ac:dyDescent="0.3"/>
  <cols>
    <col min="1" max="1" width="9.5546875" bestFit="1" customWidth="1"/>
    <col min="2" max="2" width="10.33203125" style="1" bestFit="1" customWidth="1"/>
    <col min="3" max="3" width="10.88671875" bestFit="1" customWidth="1"/>
    <col min="4" max="4" width="9.109375" bestFit="1" customWidth="1"/>
    <col min="5" max="5" width="11.77734375" style="2" bestFit="1" customWidth="1"/>
    <col min="6" max="6" width="12.109375" style="3" bestFit="1" customWidth="1"/>
    <col min="7" max="7" width="9.44140625" style="4" bestFit="1" customWidth="1"/>
    <col min="8" max="8" width="14.6640625" bestFit="1" customWidth="1"/>
    <col min="9" max="9" width="10.21875" style="4" bestFit="1" customWidth="1"/>
    <col min="10" max="10" width="15.21875" bestFit="1" customWidth="1"/>
    <col min="11" max="11" width="11.88671875" bestFit="1" customWidth="1"/>
    <col min="12" max="12" width="15.44140625" bestFit="1" customWidth="1"/>
    <col min="14" max="14" width="22.21875" bestFit="1" customWidth="1"/>
    <col min="15" max="15" width="13.6640625" style="2" bestFit="1" customWidth="1"/>
    <col min="16" max="16" width="11.88671875" bestFit="1" customWidth="1"/>
  </cols>
  <sheetData>
    <row r="1" spans="1:15" x14ac:dyDescent="0.3">
      <c r="A1" t="s">
        <v>0</v>
      </c>
      <c r="B1" s="1" t="s">
        <v>1</v>
      </c>
      <c r="C1" t="s">
        <v>2</v>
      </c>
      <c r="D1" t="s">
        <v>3</v>
      </c>
      <c r="E1" s="2" t="s">
        <v>4</v>
      </c>
      <c r="F1" s="3" t="s">
        <v>5</v>
      </c>
      <c r="G1" s="4" t="s">
        <v>6</v>
      </c>
      <c r="H1" t="s">
        <v>7</v>
      </c>
      <c r="I1" s="4" t="s">
        <v>8</v>
      </c>
      <c r="J1" t="s">
        <v>9</v>
      </c>
      <c r="K1" t="s">
        <v>10</v>
      </c>
      <c r="L1" t="s">
        <v>11</v>
      </c>
      <c r="N1" s="7" t="s">
        <v>5030</v>
      </c>
      <c r="O1" s="8">
        <f>COUNTA(uber_trip_analysis_5000_rows[Trip_ID])</f>
        <v>5000</v>
      </c>
    </row>
    <row r="2" spans="1:15" x14ac:dyDescent="0.3">
      <c r="A2" t="s">
        <v>12</v>
      </c>
      <c r="B2" s="1">
        <v>45760</v>
      </c>
      <c r="C2" t="s">
        <v>13</v>
      </c>
      <c r="D2" t="s">
        <v>14</v>
      </c>
      <c r="E2" s="2">
        <v>24.1</v>
      </c>
      <c r="F2" s="3">
        <v>57.04</v>
      </c>
      <c r="G2" s="4">
        <v>428.91</v>
      </c>
      <c r="H2">
        <v>1</v>
      </c>
      <c r="I2" s="4">
        <v>428.91</v>
      </c>
      <c r="J2">
        <v>3.3</v>
      </c>
      <c r="K2" t="s">
        <v>15</v>
      </c>
      <c r="L2" t="s">
        <v>16</v>
      </c>
      <c r="N2" s="7" t="s">
        <v>5031</v>
      </c>
      <c r="O2" s="8">
        <f>SUM(uber_trip_analysis_5000_rows[Total_Fare])</f>
        <v>1675567.730000003</v>
      </c>
    </row>
    <row r="3" spans="1:15" x14ac:dyDescent="0.3">
      <c r="A3" t="s">
        <v>17</v>
      </c>
      <c r="B3" s="1">
        <v>45872</v>
      </c>
      <c r="C3" t="s">
        <v>14</v>
      </c>
      <c r="D3" t="s">
        <v>14</v>
      </c>
      <c r="E3" s="2">
        <v>2.68</v>
      </c>
      <c r="F3" s="3">
        <v>10</v>
      </c>
      <c r="G3" s="4">
        <v>42.91</v>
      </c>
      <c r="H3">
        <v>2</v>
      </c>
      <c r="I3" s="4">
        <v>85.82</v>
      </c>
      <c r="J3">
        <v>4.3</v>
      </c>
      <c r="K3" t="s">
        <v>18</v>
      </c>
      <c r="L3" t="s">
        <v>19</v>
      </c>
      <c r="N3" s="7" t="s">
        <v>5032</v>
      </c>
      <c r="O3" s="8">
        <f>AVERAGE(uber_trip_analysis_5000_rows[Distance_km])</f>
        <v>15.616456000000055</v>
      </c>
    </row>
    <row r="4" spans="1:15" x14ac:dyDescent="0.3">
      <c r="A4" t="s">
        <v>20</v>
      </c>
      <c r="B4" s="1">
        <v>45966</v>
      </c>
      <c r="C4" t="s">
        <v>21</v>
      </c>
      <c r="D4" t="s">
        <v>22</v>
      </c>
      <c r="E4" s="2">
        <v>29.13</v>
      </c>
      <c r="F4" s="3">
        <v>106.76</v>
      </c>
      <c r="G4" s="4">
        <v>353.15</v>
      </c>
      <c r="H4">
        <v>2</v>
      </c>
      <c r="I4" s="4">
        <v>706.3</v>
      </c>
      <c r="J4">
        <v>5</v>
      </c>
      <c r="K4" t="s">
        <v>15</v>
      </c>
      <c r="L4" t="s">
        <v>16</v>
      </c>
      <c r="N4" s="7" t="s">
        <v>5033</v>
      </c>
      <c r="O4" s="8">
        <f>AVERAGE(uber_trip_analysis_5000_rows[Customer_Rating])</f>
        <v>3.9933600000000027</v>
      </c>
    </row>
    <row r="5" spans="1:15" x14ac:dyDescent="0.3">
      <c r="A5" t="s">
        <v>23</v>
      </c>
      <c r="B5" s="1">
        <v>45818</v>
      </c>
      <c r="C5" t="s">
        <v>14</v>
      </c>
      <c r="D5" t="s">
        <v>14</v>
      </c>
      <c r="E5" s="2">
        <v>9.82</v>
      </c>
      <c r="F5" s="3">
        <v>29.95</v>
      </c>
      <c r="G5" s="4">
        <v>140.62</v>
      </c>
      <c r="H5">
        <v>1</v>
      </c>
      <c r="I5" s="4">
        <v>140.62</v>
      </c>
      <c r="J5">
        <v>4</v>
      </c>
      <c r="K5" t="s">
        <v>15</v>
      </c>
      <c r="L5" t="s">
        <v>16</v>
      </c>
      <c r="N5" s="7" t="s">
        <v>5034</v>
      </c>
      <c r="O5" s="8">
        <f>MAX(uber_trip_analysis_5000_rows[Total_Fare])</f>
        <v>1151.5999999999999</v>
      </c>
    </row>
    <row r="6" spans="1:15" x14ac:dyDescent="0.3">
      <c r="A6" t="s">
        <v>24</v>
      </c>
      <c r="B6" s="1">
        <v>45827</v>
      </c>
      <c r="C6" t="s">
        <v>25</v>
      </c>
      <c r="D6" t="s">
        <v>25</v>
      </c>
      <c r="E6" s="2">
        <v>2.35</v>
      </c>
      <c r="F6" s="3">
        <v>9.2799999999999994</v>
      </c>
      <c r="G6" s="4">
        <v>28.97</v>
      </c>
      <c r="H6">
        <v>1.2</v>
      </c>
      <c r="I6" s="4">
        <v>34.76</v>
      </c>
      <c r="J6">
        <v>4.5999999999999996</v>
      </c>
      <c r="K6" t="s">
        <v>15</v>
      </c>
      <c r="L6" t="s">
        <v>26</v>
      </c>
      <c r="N6" s="7" t="s">
        <v>5035</v>
      </c>
      <c r="O6" s="8">
        <f>MIN(uber_trip_analysis_5000_rows[[#All],[Total_Fare]])</f>
        <v>11.05</v>
      </c>
    </row>
    <row r="7" spans="1:15" x14ac:dyDescent="0.3">
      <c r="A7" t="s">
        <v>27</v>
      </c>
      <c r="B7" s="1">
        <v>45708</v>
      </c>
      <c r="C7" t="s">
        <v>25</v>
      </c>
      <c r="D7" t="s">
        <v>14</v>
      </c>
      <c r="E7" s="2">
        <v>12.09</v>
      </c>
      <c r="F7" s="3">
        <v>47.95</v>
      </c>
      <c r="G7" s="4">
        <v>177.33</v>
      </c>
      <c r="H7">
        <v>1</v>
      </c>
      <c r="I7" s="4">
        <v>177.33</v>
      </c>
      <c r="J7">
        <v>4.2</v>
      </c>
      <c r="K7" t="s">
        <v>15</v>
      </c>
      <c r="L7" t="s">
        <v>28</v>
      </c>
      <c r="N7" s="7" t="s">
        <v>5036</v>
      </c>
      <c r="O7" s="8">
        <f>AVERAGE(uber_trip_analysis_5000_rows[Total_Fare])</f>
        <v>335.11354600000061</v>
      </c>
    </row>
    <row r="8" spans="1:15" x14ac:dyDescent="0.3">
      <c r="A8" t="s">
        <v>29</v>
      </c>
      <c r="B8" s="1">
        <v>45678</v>
      </c>
      <c r="C8" t="s">
        <v>14</v>
      </c>
      <c r="D8" t="s">
        <v>21</v>
      </c>
      <c r="E8" s="2">
        <v>14.06</v>
      </c>
      <c r="F8" s="3">
        <v>28.49</v>
      </c>
      <c r="G8" s="4">
        <v>273.07</v>
      </c>
      <c r="H8">
        <v>1.2</v>
      </c>
      <c r="I8" s="4">
        <v>327.68</v>
      </c>
      <c r="J8">
        <v>4.5999999999999996</v>
      </c>
      <c r="K8" t="s">
        <v>30</v>
      </c>
      <c r="L8" t="s">
        <v>16</v>
      </c>
    </row>
    <row r="9" spans="1:15" x14ac:dyDescent="0.3">
      <c r="A9" t="s">
        <v>31</v>
      </c>
      <c r="B9" s="1">
        <v>45922</v>
      </c>
      <c r="C9" t="s">
        <v>22</v>
      </c>
      <c r="D9" t="s">
        <v>22</v>
      </c>
      <c r="E9" s="2">
        <v>1.46</v>
      </c>
      <c r="F9" s="3">
        <v>3.59</v>
      </c>
      <c r="G9" s="4">
        <v>18.12</v>
      </c>
      <c r="H9">
        <v>2</v>
      </c>
      <c r="I9" s="4">
        <v>36.24</v>
      </c>
      <c r="J9">
        <v>3.2</v>
      </c>
      <c r="K9" t="s">
        <v>30</v>
      </c>
      <c r="L9" t="s">
        <v>19</v>
      </c>
    </row>
    <row r="10" spans="1:15" x14ac:dyDescent="0.3">
      <c r="A10" t="s">
        <v>32</v>
      </c>
      <c r="B10" s="1">
        <v>45921</v>
      </c>
      <c r="C10" t="s">
        <v>25</v>
      </c>
      <c r="D10" t="s">
        <v>14</v>
      </c>
      <c r="E10" s="2">
        <v>2</v>
      </c>
      <c r="F10" s="3">
        <v>7.64</v>
      </c>
      <c r="G10" s="4">
        <v>25.18</v>
      </c>
      <c r="H10">
        <v>2</v>
      </c>
      <c r="I10" s="4">
        <v>50.36</v>
      </c>
      <c r="J10">
        <v>4.5</v>
      </c>
      <c r="K10" t="s">
        <v>33</v>
      </c>
      <c r="L10" t="s">
        <v>19</v>
      </c>
    </row>
    <row r="11" spans="1:15" x14ac:dyDescent="0.3">
      <c r="A11" t="s">
        <v>34</v>
      </c>
      <c r="B11" s="1">
        <v>45711</v>
      </c>
      <c r="C11" t="s">
        <v>13</v>
      </c>
      <c r="D11" t="s">
        <v>14</v>
      </c>
      <c r="E11" s="2">
        <v>16.850000000000001</v>
      </c>
      <c r="F11" s="3">
        <v>39.93</v>
      </c>
      <c r="G11" s="4">
        <v>331.88</v>
      </c>
      <c r="H11">
        <v>1.2</v>
      </c>
      <c r="I11" s="4">
        <v>398.26</v>
      </c>
      <c r="J11">
        <v>3.9</v>
      </c>
      <c r="K11" t="s">
        <v>30</v>
      </c>
      <c r="L11" t="s">
        <v>19</v>
      </c>
    </row>
    <row r="12" spans="1:15" x14ac:dyDescent="0.3">
      <c r="A12" t="s">
        <v>35</v>
      </c>
      <c r="B12" s="1">
        <v>45859</v>
      </c>
      <c r="C12" t="s">
        <v>21</v>
      </c>
      <c r="D12" t="s">
        <v>21</v>
      </c>
      <c r="E12" s="2">
        <v>26.95</v>
      </c>
      <c r="F12" s="3">
        <v>86.13</v>
      </c>
      <c r="G12" s="4">
        <v>517.95000000000005</v>
      </c>
      <c r="H12">
        <v>2</v>
      </c>
      <c r="I12" s="4">
        <v>1035.9000000000001</v>
      </c>
      <c r="J12">
        <v>4.0999999999999996</v>
      </c>
      <c r="K12" t="s">
        <v>36</v>
      </c>
      <c r="L12" t="s">
        <v>28</v>
      </c>
    </row>
    <row r="13" spans="1:15" x14ac:dyDescent="0.3">
      <c r="A13" t="s">
        <v>37</v>
      </c>
      <c r="B13" s="1">
        <v>45909</v>
      </c>
      <c r="C13" t="s">
        <v>13</v>
      </c>
      <c r="D13" t="s">
        <v>13</v>
      </c>
      <c r="E13" s="2">
        <v>2.31</v>
      </c>
      <c r="F13" s="3">
        <v>6.12</v>
      </c>
      <c r="G13" s="4">
        <v>32.08</v>
      </c>
      <c r="H13">
        <v>1.2</v>
      </c>
      <c r="I13" s="4">
        <v>38.5</v>
      </c>
      <c r="J13">
        <v>4.0999999999999996</v>
      </c>
      <c r="K13" t="s">
        <v>33</v>
      </c>
      <c r="L13" t="s">
        <v>16</v>
      </c>
      <c r="O13"/>
    </row>
    <row r="14" spans="1:15" x14ac:dyDescent="0.3">
      <c r="A14" t="s">
        <v>38</v>
      </c>
      <c r="B14" s="1">
        <v>45937</v>
      </c>
      <c r="C14" t="s">
        <v>13</v>
      </c>
      <c r="D14" t="s">
        <v>13</v>
      </c>
      <c r="E14" s="2">
        <v>11.35</v>
      </c>
      <c r="F14" s="3">
        <v>29.08</v>
      </c>
      <c r="G14" s="4">
        <v>175.1</v>
      </c>
      <c r="H14">
        <v>1</v>
      </c>
      <c r="I14" s="4">
        <v>175.1</v>
      </c>
      <c r="J14">
        <v>3.6</v>
      </c>
      <c r="K14" t="s">
        <v>15</v>
      </c>
      <c r="L14" t="s">
        <v>26</v>
      </c>
      <c r="O14"/>
    </row>
    <row r="15" spans="1:15" x14ac:dyDescent="0.3">
      <c r="A15" t="s">
        <v>39</v>
      </c>
      <c r="B15" s="1">
        <v>45958</v>
      </c>
      <c r="C15" t="s">
        <v>21</v>
      </c>
      <c r="D15" t="s">
        <v>21</v>
      </c>
      <c r="E15" s="2">
        <v>3.16</v>
      </c>
      <c r="F15" s="3">
        <v>12.56</v>
      </c>
      <c r="G15" s="4">
        <v>56</v>
      </c>
      <c r="H15">
        <v>2</v>
      </c>
      <c r="I15" s="4">
        <v>112</v>
      </c>
      <c r="J15">
        <v>3.6</v>
      </c>
      <c r="K15" t="s">
        <v>33</v>
      </c>
      <c r="L15" t="s">
        <v>16</v>
      </c>
      <c r="O15"/>
    </row>
    <row r="16" spans="1:15" x14ac:dyDescent="0.3">
      <c r="A16" t="s">
        <v>40</v>
      </c>
      <c r="B16" s="1">
        <v>45720</v>
      </c>
      <c r="C16" t="s">
        <v>25</v>
      </c>
      <c r="D16" t="s">
        <v>21</v>
      </c>
      <c r="E16" s="2">
        <v>24.65</v>
      </c>
      <c r="F16" s="3">
        <v>84.15</v>
      </c>
      <c r="G16" s="4">
        <v>426.2</v>
      </c>
      <c r="H16">
        <v>1</v>
      </c>
      <c r="I16" s="4">
        <v>426.2</v>
      </c>
      <c r="J16">
        <v>4.2</v>
      </c>
      <c r="K16" t="s">
        <v>33</v>
      </c>
      <c r="L16" t="s">
        <v>26</v>
      </c>
      <c r="O16"/>
    </row>
    <row r="17" spans="1:15" x14ac:dyDescent="0.3">
      <c r="A17" t="s">
        <v>41</v>
      </c>
      <c r="B17" s="1">
        <v>45888</v>
      </c>
      <c r="C17" t="s">
        <v>22</v>
      </c>
      <c r="D17" t="s">
        <v>13</v>
      </c>
      <c r="E17" s="2">
        <v>19.88</v>
      </c>
      <c r="F17" s="3">
        <v>76.14</v>
      </c>
      <c r="G17" s="4">
        <v>367.79</v>
      </c>
      <c r="H17">
        <v>2</v>
      </c>
      <c r="I17" s="4">
        <v>735.58</v>
      </c>
      <c r="J17">
        <v>3.7</v>
      </c>
      <c r="K17" t="s">
        <v>15</v>
      </c>
      <c r="L17" t="s">
        <v>19</v>
      </c>
      <c r="O17"/>
    </row>
    <row r="18" spans="1:15" x14ac:dyDescent="0.3">
      <c r="A18" t="s">
        <v>42</v>
      </c>
      <c r="B18" s="1">
        <v>45705</v>
      </c>
      <c r="C18" t="s">
        <v>14</v>
      </c>
      <c r="D18" t="s">
        <v>22</v>
      </c>
      <c r="E18" s="2">
        <v>11.75</v>
      </c>
      <c r="F18" s="3">
        <v>39.22</v>
      </c>
      <c r="G18" s="4">
        <v>195.75</v>
      </c>
      <c r="H18">
        <v>2</v>
      </c>
      <c r="I18" s="4">
        <v>391.5</v>
      </c>
      <c r="J18">
        <v>4.3</v>
      </c>
      <c r="K18" t="s">
        <v>36</v>
      </c>
      <c r="L18" t="s">
        <v>16</v>
      </c>
      <c r="O18"/>
    </row>
    <row r="19" spans="1:15" x14ac:dyDescent="0.3">
      <c r="A19" t="s">
        <v>43</v>
      </c>
      <c r="B19" s="1">
        <v>45692</v>
      </c>
      <c r="C19" t="s">
        <v>21</v>
      </c>
      <c r="D19" t="s">
        <v>14</v>
      </c>
      <c r="E19" s="2">
        <v>14.69</v>
      </c>
      <c r="F19" s="3">
        <v>32.89</v>
      </c>
      <c r="G19" s="4">
        <v>251.68</v>
      </c>
      <c r="H19">
        <v>1</v>
      </c>
      <c r="I19" s="4">
        <v>251.68</v>
      </c>
      <c r="J19">
        <v>4.4000000000000004</v>
      </c>
      <c r="K19" t="s">
        <v>15</v>
      </c>
      <c r="L19" t="s">
        <v>26</v>
      </c>
      <c r="O19"/>
    </row>
    <row r="20" spans="1:15" x14ac:dyDescent="0.3">
      <c r="A20" t="s">
        <v>44</v>
      </c>
      <c r="B20" s="1">
        <v>45912</v>
      </c>
      <c r="C20" t="s">
        <v>25</v>
      </c>
      <c r="D20" t="s">
        <v>22</v>
      </c>
      <c r="E20" s="2">
        <v>8.43</v>
      </c>
      <c r="F20" s="3">
        <v>17.54</v>
      </c>
      <c r="G20" s="4">
        <v>144.21</v>
      </c>
      <c r="H20">
        <v>1.2</v>
      </c>
      <c r="I20" s="4">
        <v>173.05</v>
      </c>
      <c r="J20">
        <v>3.1</v>
      </c>
      <c r="K20" t="s">
        <v>18</v>
      </c>
      <c r="L20" t="s">
        <v>19</v>
      </c>
      <c r="O20"/>
    </row>
    <row r="21" spans="1:15" x14ac:dyDescent="0.3">
      <c r="A21" t="s">
        <v>45</v>
      </c>
      <c r="B21" s="1">
        <v>45836</v>
      </c>
      <c r="C21" t="s">
        <v>14</v>
      </c>
      <c r="D21" t="s">
        <v>25</v>
      </c>
      <c r="E21" s="2">
        <v>1.91</v>
      </c>
      <c r="F21" s="3">
        <v>6.25</v>
      </c>
      <c r="G21" s="4">
        <v>25.1</v>
      </c>
      <c r="H21">
        <v>2</v>
      </c>
      <c r="I21" s="4">
        <v>50.2</v>
      </c>
      <c r="J21">
        <v>4.4000000000000004</v>
      </c>
      <c r="K21" t="s">
        <v>18</v>
      </c>
      <c r="L21" t="s">
        <v>19</v>
      </c>
      <c r="O21"/>
    </row>
    <row r="22" spans="1:15" x14ac:dyDescent="0.3">
      <c r="A22" t="s">
        <v>46</v>
      </c>
      <c r="B22" s="1">
        <v>45888</v>
      </c>
      <c r="C22" t="s">
        <v>21</v>
      </c>
      <c r="D22" t="s">
        <v>22</v>
      </c>
      <c r="E22" s="2">
        <v>12.9</v>
      </c>
      <c r="F22" s="3">
        <v>45.29</v>
      </c>
      <c r="G22" s="4">
        <v>158.51</v>
      </c>
      <c r="H22">
        <v>2</v>
      </c>
      <c r="I22" s="4">
        <v>317.02</v>
      </c>
      <c r="J22">
        <v>4.2</v>
      </c>
      <c r="K22" t="s">
        <v>15</v>
      </c>
      <c r="L22" t="s">
        <v>16</v>
      </c>
      <c r="O22"/>
    </row>
    <row r="23" spans="1:15" x14ac:dyDescent="0.3">
      <c r="A23" t="s">
        <v>47</v>
      </c>
      <c r="B23" s="1">
        <v>45900</v>
      </c>
      <c r="C23" t="s">
        <v>13</v>
      </c>
      <c r="D23" t="s">
        <v>22</v>
      </c>
      <c r="E23" s="2">
        <v>5.68</v>
      </c>
      <c r="F23" s="3">
        <v>21.92</v>
      </c>
      <c r="G23" s="4">
        <v>102.7</v>
      </c>
      <c r="H23">
        <v>1</v>
      </c>
      <c r="I23" s="4">
        <v>102.7</v>
      </c>
      <c r="J23">
        <v>3.2</v>
      </c>
      <c r="K23" t="s">
        <v>36</v>
      </c>
      <c r="L23" t="s">
        <v>28</v>
      </c>
      <c r="O23"/>
    </row>
    <row r="24" spans="1:15" x14ac:dyDescent="0.3">
      <c r="A24" t="s">
        <v>48</v>
      </c>
      <c r="B24" s="1">
        <v>45941</v>
      </c>
      <c r="C24" t="s">
        <v>13</v>
      </c>
      <c r="D24" t="s">
        <v>25</v>
      </c>
      <c r="E24" s="2">
        <v>24.31</v>
      </c>
      <c r="F24" s="3">
        <v>57.69</v>
      </c>
      <c r="G24" s="4">
        <v>460.08</v>
      </c>
      <c r="H24">
        <v>1.5</v>
      </c>
      <c r="I24" s="4">
        <v>690.12</v>
      </c>
      <c r="J24">
        <v>3.6</v>
      </c>
      <c r="K24" t="s">
        <v>36</v>
      </c>
      <c r="L24" t="s">
        <v>26</v>
      </c>
      <c r="O24"/>
    </row>
    <row r="25" spans="1:15" x14ac:dyDescent="0.3">
      <c r="A25" t="s">
        <v>49</v>
      </c>
      <c r="B25" s="1">
        <v>46005</v>
      </c>
      <c r="C25" t="s">
        <v>21</v>
      </c>
      <c r="D25" t="s">
        <v>25</v>
      </c>
      <c r="E25" s="2">
        <v>11.33</v>
      </c>
      <c r="F25" s="3">
        <v>43.21</v>
      </c>
      <c r="G25" s="4">
        <v>144.13</v>
      </c>
      <c r="H25">
        <v>1.5</v>
      </c>
      <c r="I25" s="4">
        <v>216.2</v>
      </c>
      <c r="J25">
        <v>3.9</v>
      </c>
      <c r="K25" t="s">
        <v>15</v>
      </c>
      <c r="L25" t="s">
        <v>26</v>
      </c>
      <c r="O25"/>
    </row>
    <row r="26" spans="1:15" x14ac:dyDescent="0.3">
      <c r="A26" t="s">
        <v>50</v>
      </c>
      <c r="B26" s="1">
        <v>45773</v>
      </c>
      <c r="C26" t="s">
        <v>13</v>
      </c>
      <c r="D26" t="s">
        <v>22</v>
      </c>
      <c r="E26" s="2">
        <v>11.22</v>
      </c>
      <c r="F26" s="3">
        <v>29.28</v>
      </c>
      <c r="G26" s="4">
        <v>130.66999999999999</v>
      </c>
      <c r="H26">
        <v>1.5</v>
      </c>
      <c r="I26" s="4">
        <v>196</v>
      </c>
      <c r="J26">
        <v>3.8</v>
      </c>
      <c r="K26" t="s">
        <v>36</v>
      </c>
      <c r="L26" t="s">
        <v>16</v>
      </c>
      <c r="O26"/>
    </row>
    <row r="27" spans="1:15" x14ac:dyDescent="0.3">
      <c r="A27" t="s">
        <v>51</v>
      </c>
      <c r="B27" s="1">
        <v>45822</v>
      </c>
      <c r="C27" t="s">
        <v>21</v>
      </c>
      <c r="D27" t="s">
        <v>22</v>
      </c>
      <c r="E27" s="2">
        <v>21.08</v>
      </c>
      <c r="F27" s="3">
        <v>53.52</v>
      </c>
      <c r="G27" s="4">
        <v>262.26</v>
      </c>
      <c r="H27">
        <v>1.5</v>
      </c>
      <c r="I27" s="4">
        <v>393.39</v>
      </c>
      <c r="J27">
        <v>3.6</v>
      </c>
      <c r="K27" t="s">
        <v>33</v>
      </c>
      <c r="L27" t="s">
        <v>16</v>
      </c>
      <c r="O27"/>
    </row>
    <row r="28" spans="1:15" x14ac:dyDescent="0.3">
      <c r="A28" t="s">
        <v>52</v>
      </c>
      <c r="B28" s="1">
        <v>45753</v>
      </c>
      <c r="C28" t="s">
        <v>14</v>
      </c>
      <c r="D28" t="s">
        <v>13</v>
      </c>
      <c r="E28" s="2">
        <v>17.18</v>
      </c>
      <c r="F28" s="3">
        <v>48.24</v>
      </c>
      <c r="G28" s="4">
        <v>182.95</v>
      </c>
      <c r="H28">
        <v>1.2</v>
      </c>
      <c r="I28" s="4">
        <v>219.54</v>
      </c>
      <c r="J28">
        <v>4.9000000000000004</v>
      </c>
      <c r="K28" t="s">
        <v>33</v>
      </c>
      <c r="L28" t="s">
        <v>28</v>
      </c>
      <c r="O28"/>
    </row>
    <row r="29" spans="1:15" x14ac:dyDescent="0.3">
      <c r="A29" t="s">
        <v>53</v>
      </c>
      <c r="B29" s="1">
        <v>45952</v>
      </c>
      <c r="C29" t="s">
        <v>21</v>
      </c>
      <c r="D29" t="s">
        <v>13</v>
      </c>
      <c r="E29" s="2">
        <v>15.42</v>
      </c>
      <c r="F29" s="3">
        <v>40.119999999999997</v>
      </c>
      <c r="G29" s="4">
        <v>198.12</v>
      </c>
      <c r="H29">
        <v>1</v>
      </c>
      <c r="I29" s="4">
        <v>198.12</v>
      </c>
      <c r="J29">
        <v>3.5</v>
      </c>
      <c r="K29" t="s">
        <v>15</v>
      </c>
      <c r="L29" t="s">
        <v>19</v>
      </c>
      <c r="O29"/>
    </row>
    <row r="30" spans="1:15" x14ac:dyDescent="0.3">
      <c r="A30" t="s">
        <v>54</v>
      </c>
      <c r="B30" s="1">
        <v>45659</v>
      </c>
      <c r="C30" t="s">
        <v>14</v>
      </c>
      <c r="D30" t="s">
        <v>13</v>
      </c>
      <c r="E30" s="2">
        <v>15.58</v>
      </c>
      <c r="F30" s="3">
        <v>32.76</v>
      </c>
      <c r="G30" s="4">
        <v>199.21</v>
      </c>
      <c r="H30">
        <v>1</v>
      </c>
      <c r="I30" s="4">
        <v>199.21</v>
      </c>
      <c r="J30">
        <v>4.3</v>
      </c>
      <c r="K30" t="s">
        <v>33</v>
      </c>
      <c r="L30" t="s">
        <v>26</v>
      </c>
      <c r="O30"/>
    </row>
    <row r="31" spans="1:15" x14ac:dyDescent="0.3">
      <c r="A31" t="s">
        <v>55</v>
      </c>
      <c r="B31" s="1">
        <v>45783</v>
      </c>
      <c r="C31" t="s">
        <v>25</v>
      </c>
      <c r="D31" t="s">
        <v>21</v>
      </c>
      <c r="E31" s="2">
        <v>5.2</v>
      </c>
      <c r="F31" s="3">
        <v>15.49</v>
      </c>
      <c r="G31" s="4">
        <v>103.25</v>
      </c>
      <c r="H31">
        <v>2</v>
      </c>
      <c r="I31" s="4">
        <v>206.5</v>
      </c>
      <c r="J31">
        <v>4.2</v>
      </c>
      <c r="K31" t="s">
        <v>30</v>
      </c>
      <c r="L31" t="s">
        <v>28</v>
      </c>
      <c r="O31"/>
    </row>
    <row r="32" spans="1:15" x14ac:dyDescent="0.3">
      <c r="A32" t="s">
        <v>56</v>
      </c>
      <c r="B32" s="1">
        <v>45860</v>
      </c>
      <c r="C32" t="s">
        <v>22</v>
      </c>
      <c r="D32" t="s">
        <v>25</v>
      </c>
      <c r="E32" s="2">
        <v>11.72</v>
      </c>
      <c r="F32" s="3">
        <v>29.12</v>
      </c>
      <c r="G32" s="4">
        <v>211.33</v>
      </c>
      <c r="H32">
        <v>1</v>
      </c>
      <c r="I32" s="4">
        <v>211.33</v>
      </c>
      <c r="J32">
        <v>4.3</v>
      </c>
      <c r="K32" t="s">
        <v>30</v>
      </c>
      <c r="L32" t="s">
        <v>26</v>
      </c>
      <c r="O32"/>
    </row>
    <row r="33" spans="1:15" x14ac:dyDescent="0.3">
      <c r="A33" t="s">
        <v>57</v>
      </c>
      <c r="B33" s="1">
        <v>45855</v>
      </c>
      <c r="C33" t="s">
        <v>13</v>
      </c>
      <c r="D33" t="s">
        <v>25</v>
      </c>
      <c r="E33" s="2">
        <v>12.57</v>
      </c>
      <c r="F33" s="3">
        <v>45.67</v>
      </c>
      <c r="G33" s="4">
        <v>226.05</v>
      </c>
      <c r="H33">
        <v>1</v>
      </c>
      <c r="I33" s="4">
        <v>226.05</v>
      </c>
      <c r="J33">
        <v>3.6</v>
      </c>
      <c r="K33" t="s">
        <v>33</v>
      </c>
      <c r="L33" t="s">
        <v>16</v>
      </c>
      <c r="O33"/>
    </row>
    <row r="34" spans="1:15" x14ac:dyDescent="0.3">
      <c r="A34" t="s">
        <v>58</v>
      </c>
      <c r="B34" s="1">
        <v>45983</v>
      </c>
      <c r="C34" t="s">
        <v>25</v>
      </c>
      <c r="D34" t="s">
        <v>25</v>
      </c>
      <c r="E34" s="2">
        <v>21.18</v>
      </c>
      <c r="F34" s="3">
        <v>78.72</v>
      </c>
      <c r="G34" s="4">
        <v>280.83999999999997</v>
      </c>
      <c r="H34">
        <v>2</v>
      </c>
      <c r="I34" s="4">
        <v>561.67999999999995</v>
      </c>
      <c r="J34">
        <v>3</v>
      </c>
      <c r="K34" t="s">
        <v>33</v>
      </c>
      <c r="L34" t="s">
        <v>28</v>
      </c>
      <c r="O34"/>
    </row>
    <row r="35" spans="1:15" x14ac:dyDescent="0.3">
      <c r="A35" t="s">
        <v>59</v>
      </c>
      <c r="B35" s="1">
        <v>45804</v>
      </c>
      <c r="C35" t="s">
        <v>25</v>
      </c>
      <c r="D35" t="s">
        <v>25</v>
      </c>
      <c r="E35" s="2">
        <v>11.11</v>
      </c>
      <c r="F35" s="3">
        <v>24.36</v>
      </c>
      <c r="G35" s="4">
        <v>215.59</v>
      </c>
      <c r="H35">
        <v>2</v>
      </c>
      <c r="I35" s="4">
        <v>431.18</v>
      </c>
      <c r="J35">
        <v>3.8</v>
      </c>
      <c r="K35" t="s">
        <v>18</v>
      </c>
      <c r="L35" t="s">
        <v>28</v>
      </c>
      <c r="O35"/>
    </row>
    <row r="36" spans="1:15" x14ac:dyDescent="0.3">
      <c r="A36" t="s">
        <v>60</v>
      </c>
      <c r="B36" s="1">
        <v>45995</v>
      </c>
      <c r="C36" t="s">
        <v>25</v>
      </c>
      <c r="D36" t="s">
        <v>25</v>
      </c>
      <c r="E36" s="2">
        <v>25.29</v>
      </c>
      <c r="F36" s="3">
        <v>84.76</v>
      </c>
      <c r="G36" s="4">
        <v>438.84</v>
      </c>
      <c r="H36">
        <v>1.2</v>
      </c>
      <c r="I36" s="4">
        <v>526.61</v>
      </c>
      <c r="J36">
        <v>4.8</v>
      </c>
      <c r="K36" t="s">
        <v>36</v>
      </c>
      <c r="L36" t="s">
        <v>26</v>
      </c>
      <c r="O36"/>
    </row>
    <row r="37" spans="1:15" x14ac:dyDescent="0.3">
      <c r="A37" t="s">
        <v>61</v>
      </c>
      <c r="B37" s="1">
        <v>45955</v>
      </c>
      <c r="C37" t="s">
        <v>21</v>
      </c>
      <c r="D37" t="s">
        <v>22</v>
      </c>
      <c r="E37" s="2">
        <v>8.48</v>
      </c>
      <c r="F37" s="3">
        <v>28.15</v>
      </c>
      <c r="G37" s="4">
        <v>154.1</v>
      </c>
      <c r="H37">
        <v>1</v>
      </c>
      <c r="I37" s="4">
        <v>154.1</v>
      </c>
      <c r="J37">
        <v>4</v>
      </c>
      <c r="K37" t="s">
        <v>15</v>
      </c>
      <c r="L37" t="s">
        <v>28</v>
      </c>
      <c r="O37"/>
    </row>
    <row r="38" spans="1:15" x14ac:dyDescent="0.3">
      <c r="A38" t="s">
        <v>62</v>
      </c>
      <c r="B38" s="1">
        <v>45659</v>
      </c>
      <c r="C38" t="s">
        <v>22</v>
      </c>
      <c r="D38" t="s">
        <v>25</v>
      </c>
      <c r="E38" s="2">
        <v>29.89</v>
      </c>
      <c r="F38" s="3">
        <v>117.49</v>
      </c>
      <c r="G38" s="4">
        <v>465.77</v>
      </c>
      <c r="H38">
        <v>2</v>
      </c>
      <c r="I38" s="4">
        <v>931.54</v>
      </c>
      <c r="J38">
        <v>4.3</v>
      </c>
      <c r="K38" t="s">
        <v>36</v>
      </c>
      <c r="L38" t="s">
        <v>19</v>
      </c>
      <c r="O38"/>
    </row>
    <row r="39" spans="1:15" x14ac:dyDescent="0.3">
      <c r="A39" t="s">
        <v>63</v>
      </c>
      <c r="B39" s="1">
        <v>45666</v>
      </c>
      <c r="C39" t="s">
        <v>14</v>
      </c>
      <c r="D39" t="s">
        <v>14</v>
      </c>
      <c r="E39" s="2">
        <v>9.09</v>
      </c>
      <c r="F39" s="3">
        <v>30.91</v>
      </c>
      <c r="G39" s="4">
        <v>167.86</v>
      </c>
      <c r="H39">
        <v>2</v>
      </c>
      <c r="I39" s="4">
        <v>335.72</v>
      </c>
      <c r="J39">
        <v>4.8</v>
      </c>
      <c r="K39" t="s">
        <v>36</v>
      </c>
      <c r="L39" t="s">
        <v>26</v>
      </c>
      <c r="O39"/>
    </row>
    <row r="40" spans="1:15" x14ac:dyDescent="0.3">
      <c r="A40" t="s">
        <v>64</v>
      </c>
      <c r="B40" s="1">
        <v>45777</v>
      </c>
      <c r="C40" t="s">
        <v>14</v>
      </c>
      <c r="D40" t="s">
        <v>13</v>
      </c>
      <c r="E40" s="2">
        <v>26.75</v>
      </c>
      <c r="F40" s="3">
        <v>99.02</v>
      </c>
      <c r="G40" s="4">
        <v>517.78</v>
      </c>
      <c r="H40">
        <v>2</v>
      </c>
      <c r="I40" s="4">
        <v>1035.56</v>
      </c>
      <c r="J40">
        <v>4.8</v>
      </c>
      <c r="K40" t="s">
        <v>30</v>
      </c>
      <c r="L40" t="s">
        <v>19</v>
      </c>
      <c r="O40"/>
    </row>
    <row r="41" spans="1:15" x14ac:dyDescent="0.3">
      <c r="A41" t="s">
        <v>65</v>
      </c>
      <c r="B41" s="1">
        <v>45997</v>
      </c>
      <c r="C41" t="s">
        <v>13</v>
      </c>
      <c r="D41" t="s">
        <v>25</v>
      </c>
      <c r="E41" s="2">
        <v>17.84</v>
      </c>
      <c r="F41" s="3">
        <v>48.96</v>
      </c>
      <c r="G41" s="4">
        <v>346.12</v>
      </c>
      <c r="H41">
        <v>1</v>
      </c>
      <c r="I41" s="4">
        <v>346.12</v>
      </c>
      <c r="J41">
        <v>3</v>
      </c>
      <c r="K41" t="s">
        <v>18</v>
      </c>
      <c r="L41" t="s">
        <v>28</v>
      </c>
      <c r="O41"/>
    </row>
    <row r="42" spans="1:15" x14ac:dyDescent="0.3">
      <c r="A42" t="s">
        <v>66</v>
      </c>
      <c r="B42" s="1">
        <v>45995</v>
      </c>
      <c r="C42" t="s">
        <v>21</v>
      </c>
      <c r="D42" t="s">
        <v>14</v>
      </c>
      <c r="E42" s="2">
        <v>15.08</v>
      </c>
      <c r="F42" s="3">
        <v>43.68</v>
      </c>
      <c r="G42" s="4">
        <v>300.76</v>
      </c>
      <c r="H42">
        <v>2</v>
      </c>
      <c r="I42" s="4">
        <v>601.52</v>
      </c>
      <c r="J42">
        <v>4.4000000000000004</v>
      </c>
      <c r="K42" t="s">
        <v>36</v>
      </c>
      <c r="L42" t="s">
        <v>28</v>
      </c>
      <c r="O42"/>
    </row>
    <row r="43" spans="1:15" x14ac:dyDescent="0.3">
      <c r="A43" t="s">
        <v>67</v>
      </c>
      <c r="B43" s="1">
        <v>45946</v>
      </c>
      <c r="C43" t="s">
        <v>25</v>
      </c>
      <c r="D43" t="s">
        <v>25</v>
      </c>
      <c r="E43" s="2">
        <v>15.32</v>
      </c>
      <c r="F43" s="3">
        <v>36.119999999999997</v>
      </c>
      <c r="G43" s="4">
        <v>209.34</v>
      </c>
      <c r="H43">
        <v>2</v>
      </c>
      <c r="I43" s="4">
        <v>418.68</v>
      </c>
      <c r="J43">
        <v>4.7</v>
      </c>
      <c r="K43" t="s">
        <v>18</v>
      </c>
      <c r="L43" t="s">
        <v>28</v>
      </c>
      <c r="O43"/>
    </row>
    <row r="44" spans="1:15" x14ac:dyDescent="0.3">
      <c r="A44" t="s">
        <v>68</v>
      </c>
      <c r="B44" s="1">
        <v>45785</v>
      </c>
      <c r="C44" t="s">
        <v>21</v>
      </c>
      <c r="D44" t="s">
        <v>25</v>
      </c>
      <c r="E44" s="2">
        <v>17.48</v>
      </c>
      <c r="F44" s="3">
        <v>38.229999999999997</v>
      </c>
      <c r="G44" s="4">
        <v>239.08</v>
      </c>
      <c r="H44">
        <v>1.5</v>
      </c>
      <c r="I44" s="4">
        <v>358.62</v>
      </c>
      <c r="J44">
        <v>3.5</v>
      </c>
      <c r="K44" t="s">
        <v>36</v>
      </c>
      <c r="L44" t="s">
        <v>26</v>
      </c>
      <c r="O44"/>
    </row>
    <row r="45" spans="1:15" x14ac:dyDescent="0.3">
      <c r="A45" t="s">
        <v>69</v>
      </c>
      <c r="B45" s="1">
        <v>45815</v>
      </c>
      <c r="C45" t="s">
        <v>25</v>
      </c>
      <c r="D45" t="s">
        <v>14</v>
      </c>
      <c r="E45" s="2">
        <v>29.22</v>
      </c>
      <c r="F45" s="3">
        <v>81.41</v>
      </c>
      <c r="G45" s="4">
        <v>552.86</v>
      </c>
      <c r="H45">
        <v>1.5</v>
      </c>
      <c r="I45" s="4">
        <v>829.29</v>
      </c>
      <c r="J45">
        <v>3.9</v>
      </c>
      <c r="K45" t="s">
        <v>33</v>
      </c>
      <c r="L45" t="s">
        <v>26</v>
      </c>
      <c r="O45"/>
    </row>
    <row r="46" spans="1:15" x14ac:dyDescent="0.3">
      <c r="A46" t="s">
        <v>70</v>
      </c>
      <c r="B46" s="1">
        <v>45934</v>
      </c>
      <c r="C46" t="s">
        <v>13</v>
      </c>
      <c r="D46" t="s">
        <v>14</v>
      </c>
      <c r="E46" s="2">
        <v>15.58</v>
      </c>
      <c r="F46" s="3">
        <v>49.14</v>
      </c>
      <c r="G46" s="4">
        <v>232.53</v>
      </c>
      <c r="H46">
        <v>1</v>
      </c>
      <c r="I46" s="4">
        <v>232.53</v>
      </c>
      <c r="J46">
        <v>3.5</v>
      </c>
      <c r="K46" t="s">
        <v>15</v>
      </c>
      <c r="L46" t="s">
        <v>28</v>
      </c>
      <c r="O46"/>
    </row>
    <row r="47" spans="1:15" x14ac:dyDescent="0.3">
      <c r="A47" t="s">
        <v>71</v>
      </c>
      <c r="B47" s="1">
        <v>45961</v>
      </c>
      <c r="C47" t="s">
        <v>22</v>
      </c>
      <c r="D47" t="s">
        <v>21</v>
      </c>
      <c r="E47" s="2">
        <v>9.14</v>
      </c>
      <c r="F47" s="3">
        <v>18.72</v>
      </c>
      <c r="G47" s="4">
        <v>150.4</v>
      </c>
      <c r="H47">
        <v>1</v>
      </c>
      <c r="I47" s="4">
        <v>150.4</v>
      </c>
      <c r="J47">
        <v>5</v>
      </c>
      <c r="K47" t="s">
        <v>33</v>
      </c>
      <c r="L47" t="s">
        <v>16</v>
      </c>
      <c r="O47"/>
    </row>
    <row r="48" spans="1:15" x14ac:dyDescent="0.3">
      <c r="A48" t="s">
        <v>72</v>
      </c>
      <c r="B48" s="1">
        <v>45815</v>
      </c>
      <c r="C48" t="s">
        <v>25</v>
      </c>
      <c r="D48" t="s">
        <v>22</v>
      </c>
      <c r="E48" s="2">
        <v>28.66</v>
      </c>
      <c r="F48" s="3">
        <v>109.76</v>
      </c>
      <c r="G48" s="4">
        <v>392.69</v>
      </c>
      <c r="H48">
        <v>1</v>
      </c>
      <c r="I48" s="4">
        <v>392.69</v>
      </c>
      <c r="J48">
        <v>4.9000000000000004</v>
      </c>
      <c r="K48" t="s">
        <v>15</v>
      </c>
      <c r="L48" t="s">
        <v>19</v>
      </c>
      <c r="O48"/>
    </row>
    <row r="49" spans="1:15" x14ac:dyDescent="0.3">
      <c r="A49" t="s">
        <v>73</v>
      </c>
      <c r="B49" s="1">
        <v>46006</v>
      </c>
      <c r="C49" t="s">
        <v>13</v>
      </c>
      <c r="D49" t="s">
        <v>25</v>
      </c>
      <c r="E49" s="2">
        <v>13.42</v>
      </c>
      <c r="F49" s="3">
        <v>52.79</v>
      </c>
      <c r="G49" s="4">
        <v>263.52</v>
      </c>
      <c r="H49">
        <v>1</v>
      </c>
      <c r="I49" s="4">
        <v>263.52</v>
      </c>
      <c r="J49">
        <v>3.2</v>
      </c>
      <c r="K49" t="s">
        <v>36</v>
      </c>
      <c r="L49" t="s">
        <v>26</v>
      </c>
      <c r="O49"/>
    </row>
    <row r="50" spans="1:15" x14ac:dyDescent="0.3">
      <c r="A50" t="s">
        <v>74</v>
      </c>
      <c r="B50" s="1">
        <v>45910</v>
      </c>
      <c r="C50" t="s">
        <v>21</v>
      </c>
      <c r="D50" t="s">
        <v>21</v>
      </c>
      <c r="E50" s="2">
        <v>12.17</v>
      </c>
      <c r="F50" s="3">
        <v>45.06</v>
      </c>
      <c r="G50" s="4">
        <v>160.27000000000001</v>
      </c>
      <c r="H50">
        <v>2</v>
      </c>
      <c r="I50" s="4">
        <v>320.54000000000002</v>
      </c>
      <c r="J50">
        <v>3.7</v>
      </c>
      <c r="K50" t="s">
        <v>18</v>
      </c>
      <c r="L50" t="s">
        <v>28</v>
      </c>
      <c r="O50"/>
    </row>
    <row r="51" spans="1:15" x14ac:dyDescent="0.3">
      <c r="A51" t="s">
        <v>75</v>
      </c>
      <c r="B51" s="1">
        <v>45880</v>
      </c>
      <c r="C51" t="s">
        <v>14</v>
      </c>
      <c r="D51" t="s">
        <v>13</v>
      </c>
      <c r="E51" s="2">
        <v>25.48</v>
      </c>
      <c r="F51" s="3">
        <v>98.35</v>
      </c>
      <c r="G51" s="4">
        <v>272.74</v>
      </c>
      <c r="H51">
        <v>1.2</v>
      </c>
      <c r="I51" s="4">
        <v>327.29000000000002</v>
      </c>
      <c r="J51">
        <v>4.2</v>
      </c>
      <c r="K51" t="s">
        <v>30</v>
      </c>
      <c r="L51" t="s">
        <v>28</v>
      </c>
      <c r="O51"/>
    </row>
    <row r="52" spans="1:15" x14ac:dyDescent="0.3">
      <c r="A52" t="s">
        <v>76</v>
      </c>
      <c r="B52" s="1">
        <v>45999</v>
      </c>
      <c r="C52" t="s">
        <v>14</v>
      </c>
      <c r="D52" t="s">
        <v>14</v>
      </c>
      <c r="E52" s="2">
        <v>11.4</v>
      </c>
      <c r="F52" s="3">
        <v>28.59</v>
      </c>
      <c r="G52" s="4">
        <v>147.66</v>
      </c>
      <c r="H52">
        <v>1.2</v>
      </c>
      <c r="I52" s="4">
        <v>177.19</v>
      </c>
      <c r="J52">
        <v>4.5</v>
      </c>
      <c r="K52" t="s">
        <v>15</v>
      </c>
      <c r="L52" t="s">
        <v>28</v>
      </c>
      <c r="O52"/>
    </row>
    <row r="53" spans="1:15" x14ac:dyDescent="0.3">
      <c r="A53" t="s">
        <v>77</v>
      </c>
      <c r="B53" s="1">
        <v>45956</v>
      </c>
      <c r="C53" t="s">
        <v>22</v>
      </c>
      <c r="D53" t="s">
        <v>13</v>
      </c>
      <c r="E53" s="2">
        <v>21.56</v>
      </c>
      <c r="F53" s="3">
        <v>66.959999999999994</v>
      </c>
      <c r="G53" s="4">
        <v>279.52999999999997</v>
      </c>
      <c r="H53">
        <v>1.2</v>
      </c>
      <c r="I53" s="4">
        <v>335.44</v>
      </c>
      <c r="J53">
        <v>4.5999999999999996</v>
      </c>
      <c r="K53" t="s">
        <v>36</v>
      </c>
      <c r="L53" t="s">
        <v>19</v>
      </c>
      <c r="O53"/>
    </row>
    <row r="54" spans="1:15" x14ac:dyDescent="0.3">
      <c r="A54" t="s">
        <v>78</v>
      </c>
      <c r="B54" s="1">
        <v>45670</v>
      </c>
      <c r="C54" t="s">
        <v>25</v>
      </c>
      <c r="D54" t="s">
        <v>14</v>
      </c>
      <c r="E54" s="2">
        <v>3.37</v>
      </c>
      <c r="F54" s="3">
        <v>6.77</v>
      </c>
      <c r="G54" s="4">
        <v>54.86</v>
      </c>
      <c r="H54">
        <v>2</v>
      </c>
      <c r="I54" s="4">
        <v>109.72</v>
      </c>
      <c r="J54">
        <v>4.3</v>
      </c>
      <c r="K54" t="s">
        <v>33</v>
      </c>
      <c r="L54" t="s">
        <v>16</v>
      </c>
      <c r="O54"/>
    </row>
    <row r="55" spans="1:15" x14ac:dyDescent="0.3">
      <c r="A55" t="s">
        <v>79</v>
      </c>
      <c r="B55" s="1">
        <v>45799</v>
      </c>
      <c r="C55" t="s">
        <v>13</v>
      </c>
      <c r="D55" t="s">
        <v>13</v>
      </c>
      <c r="E55" s="2">
        <v>26.81</v>
      </c>
      <c r="F55" s="3">
        <v>71.739999999999995</v>
      </c>
      <c r="G55" s="4">
        <v>368.79</v>
      </c>
      <c r="H55">
        <v>1.2</v>
      </c>
      <c r="I55" s="4">
        <v>442.55</v>
      </c>
      <c r="J55">
        <v>3.9</v>
      </c>
      <c r="K55" t="s">
        <v>15</v>
      </c>
      <c r="L55" t="s">
        <v>19</v>
      </c>
      <c r="O55"/>
    </row>
    <row r="56" spans="1:15" x14ac:dyDescent="0.3">
      <c r="A56" t="s">
        <v>80</v>
      </c>
      <c r="B56" s="1">
        <v>45999</v>
      </c>
      <c r="C56" t="s">
        <v>14</v>
      </c>
      <c r="D56" t="s">
        <v>22</v>
      </c>
      <c r="E56" s="2">
        <v>10.52</v>
      </c>
      <c r="F56" s="3">
        <v>24.3</v>
      </c>
      <c r="G56" s="4">
        <v>208.49</v>
      </c>
      <c r="H56">
        <v>1.2</v>
      </c>
      <c r="I56" s="4">
        <v>250.19</v>
      </c>
      <c r="J56">
        <v>4.2</v>
      </c>
      <c r="K56" t="s">
        <v>18</v>
      </c>
      <c r="L56" t="s">
        <v>19</v>
      </c>
      <c r="O56"/>
    </row>
    <row r="57" spans="1:15" x14ac:dyDescent="0.3">
      <c r="A57" t="s">
        <v>81</v>
      </c>
      <c r="B57" s="1">
        <v>45999</v>
      </c>
      <c r="C57" t="s">
        <v>21</v>
      </c>
      <c r="D57" t="s">
        <v>25</v>
      </c>
      <c r="E57" s="2">
        <v>8.26</v>
      </c>
      <c r="F57" s="3">
        <v>17.16</v>
      </c>
      <c r="G57" s="4">
        <v>107.65</v>
      </c>
      <c r="H57">
        <v>1.5</v>
      </c>
      <c r="I57" s="4">
        <v>161.47999999999999</v>
      </c>
      <c r="J57">
        <v>3.3</v>
      </c>
      <c r="K57" t="s">
        <v>15</v>
      </c>
      <c r="L57" t="s">
        <v>28</v>
      </c>
      <c r="O57"/>
    </row>
    <row r="58" spans="1:15" x14ac:dyDescent="0.3">
      <c r="A58" t="s">
        <v>82</v>
      </c>
      <c r="B58" s="1">
        <v>45921</v>
      </c>
      <c r="C58" t="s">
        <v>21</v>
      </c>
      <c r="D58" t="s">
        <v>14</v>
      </c>
      <c r="E58" s="2">
        <v>23.33</v>
      </c>
      <c r="F58" s="3">
        <v>56.73</v>
      </c>
      <c r="G58" s="4">
        <v>378.62</v>
      </c>
      <c r="H58">
        <v>2</v>
      </c>
      <c r="I58" s="4">
        <v>757.24</v>
      </c>
      <c r="J58">
        <v>4.7</v>
      </c>
      <c r="K58" t="s">
        <v>18</v>
      </c>
      <c r="L58" t="s">
        <v>26</v>
      </c>
      <c r="O58"/>
    </row>
    <row r="59" spans="1:15" x14ac:dyDescent="0.3">
      <c r="A59" t="s">
        <v>83</v>
      </c>
      <c r="B59" s="1">
        <v>46007</v>
      </c>
      <c r="C59" t="s">
        <v>13</v>
      </c>
      <c r="D59" t="s">
        <v>21</v>
      </c>
      <c r="E59" s="2">
        <v>16.68</v>
      </c>
      <c r="F59" s="3">
        <v>54.62</v>
      </c>
      <c r="G59" s="4">
        <v>287.91000000000003</v>
      </c>
      <c r="H59">
        <v>1</v>
      </c>
      <c r="I59" s="4">
        <v>287.91000000000003</v>
      </c>
      <c r="J59">
        <v>4.9000000000000004</v>
      </c>
      <c r="K59" t="s">
        <v>15</v>
      </c>
      <c r="L59" t="s">
        <v>28</v>
      </c>
      <c r="O59"/>
    </row>
    <row r="60" spans="1:15" x14ac:dyDescent="0.3">
      <c r="A60" t="s">
        <v>84</v>
      </c>
      <c r="B60" s="1">
        <v>45763</v>
      </c>
      <c r="C60" t="s">
        <v>14</v>
      </c>
      <c r="D60" t="s">
        <v>13</v>
      </c>
      <c r="E60" s="2">
        <v>10.37</v>
      </c>
      <c r="F60" s="3">
        <v>37.229999999999997</v>
      </c>
      <c r="G60" s="4">
        <v>131.79</v>
      </c>
      <c r="H60">
        <v>2</v>
      </c>
      <c r="I60" s="4">
        <v>263.58</v>
      </c>
      <c r="J60">
        <v>4.5</v>
      </c>
      <c r="K60" t="s">
        <v>33</v>
      </c>
      <c r="L60" t="s">
        <v>19</v>
      </c>
      <c r="O60"/>
    </row>
    <row r="61" spans="1:15" x14ac:dyDescent="0.3">
      <c r="A61" t="s">
        <v>85</v>
      </c>
      <c r="B61" s="1">
        <v>46003</v>
      </c>
      <c r="C61" t="s">
        <v>14</v>
      </c>
      <c r="D61" t="s">
        <v>13</v>
      </c>
      <c r="E61" s="2">
        <v>1.74</v>
      </c>
      <c r="F61" s="3">
        <v>6.83</v>
      </c>
      <c r="G61" s="4">
        <v>31.95</v>
      </c>
      <c r="H61">
        <v>1</v>
      </c>
      <c r="I61" s="4">
        <v>31.95</v>
      </c>
      <c r="J61">
        <v>4.4000000000000004</v>
      </c>
      <c r="K61" t="s">
        <v>15</v>
      </c>
      <c r="L61" t="s">
        <v>28</v>
      </c>
      <c r="O61"/>
    </row>
    <row r="62" spans="1:15" x14ac:dyDescent="0.3">
      <c r="A62" t="s">
        <v>86</v>
      </c>
      <c r="B62" s="1">
        <v>45786</v>
      </c>
      <c r="C62" t="s">
        <v>14</v>
      </c>
      <c r="D62" t="s">
        <v>13</v>
      </c>
      <c r="E62" s="2">
        <v>6.03</v>
      </c>
      <c r="F62" s="3">
        <v>13.95</v>
      </c>
      <c r="G62" s="4">
        <v>75.39</v>
      </c>
      <c r="H62">
        <v>1.2</v>
      </c>
      <c r="I62" s="4">
        <v>90.47</v>
      </c>
      <c r="J62">
        <v>3.2</v>
      </c>
      <c r="K62" t="s">
        <v>33</v>
      </c>
      <c r="L62" t="s">
        <v>16</v>
      </c>
      <c r="O62"/>
    </row>
    <row r="63" spans="1:15" x14ac:dyDescent="0.3">
      <c r="A63" t="s">
        <v>87</v>
      </c>
      <c r="B63" s="1">
        <v>45746</v>
      </c>
      <c r="C63" t="s">
        <v>25</v>
      </c>
      <c r="D63" t="s">
        <v>13</v>
      </c>
      <c r="E63" s="2">
        <v>20.149999999999999</v>
      </c>
      <c r="F63" s="3">
        <v>51.58</v>
      </c>
      <c r="G63" s="4">
        <v>393.91</v>
      </c>
      <c r="H63">
        <v>1.5</v>
      </c>
      <c r="I63" s="4">
        <v>590.86</v>
      </c>
      <c r="J63">
        <v>4.3</v>
      </c>
      <c r="K63" t="s">
        <v>36</v>
      </c>
      <c r="L63" t="s">
        <v>28</v>
      </c>
      <c r="O63"/>
    </row>
    <row r="64" spans="1:15" x14ac:dyDescent="0.3">
      <c r="A64" t="s">
        <v>88</v>
      </c>
      <c r="B64" s="1">
        <v>45726</v>
      </c>
      <c r="C64" t="s">
        <v>25</v>
      </c>
      <c r="D64" t="s">
        <v>13</v>
      </c>
      <c r="E64" s="2">
        <v>18.739999999999998</v>
      </c>
      <c r="F64" s="3">
        <v>53.21</v>
      </c>
      <c r="G64" s="4">
        <v>233.82</v>
      </c>
      <c r="H64">
        <v>2</v>
      </c>
      <c r="I64" s="4">
        <v>467.64</v>
      </c>
      <c r="J64">
        <v>3.3</v>
      </c>
      <c r="K64" t="s">
        <v>18</v>
      </c>
      <c r="L64" t="s">
        <v>19</v>
      </c>
      <c r="O64"/>
    </row>
    <row r="65" spans="1:15" x14ac:dyDescent="0.3">
      <c r="A65" t="s">
        <v>89</v>
      </c>
      <c r="B65" s="1">
        <v>45743</v>
      </c>
      <c r="C65" t="s">
        <v>13</v>
      </c>
      <c r="D65" t="s">
        <v>13</v>
      </c>
      <c r="E65" s="2">
        <v>1.42</v>
      </c>
      <c r="F65" s="3">
        <v>3.17</v>
      </c>
      <c r="G65" s="4">
        <v>14.85</v>
      </c>
      <c r="H65">
        <v>1</v>
      </c>
      <c r="I65" s="4">
        <v>14.85</v>
      </c>
      <c r="J65">
        <v>3.6</v>
      </c>
      <c r="K65" t="s">
        <v>36</v>
      </c>
      <c r="L65" t="s">
        <v>28</v>
      </c>
      <c r="O65"/>
    </row>
    <row r="66" spans="1:15" x14ac:dyDescent="0.3">
      <c r="A66" t="s">
        <v>90</v>
      </c>
      <c r="B66" s="1">
        <v>45861</v>
      </c>
      <c r="C66" t="s">
        <v>22</v>
      </c>
      <c r="D66" t="s">
        <v>14</v>
      </c>
      <c r="E66" s="2">
        <v>1.5</v>
      </c>
      <c r="F66" s="3">
        <v>5.29</v>
      </c>
      <c r="G66" s="4">
        <v>27.1</v>
      </c>
      <c r="H66">
        <v>2</v>
      </c>
      <c r="I66" s="4">
        <v>54.2</v>
      </c>
      <c r="J66">
        <v>3.3</v>
      </c>
      <c r="K66" t="s">
        <v>15</v>
      </c>
      <c r="L66" t="s">
        <v>26</v>
      </c>
      <c r="O66"/>
    </row>
    <row r="67" spans="1:15" x14ac:dyDescent="0.3">
      <c r="A67" t="s">
        <v>91</v>
      </c>
      <c r="B67" s="1">
        <v>45879</v>
      </c>
      <c r="C67" t="s">
        <v>21</v>
      </c>
      <c r="D67" t="s">
        <v>14</v>
      </c>
      <c r="E67" s="2">
        <v>19.84</v>
      </c>
      <c r="F67" s="3">
        <v>41.59</v>
      </c>
      <c r="G67" s="4">
        <v>386.71</v>
      </c>
      <c r="H67">
        <v>2</v>
      </c>
      <c r="I67" s="4">
        <v>773.42</v>
      </c>
      <c r="J67">
        <v>3.1</v>
      </c>
      <c r="K67" t="s">
        <v>15</v>
      </c>
      <c r="L67" t="s">
        <v>16</v>
      </c>
      <c r="O67"/>
    </row>
    <row r="68" spans="1:15" x14ac:dyDescent="0.3">
      <c r="A68" t="s">
        <v>92</v>
      </c>
      <c r="B68" s="1">
        <v>45880</v>
      </c>
      <c r="C68" t="s">
        <v>22</v>
      </c>
      <c r="D68" t="s">
        <v>25</v>
      </c>
      <c r="E68" s="2">
        <v>1.44</v>
      </c>
      <c r="F68" s="3">
        <v>5.57</v>
      </c>
      <c r="G68" s="4">
        <v>21.61</v>
      </c>
      <c r="H68">
        <v>2</v>
      </c>
      <c r="I68" s="4">
        <v>43.22</v>
      </c>
      <c r="J68">
        <v>4.3</v>
      </c>
      <c r="K68" t="s">
        <v>33</v>
      </c>
      <c r="L68" t="s">
        <v>19</v>
      </c>
      <c r="O68"/>
    </row>
    <row r="69" spans="1:15" x14ac:dyDescent="0.3">
      <c r="A69" t="s">
        <v>93</v>
      </c>
      <c r="B69" s="1">
        <v>45661</v>
      </c>
      <c r="C69" t="s">
        <v>25</v>
      </c>
      <c r="D69" t="s">
        <v>22</v>
      </c>
      <c r="E69" s="2">
        <v>18.86</v>
      </c>
      <c r="F69" s="3">
        <v>73.319999999999993</v>
      </c>
      <c r="G69" s="4">
        <v>366.69</v>
      </c>
      <c r="H69">
        <v>2</v>
      </c>
      <c r="I69" s="4">
        <v>733.38</v>
      </c>
      <c r="J69">
        <v>4.2</v>
      </c>
      <c r="K69" t="s">
        <v>36</v>
      </c>
      <c r="L69" t="s">
        <v>26</v>
      </c>
      <c r="O69"/>
    </row>
    <row r="70" spans="1:15" x14ac:dyDescent="0.3">
      <c r="A70" t="s">
        <v>94</v>
      </c>
      <c r="B70" s="1">
        <v>45997</v>
      </c>
      <c r="C70" t="s">
        <v>13</v>
      </c>
      <c r="D70" t="s">
        <v>22</v>
      </c>
      <c r="E70" s="2">
        <v>17.690000000000001</v>
      </c>
      <c r="F70" s="3">
        <v>49.11</v>
      </c>
      <c r="G70" s="4">
        <v>290.7</v>
      </c>
      <c r="H70">
        <v>1</v>
      </c>
      <c r="I70" s="4">
        <v>290.7</v>
      </c>
      <c r="J70">
        <v>4.5999999999999996</v>
      </c>
      <c r="K70" t="s">
        <v>15</v>
      </c>
      <c r="L70" t="s">
        <v>16</v>
      </c>
      <c r="O70"/>
    </row>
    <row r="71" spans="1:15" x14ac:dyDescent="0.3">
      <c r="A71" t="s">
        <v>95</v>
      </c>
      <c r="B71" s="1">
        <v>45758</v>
      </c>
      <c r="C71" t="s">
        <v>25</v>
      </c>
      <c r="D71" t="s">
        <v>21</v>
      </c>
      <c r="E71" s="2">
        <v>19.149999999999999</v>
      </c>
      <c r="F71" s="3">
        <v>69.72</v>
      </c>
      <c r="G71" s="4">
        <v>316.26</v>
      </c>
      <c r="H71">
        <v>1.5</v>
      </c>
      <c r="I71" s="4">
        <v>474.39</v>
      </c>
      <c r="J71">
        <v>3.4</v>
      </c>
      <c r="K71" t="s">
        <v>33</v>
      </c>
      <c r="L71" t="s">
        <v>26</v>
      </c>
      <c r="O71"/>
    </row>
    <row r="72" spans="1:15" x14ac:dyDescent="0.3">
      <c r="A72" t="s">
        <v>96</v>
      </c>
      <c r="B72" s="1">
        <v>45669</v>
      </c>
      <c r="C72" t="s">
        <v>22</v>
      </c>
      <c r="D72" t="s">
        <v>21</v>
      </c>
      <c r="E72" s="2">
        <v>3.92</v>
      </c>
      <c r="F72" s="3">
        <v>7.98</v>
      </c>
      <c r="G72" s="4">
        <v>42.9</v>
      </c>
      <c r="H72">
        <v>1.5</v>
      </c>
      <c r="I72" s="4">
        <v>64.349999999999994</v>
      </c>
      <c r="J72">
        <v>3.7</v>
      </c>
      <c r="K72" t="s">
        <v>18</v>
      </c>
      <c r="L72" t="s">
        <v>19</v>
      </c>
      <c r="O72"/>
    </row>
    <row r="73" spans="1:15" x14ac:dyDescent="0.3">
      <c r="A73" t="s">
        <v>97</v>
      </c>
      <c r="B73" s="1">
        <v>45747</v>
      </c>
      <c r="C73" t="s">
        <v>21</v>
      </c>
      <c r="D73" t="s">
        <v>13</v>
      </c>
      <c r="E73" s="2">
        <v>10.25</v>
      </c>
      <c r="F73" s="3">
        <v>37.82</v>
      </c>
      <c r="G73" s="4">
        <v>104.89</v>
      </c>
      <c r="H73">
        <v>1.2</v>
      </c>
      <c r="I73" s="4">
        <v>125.87</v>
      </c>
      <c r="J73">
        <v>3.5</v>
      </c>
      <c r="K73" t="s">
        <v>33</v>
      </c>
      <c r="L73" t="s">
        <v>26</v>
      </c>
      <c r="O73"/>
    </row>
    <row r="74" spans="1:15" x14ac:dyDescent="0.3">
      <c r="A74" t="s">
        <v>98</v>
      </c>
      <c r="B74" s="1">
        <v>45853</v>
      </c>
      <c r="C74" t="s">
        <v>21</v>
      </c>
      <c r="D74" t="s">
        <v>22</v>
      </c>
      <c r="E74" s="2">
        <v>21.09</v>
      </c>
      <c r="F74" s="3">
        <v>56.87</v>
      </c>
      <c r="G74" s="4">
        <v>408.44</v>
      </c>
      <c r="H74">
        <v>2</v>
      </c>
      <c r="I74" s="4">
        <v>816.88</v>
      </c>
      <c r="J74">
        <v>4.5</v>
      </c>
      <c r="K74" t="s">
        <v>36</v>
      </c>
      <c r="L74" t="s">
        <v>28</v>
      </c>
      <c r="O74"/>
    </row>
    <row r="75" spans="1:15" x14ac:dyDescent="0.3">
      <c r="A75" t="s">
        <v>99</v>
      </c>
      <c r="B75" s="1">
        <v>45934</v>
      </c>
      <c r="C75" t="s">
        <v>25</v>
      </c>
      <c r="D75" t="s">
        <v>13</v>
      </c>
      <c r="E75" s="2">
        <v>29.06</v>
      </c>
      <c r="F75" s="3">
        <v>89.97</v>
      </c>
      <c r="G75" s="4">
        <v>413.66</v>
      </c>
      <c r="H75">
        <v>2</v>
      </c>
      <c r="I75" s="4">
        <v>827.32</v>
      </c>
      <c r="J75">
        <v>4.5999999999999996</v>
      </c>
      <c r="K75" t="s">
        <v>15</v>
      </c>
      <c r="L75" t="s">
        <v>28</v>
      </c>
      <c r="O75"/>
    </row>
    <row r="76" spans="1:15" x14ac:dyDescent="0.3">
      <c r="A76" t="s">
        <v>100</v>
      </c>
      <c r="B76" s="1">
        <v>45834</v>
      </c>
      <c r="C76" t="s">
        <v>13</v>
      </c>
      <c r="D76" t="s">
        <v>25</v>
      </c>
      <c r="E76" s="2">
        <v>22.22</v>
      </c>
      <c r="F76" s="3">
        <v>50.11</v>
      </c>
      <c r="G76" s="4">
        <v>277.75</v>
      </c>
      <c r="H76">
        <v>2</v>
      </c>
      <c r="I76" s="4">
        <v>555.5</v>
      </c>
      <c r="J76">
        <v>3.7</v>
      </c>
      <c r="K76" t="s">
        <v>30</v>
      </c>
      <c r="L76" t="s">
        <v>19</v>
      </c>
      <c r="O76"/>
    </row>
    <row r="77" spans="1:15" x14ac:dyDescent="0.3">
      <c r="A77" t="s">
        <v>101</v>
      </c>
      <c r="B77" s="1">
        <v>45847</v>
      </c>
      <c r="C77" t="s">
        <v>14</v>
      </c>
      <c r="D77" t="s">
        <v>25</v>
      </c>
      <c r="E77" s="2">
        <v>17.29</v>
      </c>
      <c r="F77" s="3">
        <v>42.83</v>
      </c>
      <c r="G77" s="4">
        <v>290.45</v>
      </c>
      <c r="H77">
        <v>1.5</v>
      </c>
      <c r="I77" s="4">
        <v>435.67</v>
      </c>
      <c r="J77">
        <v>4.5</v>
      </c>
      <c r="K77" t="s">
        <v>33</v>
      </c>
      <c r="L77" t="s">
        <v>19</v>
      </c>
      <c r="O77"/>
    </row>
    <row r="78" spans="1:15" x14ac:dyDescent="0.3">
      <c r="A78" t="s">
        <v>102</v>
      </c>
      <c r="B78" s="1">
        <v>46018</v>
      </c>
      <c r="C78" t="s">
        <v>14</v>
      </c>
      <c r="D78" t="s">
        <v>13</v>
      </c>
      <c r="E78" s="2">
        <v>11.95</v>
      </c>
      <c r="F78" s="3">
        <v>36.67</v>
      </c>
      <c r="G78" s="4">
        <v>178.84</v>
      </c>
      <c r="H78">
        <v>1</v>
      </c>
      <c r="I78" s="4">
        <v>178.84</v>
      </c>
      <c r="J78">
        <v>3.6</v>
      </c>
      <c r="K78" t="s">
        <v>18</v>
      </c>
      <c r="L78" t="s">
        <v>26</v>
      </c>
      <c r="O78"/>
    </row>
    <row r="79" spans="1:15" x14ac:dyDescent="0.3">
      <c r="A79" t="s">
        <v>103</v>
      </c>
      <c r="B79" s="1">
        <v>45844</v>
      </c>
      <c r="C79" t="s">
        <v>21</v>
      </c>
      <c r="D79" t="s">
        <v>25</v>
      </c>
      <c r="E79" s="2">
        <v>3.9</v>
      </c>
      <c r="F79" s="3">
        <v>8.2200000000000006</v>
      </c>
      <c r="G79" s="4">
        <v>76.38</v>
      </c>
      <c r="H79">
        <v>1.5</v>
      </c>
      <c r="I79" s="4">
        <v>114.57</v>
      </c>
      <c r="J79">
        <v>3.2</v>
      </c>
      <c r="K79" t="s">
        <v>36</v>
      </c>
      <c r="L79" t="s">
        <v>28</v>
      </c>
      <c r="O79"/>
    </row>
    <row r="80" spans="1:15" x14ac:dyDescent="0.3">
      <c r="A80" t="s">
        <v>104</v>
      </c>
      <c r="B80" s="1">
        <v>45941</v>
      </c>
      <c r="C80" t="s">
        <v>14</v>
      </c>
      <c r="D80" t="s">
        <v>13</v>
      </c>
      <c r="E80" s="2">
        <v>28.55</v>
      </c>
      <c r="F80" s="3">
        <v>111.38</v>
      </c>
      <c r="G80" s="4">
        <v>449.22</v>
      </c>
      <c r="H80">
        <v>1.5</v>
      </c>
      <c r="I80" s="4">
        <v>673.83</v>
      </c>
      <c r="J80">
        <v>3.2</v>
      </c>
      <c r="K80" t="s">
        <v>36</v>
      </c>
      <c r="L80" t="s">
        <v>16</v>
      </c>
      <c r="O80"/>
    </row>
    <row r="81" spans="1:15" x14ac:dyDescent="0.3">
      <c r="A81" t="s">
        <v>105</v>
      </c>
      <c r="B81" s="1">
        <v>45726</v>
      </c>
      <c r="C81" t="s">
        <v>14</v>
      </c>
      <c r="D81" t="s">
        <v>25</v>
      </c>
      <c r="E81" s="2">
        <v>9.5</v>
      </c>
      <c r="F81" s="3">
        <v>25.24</v>
      </c>
      <c r="G81" s="4">
        <v>158.88999999999999</v>
      </c>
      <c r="H81">
        <v>2</v>
      </c>
      <c r="I81" s="4">
        <v>317.77999999999997</v>
      </c>
      <c r="J81">
        <v>4.9000000000000004</v>
      </c>
      <c r="K81" t="s">
        <v>15</v>
      </c>
      <c r="L81" t="s">
        <v>28</v>
      </c>
      <c r="O81"/>
    </row>
    <row r="82" spans="1:15" x14ac:dyDescent="0.3">
      <c r="A82" t="s">
        <v>106</v>
      </c>
      <c r="B82" s="1">
        <v>45801</v>
      </c>
      <c r="C82" t="s">
        <v>14</v>
      </c>
      <c r="D82" t="s">
        <v>21</v>
      </c>
      <c r="E82" s="2">
        <v>23.9</v>
      </c>
      <c r="F82" s="3">
        <v>52.16</v>
      </c>
      <c r="G82" s="4">
        <v>357.17</v>
      </c>
      <c r="H82">
        <v>1.5</v>
      </c>
      <c r="I82" s="4">
        <v>535.76</v>
      </c>
      <c r="J82">
        <v>5</v>
      </c>
      <c r="K82" t="s">
        <v>15</v>
      </c>
      <c r="L82" t="s">
        <v>19</v>
      </c>
      <c r="O82"/>
    </row>
    <row r="83" spans="1:15" x14ac:dyDescent="0.3">
      <c r="A83" t="s">
        <v>107</v>
      </c>
      <c r="B83" s="1">
        <v>45779</v>
      </c>
      <c r="C83" t="s">
        <v>25</v>
      </c>
      <c r="D83" t="s">
        <v>25</v>
      </c>
      <c r="E83" s="2">
        <v>13.8</v>
      </c>
      <c r="F83" s="3">
        <v>52.1</v>
      </c>
      <c r="G83" s="4">
        <v>186.43</v>
      </c>
      <c r="H83">
        <v>1.2</v>
      </c>
      <c r="I83" s="4">
        <v>223.72</v>
      </c>
      <c r="J83">
        <v>4.9000000000000004</v>
      </c>
      <c r="K83" t="s">
        <v>30</v>
      </c>
      <c r="L83" t="s">
        <v>26</v>
      </c>
      <c r="O83"/>
    </row>
    <row r="84" spans="1:15" x14ac:dyDescent="0.3">
      <c r="A84" t="s">
        <v>108</v>
      </c>
      <c r="B84" s="1">
        <v>45666</v>
      </c>
      <c r="C84" t="s">
        <v>14</v>
      </c>
      <c r="D84" t="s">
        <v>14</v>
      </c>
      <c r="E84" s="2">
        <v>23.08</v>
      </c>
      <c r="F84" s="3">
        <v>74.7</v>
      </c>
      <c r="G84" s="4">
        <v>254.14</v>
      </c>
      <c r="H84">
        <v>1.5</v>
      </c>
      <c r="I84" s="4">
        <v>381.21</v>
      </c>
      <c r="J84">
        <v>3.9</v>
      </c>
      <c r="K84" t="s">
        <v>18</v>
      </c>
      <c r="L84" t="s">
        <v>28</v>
      </c>
      <c r="O84"/>
    </row>
    <row r="85" spans="1:15" x14ac:dyDescent="0.3">
      <c r="A85" t="s">
        <v>109</v>
      </c>
      <c r="B85" s="1">
        <v>45825</v>
      </c>
      <c r="C85" t="s">
        <v>25</v>
      </c>
      <c r="D85" t="s">
        <v>22</v>
      </c>
      <c r="E85" s="2">
        <v>3.11</v>
      </c>
      <c r="F85" s="3">
        <v>11.33</v>
      </c>
      <c r="G85" s="4">
        <v>53.06</v>
      </c>
      <c r="H85">
        <v>1</v>
      </c>
      <c r="I85" s="4">
        <v>53.06</v>
      </c>
      <c r="J85">
        <v>4</v>
      </c>
      <c r="K85" t="s">
        <v>36</v>
      </c>
      <c r="L85" t="s">
        <v>19</v>
      </c>
      <c r="O85"/>
    </row>
    <row r="86" spans="1:15" x14ac:dyDescent="0.3">
      <c r="A86" t="s">
        <v>110</v>
      </c>
      <c r="B86" s="1">
        <v>45996</v>
      </c>
      <c r="C86" t="s">
        <v>22</v>
      </c>
      <c r="D86" t="s">
        <v>14</v>
      </c>
      <c r="E86" s="2">
        <v>17.86</v>
      </c>
      <c r="F86" s="3">
        <v>66.55</v>
      </c>
      <c r="G86" s="4">
        <v>335.83</v>
      </c>
      <c r="H86">
        <v>1</v>
      </c>
      <c r="I86" s="4">
        <v>335.83</v>
      </c>
      <c r="J86">
        <v>4.9000000000000004</v>
      </c>
      <c r="K86" t="s">
        <v>36</v>
      </c>
      <c r="L86" t="s">
        <v>16</v>
      </c>
      <c r="O86"/>
    </row>
    <row r="87" spans="1:15" x14ac:dyDescent="0.3">
      <c r="A87" t="s">
        <v>111</v>
      </c>
      <c r="B87" s="1">
        <v>45874</v>
      </c>
      <c r="C87" t="s">
        <v>25</v>
      </c>
      <c r="D87" t="s">
        <v>21</v>
      </c>
      <c r="E87" s="2">
        <v>18.16</v>
      </c>
      <c r="F87" s="3">
        <v>49.04</v>
      </c>
      <c r="G87" s="4">
        <v>310.20999999999998</v>
      </c>
      <c r="H87">
        <v>1.5</v>
      </c>
      <c r="I87" s="4">
        <v>465.31</v>
      </c>
      <c r="J87">
        <v>4.5999999999999996</v>
      </c>
      <c r="K87" t="s">
        <v>33</v>
      </c>
      <c r="L87" t="s">
        <v>28</v>
      </c>
      <c r="O87"/>
    </row>
    <row r="88" spans="1:15" x14ac:dyDescent="0.3">
      <c r="A88" t="s">
        <v>112</v>
      </c>
      <c r="B88" s="1">
        <v>45839</v>
      </c>
      <c r="C88" t="s">
        <v>14</v>
      </c>
      <c r="D88" t="s">
        <v>25</v>
      </c>
      <c r="E88" s="2">
        <v>21.45</v>
      </c>
      <c r="F88" s="3">
        <v>53.57</v>
      </c>
      <c r="G88" s="4">
        <v>285.33999999999997</v>
      </c>
      <c r="H88">
        <v>1.2</v>
      </c>
      <c r="I88" s="4">
        <v>342.41</v>
      </c>
      <c r="J88">
        <v>4</v>
      </c>
      <c r="K88" t="s">
        <v>15</v>
      </c>
      <c r="L88" t="s">
        <v>28</v>
      </c>
      <c r="O88"/>
    </row>
    <row r="89" spans="1:15" x14ac:dyDescent="0.3">
      <c r="A89" t="s">
        <v>113</v>
      </c>
      <c r="B89" s="1">
        <v>45798</v>
      </c>
      <c r="C89" t="s">
        <v>21</v>
      </c>
      <c r="D89" t="s">
        <v>21</v>
      </c>
      <c r="E89" s="2">
        <v>12.75</v>
      </c>
      <c r="F89" s="3">
        <v>40.07</v>
      </c>
      <c r="G89" s="4">
        <v>221.97</v>
      </c>
      <c r="H89">
        <v>2</v>
      </c>
      <c r="I89" s="4">
        <v>443.94</v>
      </c>
      <c r="J89">
        <v>3.2</v>
      </c>
      <c r="K89" t="s">
        <v>18</v>
      </c>
      <c r="L89" t="s">
        <v>16</v>
      </c>
      <c r="O89"/>
    </row>
    <row r="90" spans="1:15" x14ac:dyDescent="0.3">
      <c r="A90" t="s">
        <v>114</v>
      </c>
      <c r="B90" s="1">
        <v>46018</v>
      </c>
      <c r="C90" t="s">
        <v>22</v>
      </c>
      <c r="D90" t="s">
        <v>21</v>
      </c>
      <c r="E90" s="2">
        <v>22.58</v>
      </c>
      <c r="F90" s="3">
        <v>75.92</v>
      </c>
      <c r="G90" s="4">
        <v>279.43</v>
      </c>
      <c r="H90">
        <v>1</v>
      </c>
      <c r="I90" s="4">
        <v>279.43</v>
      </c>
      <c r="J90">
        <v>3.7</v>
      </c>
      <c r="K90" t="s">
        <v>33</v>
      </c>
      <c r="L90" t="s">
        <v>26</v>
      </c>
      <c r="O90"/>
    </row>
    <row r="91" spans="1:15" x14ac:dyDescent="0.3">
      <c r="A91" t="s">
        <v>115</v>
      </c>
      <c r="B91" s="1">
        <v>45969</v>
      </c>
      <c r="C91" t="s">
        <v>22</v>
      </c>
      <c r="D91" t="s">
        <v>25</v>
      </c>
      <c r="E91" s="2">
        <v>16.32</v>
      </c>
      <c r="F91" s="3">
        <v>46.88</v>
      </c>
      <c r="G91" s="4">
        <v>294.10000000000002</v>
      </c>
      <c r="H91">
        <v>1</v>
      </c>
      <c r="I91" s="4">
        <v>294.10000000000002</v>
      </c>
      <c r="J91">
        <v>4.9000000000000004</v>
      </c>
      <c r="K91" t="s">
        <v>18</v>
      </c>
      <c r="L91" t="s">
        <v>26</v>
      </c>
      <c r="O91"/>
    </row>
    <row r="92" spans="1:15" x14ac:dyDescent="0.3">
      <c r="A92" t="s">
        <v>116</v>
      </c>
      <c r="B92" s="1">
        <v>45974</v>
      </c>
      <c r="C92" t="s">
        <v>21</v>
      </c>
      <c r="D92" t="s">
        <v>13</v>
      </c>
      <c r="E92" s="2">
        <v>10.36</v>
      </c>
      <c r="F92" s="3">
        <v>21.62</v>
      </c>
      <c r="G92" s="4">
        <v>199.39</v>
      </c>
      <c r="H92">
        <v>2</v>
      </c>
      <c r="I92" s="4">
        <v>398.78</v>
      </c>
      <c r="J92">
        <v>3.1</v>
      </c>
      <c r="K92" t="s">
        <v>15</v>
      </c>
      <c r="L92" t="s">
        <v>28</v>
      </c>
      <c r="O92"/>
    </row>
    <row r="93" spans="1:15" x14ac:dyDescent="0.3">
      <c r="A93" t="s">
        <v>117</v>
      </c>
      <c r="B93" s="1">
        <v>45884</v>
      </c>
      <c r="C93" t="s">
        <v>14</v>
      </c>
      <c r="D93" t="s">
        <v>25</v>
      </c>
      <c r="E93" s="2">
        <v>21.17</v>
      </c>
      <c r="F93" s="3">
        <v>45.53</v>
      </c>
      <c r="G93" s="4">
        <v>246.89</v>
      </c>
      <c r="H93">
        <v>1</v>
      </c>
      <c r="I93" s="4">
        <v>246.89</v>
      </c>
      <c r="J93">
        <v>4.4000000000000004</v>
      </c>
      <c r="K93" t="s">
        <v>18</v>
      </c>
      <c r="L93" t="s">
        <v>16</v>
      </c>
      <c r="O93"/>
    </row>
    <row r="94" spans="1:15" x14ac:dyDescent="0.3">
      <c r="A94" t="s">
        <v>118</v>
      </c>
      <c r="B94" s="1">
        <v>45658</v>
      </c>
      <c r="C94" t="s">
        <v>13</v>
      </c>
      <c r="D94" t="s">
        <v>14</v>
      </c>
      <c r="E94" s="2">
        <v>19.2</v>
      </c>
      <c r="F94" s="3">
        <v>60.84</v>
      </c>
      <c r="G94" s="4">
        <v>365.02</v>
      </c>
      <c r="H94">
        <v>1</v>
      </c>
      <c r="I94" s="4">
        <v>365.02</v>
      </c>
      <c r="J94">
        <v>4.8</v>
      </c>
      <c r="K94" t="s">
        <v>15</v>
      </c>
      <c r="L94" t="s">
        <v>28</v>
      </c>
      <c r="O94"/>
    </row>
    <row r="95" spans="1:15" x14ac:dyDescent="0.3">
      <c r="A95" t="s">
        <v>119</v>
      </c>
      <c r="B95" s="1">
        <v>45987</v>
      </c>
      <c r="C95" t="s">
        <v>14</v>
      </c>
      <c r="D95" t="s">
        <v>21</v>
      </c>
      <c r="E95" s="2">
        <v>28.56</v>
      </c>
      <c r="F95" s="3">
        <v>107.97</v>
      </c>
      <c r="G95" s="4">
        <v>415.74</v>
      </c>
      <c r="H95">
        <v>2</v>
      </c>
      <c r="I95" s="4">
        <v>831.48</v>
      </c>
      <c r="J95">
        <v>3.7</v>
      </c>
      <c r="K95" t="s">
        <v>30</v>
      </c>
      <c r="L95" t="s">
        <v>28</v>
      </c>
      <c r="O95"/>
    </row>
    <row r="96" spans="1:15" x14ac:dyDescent="0.3">
      <c r="A96" t="s">
        <v>120</v>
      </c>
      <c r="B96" s="1">
        <v>45779</v>
      </c>
      <c r="C96" t="s">
        <v>13</v>
      </c>
      <c r="D96" t="s">
        <v>22</v>
      </c>
      <c r="E96" s="2">
        <v>6.46</v>
      </c>
      <c r="F96" s="3">
        <v>18.91</v>
      </c>
      <c r="G96" s="4">
        <v>87.43</v>
      </c>
      <c r="H96">
        <v>1.2</v>
      </c>
      <c r="I96" s="4">
        <v>104.92</v>
      </c>
      <c r="J96">
        <v>3.5</v>
      </c>
      <c r="K96" t="s">
        <v>36</v>
      </c>
      <c r="L96" t="s">
        <v>16</v>
      </c>
      <c r="O96"/>
    </row>
    <row r="97" spans="1:15" x14ac:dyDescent="0.3">
      <c r="A97" t="s">
        <v>121</v>
      </c>
      <c r="B97" s="1">
        <v>46014</v>
      </c>
      <c r="C97" t="s">
        <v>25</v>
      </c>
      <c r="D97" t="s">
        <v>22</v>
      </c>
      <c r="E97" s="2">
        <v>29.26</v>
      </c>
      <c r="F97" s="3">
        <v>116.23</v>
      </c>
      <c r="G97" s="4">
        <v>496.88</v>
      </c>
      <c r="H97">
        <v>1</v>
      </c>
      <c r="I97" s="4">
        <v>496.88</v>
      </c>
      <c r="J97">
        <v>3.6</v>
      </c>
      <c r="K97" t="s">
        <v>33</v>
      </c>
      <c r="L97" t="s">
        <v>26</v>
      </c>
      <c r="O97"/>
    </row>
    <row r="98" spans="1:15" x14ac:dyDescent="0.3">
      <c r="A98" t="s">
        <v>122</v>
      </c>
      <c r="B98" s="1">
        <v>45869</v>
      </c>
      <c r="C98" t="s">
        <v>21</v>
      </c>
      <c r="D98" t="s">
        <v>22</v>
      </c>
      <c r="E98" s="2">
        <v>18.48</v>
      </c>
      <c r="F98" s="3">
        <v>46.97</v>
      </c>
      <c r="G98" s="4">
        <v>209.41</v>
      </c>
      <c r="H98">
        <v>1.5</v>
      </c>
      <c r="I98" s="4">
        <v>314.12</v>
      </c>
      <c r="J98">
        <v>4.5999999999999996</v>
      </c>
      <c r="K98" t="s">
        <v>15</v>
      </c>
      <c r="L98" t="s">
        <v>16</v>
      </c>
      <c r="O98"/>
    </row>
    <row r="99" spans="1:15" x14ac:dyDescent="0.3">
      <c r="A99" t="s">
        <v>123</v>
      </c>
      <c r="B99" s="1">
        <v>45739</v>
      </c>
      <c r="C99" t="s">
        <v>14</v>
      </c>
      <c r="D99" t="s">
        <v>21</v>
      </c>
      <c r="E99" s="2">
        <v>13.08</v>
      </c>
      <c r="F99" s="3">
        <v>41.36</v>
      </c>
      <c r="G99" s="4">
        <v>251.03</v>
      </c>
      <c r="H99">
        <v>1.2</v>
      </c>
      <c r="I99" s="4">
        <v>301.24</v>
      </c>
      <c r="J99">
        <v>4.9000000000000004</v>
      </c>
      <c r="K99" t="s">
        <v>15</v>
      </c>
      <c r="L99" t="s">
        <v>19</v>
      </c>
      <c r="O99"/>
    </row>
    <row r="100" spans="1:15" x14ac:dyDescent="0.3">
      <c r="A100" t="s">
        <v>124</v>
      </c>
      <c r="B100" s="1">
        <v>45899</v>
      </c>
      <c r="C100" t="s">
        <v>13</v>
      </c>
      <c r="D100" t="s">
        <v>13</v>
      </c>
      <c r="E100" s="2">
        <v>17</v>
      </c>
      <c r="F100" s="3">
        <v>39.6</v>
      </c>
      <c r="G100" s="4">
        <v>239.91</v>
      </c>
      <c r="H100">
        <v>1.2</v>
      </c>
      <c r="I100" s="4">
        <v>287.89</v>
      </c>
      <c r="J100">
        <v>4.5999999999999996</v>
      </c>
      <c r="K100" t="s">
        <v>18</v>
      </c>
      <c r="L100" t="s">
        <v>28</v>
      </c>
      <c r="O100"/>
    </row>
    <row r="101" spans="1:15" x14ac:dyDescent="0.3">
      <c r="A101" t="s">
        <v>125</v>
      </c>
      <c r="B101" s="1">
        <v>45881</v>
      </c>
      <c r="C101" t="s">
        <v>25</v>
      </c>
      <c r="D101" t="s">
        <v>13</v>
      </c>
      <c r="E101" s="2">
        <v>29.57</v>
      </c>
      <c r="F101" s="3">
        <v>81.42</v>
      </c>
      <c r="G101" s="4">
        <v>517.35</v>
      </c>
      <c r="H101">
        <v>1</v>
      </c>
      <c r="I101" s="4">
        <v>517.35</v>
      </c>
      <c r="J101">
        <v>4.9000000000000004</v>
      </c>
      <c r="K101" t="s">
        <v>36</v>
      </c>
      <c r="L101" t="s">
        <v>28</v>
      </c>
      <c r="O101"/>
    </row>
    <row r="102" spans="1:15" x14ac:dyDescent="0.3">
      <c r="A102" t="s">
        <v>126</v>
      </c>
      <c r="B102" s="1">
        <v>45940</v>
      </c>
      <c r="C102" t="s">
        <v>25</v>
      </c>
      <c r="D102" t="s">
        <v>21</v>
      </c>
      <c r="E102" s="2">
        <v>17.5</v>
      </c>
      <c r="F102" s="3">
        <v>37.22</v>
      </c>
      <c r="G102" s="4">
        <v>181.44</v>
      </c>
      <c r="H102">
        <v>1.5</v>
      </c>
      <c r="I102" s="4">
        <v>272.16000000000003</v>
      </c>
      <c r="J102">
        <v>3.5</v>
      </c>
      <c r="K102" t="s">
        <v>18</v>
      </c>
      <c r="L102" t="s">
        <v>26</v>
      </c>
      <c r="O102"/>
    </row>
    <row r="103" spans="1:15" x14ac:dyDescent="0.3">
      <c r="A103" t="s">
        <v>127</v>
      </c>
      <c r="B103" s="1">
        <v>45968</v>
      </c>
      <c r="C103" t="s">
        <v>13</v>
      </c>
      <c r="D103" t="s">
        <v>25</v>
      </c>
      <c r="E103" s="2">
        <v>26.08</v>
      </c>
      <c r="F103" s="3">
        <v>94.56</v>
      </c>
      <c r="G103" s="4">
        <v>521.53</v>
      </c>
      <c r="H103">
        <v>1.2</v>
      </c>
      <c r="I103" s="4">
        <v>625.84</v>
      </c>
      <c r="J103">
        <v>4.8</v>
      </c>
      <c r="K103" t="s">
        <v>36</v>
      </c>
      <c r="L103" t="s">
        <v>19</v>
      </c>
      <c r="O103"/>
    </row>
    <row r="104" spans="1:15" x14ac:dyDescent="0.3">
      <c r="A104" t="s">
        <v>128</v>
      </c>
      <c r="B104" s="1">
        <v>45680</v>
      </c>
      <c r="C104" t="s">
        <v>25</v>
      </c>
      <c r="D104" t="s">
        <v>13</v>
      </c>
      <c r="E104" s="2">
        <v>23.3</v>
      </c>
      <c r="F104" s="3">
        <v>90.63</v>
      </c>
      <c r="G104" s="4">
        <v>430.97</v>
      </c>
      <c r="H104">
        <v>1</v>
      </c>
      <c r="I104" s="4">
        <v>430.97</v>
      </c>
      <c r="J104">
        <v>3.5</v>
      </c>
      <c r="K104" t="s">
        <v>15</v>
      </c>
      <c r="L104" t="s">
        <v>16</v>
      </c>
      <c r="O104"/>
    </row>
    <row r="105" spans="1:15" x14ac:dyDescent="0.3">
      <c r="A105" t="s">
        <v>129</v>
      </c>
      <c r="B105" s="1">
        <v>45658</v>
      </c>
      <c r="C105" t="s">
        <v>13</v>
      </c>
      <c r="D105" t="s">
        <v>22</v>
      </c>
      <c r="E105" s="2">
        <v>28.67</v>
      </c>
      <c r="F105" s="3">
        <v>92.1</v>
      </c>
      <c r="G105" s="4">
        <v>352.25</v>
      </c>
      <c r="H105">
        <v>1</v>
      </c>
      <c r="I105" s="4">
        <v>352.25</v>
      </c>
      <c r="J105">
        <v>4.5</v>
      </c>
      <c r="K105" t="s">
        <v>33</v>
      </c>
      <c r="L105" t="s">
        <v>26</v>
      </c>
      <c r="O105"/>
    </row>
    <row r="106" spans="1:15" x14ac:dyDescent="0.3">
      <c r="A106" t="s">
        <v>130</v>
      </c>
      <c r="B106" s="1">
        <v>45691</v>
      </c>
      <c r="C106" t="s">
        <v>21</v>
      </c>
      <c r="D106" t="s">
        <v>25</v>
      </c>
      <c r="E106" s="2">
        <v>11.39</v>
      </c>
      <c r="F106" s="3">
        <v>25.37</v>
      </c>
      <c r="G106" s="4">
        <v>190.39</v>
      </c>
      <c r="H106">
        <v>1.2</v>
      </c>
      <c r="I106" s="4">
        <v>228.47</v>
      </c>
      <c r="J106">
        <v>4</v>
      </c>
      <c r="K106" t="s">
        <v>15</v>
      </c>
      <c r="L106" t="s">
        <v>26</v>
      </c>
      <c r="O106"/>
    </row>
    <row r="107" spans="1:15" x14ac:dyDescent="0.3">
      <c r="A107" t="s">
        <v>131</v>
      </c>
      <c r="B107" s="1">
        <v>45916</v>
      </c>
      <c r="C107" t="s">
        <v>13</v>
      </c>
      <c r="D107" t="s">
        <v>22</v>
      </c>
      <c r="E107" s="2">
        <v>16.079999999999998</v>
      </c>
      <c r="F107" s="3">
        <v>59.57</v>
      </c>
      <c r="G107" s="4">
        <v>249.55</v>
      </c>
      <c r="H107">
        <v>1</v>
      </c>
      <c r="I107" s="4">
        <v>249.55</v>
      </c>
      <c r="J107">
        <v>3.2</v>
      </c>
      <c r="K107" t="s">
        <v>15</v>
      </c>
      <c r="L107" t="s">
        <v>16</v>
      </c>
      <c r="O107"/>
    </row>
    <row r="108" spans="1:15" x14ac:dyDescent="0.3">
      <c r="A108" t="s">
        <v>132</v>
      </c>
      <c r="B108" s="1">
        <v>45908</v>
      </c>
      <c r="C108" t="s">
        <v>13</v>
      </c>
      <c r="D108" t="s">
        <v>13</v>
      </c>
      <c r="E108" s="2">
        <v>12.7</v>
      </c>
      <c r="F108" s="3">
        <v>28.8</v>
      </c>
      <c r="G108" s="4">
        <v>130.66</v>
      </c>
      <c r="H108">
        <v>1.5</v>
      </c>
      <c r="I108" s="4">
        <v>195.99</v>
      </c>
      <c r="J108">
        <v>4.5999999999999996</v>
      </c>
      <c r="K108" t="s">
        <v>30</v>
      </c>
      <c r="L108" t="s">
        <v>19</v>
      </c>
      <c r="O108"/>
    </row>
    <row r="109" spans="1:15" x14ac:dyDescent="0.3">
      <c r="A109" t="s">
        <v>133</v>
      </c>
      <c r="B109" s="1">
        <v>45723</v>
      </c>
      <c r="C109" t="s">
        <v>22</v>
      </c>
      <c r="D109" t="s">
        <v>14</v>
      </c>
      <c r="E109" s="2">
        <v>24.35</v>
      </c>
      <c r="F109" s="3">
        <v>92.68</v>
      </c>
      <c r="G109" s="4">
        <v>393.8</v>
      </c>
      <c r="H109">
        <v>1.2</v>
      </c>
      <c r="I109" s="4">
        <v>472.56</v>
      </c>
      <c r="J109">
        <v>3.7</v>
      </c>
      <c r="K109" t="s">
        <v>36</v>
      </c>
      <c r="L109" t="s">
        <v>28</v>
      </c>
      <c r="O109"/>
    </row>
    <row r="110" spans="1:15" x14ac:dyDescent="0.3">
      <c r="A110" t="s">
        <v>134</v>
      </c>
      <c r="B110" s="1">
        <v>45755</v>
      </c>
      <c r="C110" t="s">
        <v>14</v>
      </c>
      <c r="D110" t="s">
        <v>22</v>
      </c>
      <c r="E110" s="2">
        <v>19.46</v>
      </c>
      <c r="F110" s="3">
        <v>60.51</v>
      </c>
      <c r="G110" s="4">
        <v>212.31</v>
      </c>
      <c r="H110">
        <v>1.2</v>
      </c>
      <c r="I110" s="4">
        <v>254.77</v>
      </c>
      <c r="J110">
        <v>3.7</v>
      </c>
      <c r="K110" t="s">
        <v>18</v>
      </c>
      <c r="L110" t="s">
        <v>28</v>
      </c>
      <c r="O110"/>
    </row>
    <row r="111" spans="1:15" x14ac:dyDescent="0.3">
      <c r="A111" t="s">
        <v>135</v>
      </c>
      <c r="B111" s="1">
        <v>45823</v>
      </c>
      <c r="C111" t="s">
        <v>25</v>
      </c>
      <c r="D111" t="s">
        <v>25</v>
      </c>
      <c r="E111" s="2">
        <v>14.08</v>
      </c>
      <c r="F111" s="3">
        <v>53.8</v>
      </c>
      <c r="G111" s="4">
        <v>182.75</v>
      </c>
      <c r="H111">
        <v>1.2</v>
      </c>
      <c r="I111" s="4">
        <v>219.3</v>
      </c>
      <c r="J111">
        <v>4.7</v>
      </c>
      <c r="K111" t="s">
        <v>18</v>
      </c>
      <c r="L111" t="s">
        <v>16</v>
      </c>
      <c r="O111"/>
    </row>
    <row r="112" spans="1:15" x14ac:dyDescent="0.3">
      <c r="A112" t="s">
        <v>136</v>
      </c>
      <c r="B112" s="1">
        <v>45790</v>
      </c>
      <c r="C112" t="s">
        <v>21</v>
      </c>
      <c r="D112" t="s">
        <v>25</v>
      </c>
      <c r="E112" s="2">
        <v>24.1</v>
      </c>
      <c r="F112" s="3">
        <v>70.34</v>
      </c>
      <c r="G112" s="4">
        <v>443.94</v>
      </c>
      <c r="H112">
        <v>1</v>
      </c>
      <c r="I112" s="4">
        <v>443.94</v>
      </c>
      <c r="J112">
        <v>3.5</v>
      </c>
      <c r="K112" t="s">
        <v>18</v>
      </c>
      <c r="L112" t="s">
        <v>28</v>
      </c>
      <c r="O112"/>
    </row>
    <row r="113" spans="1:15" x14ac:dyDescent="0.3">
      <c r="A113" t="s">
        <v>137</v>
      </c>
      <c r="B113" s="1">
        <v>45726</v>
      </c>
      <c r="C113" t="s">
        <v>14</v>
      </c>
      <c r="D113" t="s">
        <v>21</v>
      </c>
      <c r="E113" s="2">
        <v>29.42</v>
      </c>
      <c r="F113" s="3">
        <v>87.83</v>
      </c>
      <c r="G113" s="4">
        <v>390.92</v>
      </c>
      <c r="H113">
        <v>1.5</v>
      </c>
      <c r="I113" s="4">
        <v>586.38</v>
      </c>
      <c r="J113">
        <v>4.2</v>
      </c>
      <c r="K113" t="s">
        <v>15</v>
      </c>
      <c r="L113" t="s">
        <v>26</v>
      </c>
      <c r="O113"/>
    </row>
    <row r="114" spans="1:15" x14ac:dyDescent="0.3">
      <c r="A114" t="s">
        <v>138</v>
      </c>
      <c r="B114" s="1">
        <v>45768</v>
      </c>
      <c r="C114" t="s">
        <v>14</v>
      </c>
      <c r="D114" t="s">
        <v>13</v>
      </c>
      <c r="E114" s="2">
        <v>4.74</v>
      </c>
      <c r="F114" s="3">
        <v>10.69</v>
      </c>
      <c r="G114" s="4">
        <v>54.6</v>
      </c>
      <c r="H114">
        <v>1.2</v>
      </c>
      <c r="I114" s="4">
        <v>65.52</v>
      </c>
      <c r="J114">
        <v>4.4000000000000004</v>
      </c>
      <c r="K114" t="s">
        <v>15</v>
      </c>
      <c r="L114" t="s">
        <v>28</v>
      </c>
      <c r="O114"/>
    </row>
    <row r="115" spans="1:15" x14ac:dyDescent="0.3">
      <c r="A115" t="s">
        <v>139</v>
      </c>
      <c r="B115" s="1">
        <v>46017</v>
      </c>
      <c r="C115" t="s">
        <v>21</v>
      </c>
      <c r="D115" t="s">
        <v>14</v>
      </c>
      <c r="E115" s="2">
        <v>21.2</v>
      </c>
      <c r="F115" s="3">
        <v>59.85</v>
      </c>
      <c r="G115" s="4">
        <v>397.36</v>
      </c>
      <c r="H115">
        <v>1.5</v>
      </c>
      <c r="I115" s="4">
        <v>596.04</v>
      </c>
      <c r="J115">
        <v>4.3</v>
      </c>
      <c r="K115" t="s">
        <v>18</v>
      </c>
      <c r="L115" t="s">
        <v>26</v>
      </c>
      <c r="O115"/>
    </row>
    <row r="116" spans="1:15" x14ac:dyDescent="0.3">
      <c r="A116" t="s">
        <v>140</v>
      </c>
      <c r="B116" s="1">
        <v>45718</v>
      </c>
      <c r="C116" t="s">
        <v>22</v>
      </c>
      <c r="D116" t="s">
        <v>22</v>
      </c>
      <c r="E116" s="2">
        <v>6.58</v>
      </c>
      <c r="F116" s="3">
        <v>13.7</v>
      </c>
      <c r="G116" s="4">
        <v>76.92</v>
      </c>
      <c r="H116">
        <v>2</v>
      </c>
      <c r="I116" s="4">
        <v>153.84</v>
      </c>
      <c r="J116">
        <v>3.7</v>
      </c>
      <c r="K116" t="s">
        <v>36</v>
      </c>
      <c r="L116" t="s">
        <v>28</v>
      </c>
      <c r="O116"/>
    </row>
    <row r="117" spans="1:15" x14ac:dyDescent="0.3">
      <c r="A117" t="s">
        <v>141</v>
      </c>
      <c r="B117" s="1">
        <v>45679</v>
      </c>
      <c r="C117" t="s">
        <v>22</v>
      </c>
      <c r="D117" t="s">
        <v>22</v>
      </c>
      <c r="E117" s="2">
        <v>3.57</v>
      </c>
      <c r="F117" s="3">
        <v>8</v>
      </c>
      <c r="G117" s="4">
        <v>52.15</v>
      </c>
      <c r="H117">
        <v>1.2</v>
      </c>
      <c r="I117" s="4">
        <v>62.58</v>
      </c>
      <c r="J117">
        <v>4.8</v>
      </c>
      <c r="K117" t="s">
        <v>36</v>
      </c>
      <c r="L117" t="s">
        <v>16</v>
      </c>
      <c r="O117"/>
    </row>
    <row r="118" spans="1:15" x14ac:dyDescent="0.3">
      <c r="A118" t="s">
        <v>142</v>
      </c>
      <c r="B118" s="1">
        <v>45735</v>
      </c>
      <c r="C118" t="s">
        <v>25</v>
      </c>
      <c r="D118" t="s">
        <v>21</v>
      </c>
      <c r="E118" s="2">
        <v>10.57</v>
      </c>
      <c r="F118" s="3">
        <v>27.94</v>
      </c>
      <c r="G118" s="4">
        <v>115.46</v>
      </c>
      <c r="H118">
        <v>1.5</v>
      </c>
      <c r="I118" s="4">
        <v>173.19</v>
      </c>
      <c r="J118">
        <v>4.3</v>
      </c>
      <c r="K118" t="s">
        <v>18</v>
      </c>
      <c r="L118" t="s">
        <v>16</v>
      </c>
      <c r="O118"/>
    </row>
    <row r="119" spans="1:15" x14ac:dyDescent="0.3">
      <c r="A119" t="s">
        <v>143</v>
      </c>
      <c r="B119" s="1">
        <v>45896</v>
      </c>
      <c r="C119" t="s">
        <v>25</v>
      </c>
      <c r="D119" t="s">
        <v>13</v>
      </c>
      <c r="E119" s="2">
        <v>15.84</v>
      </c>
      <c r="F119" s="3">
        <v>36.65</v>
      </c>
      <c r="G119" s="4">
        <v>218.16</v>
      </c>
      <c r="H119">
        <v>1</v>
      </c>
      <c r="I119" s="4">
        <v>218.16</v>
      </c>
      <c r="J119">
        <v>3.6</v>
      </c>
      <c r="K119" t="s">
        <v>36</v>
      </c>
      <c r="L119" t="s">
        <v>16</v>
      </c>
      <c r="O119"/>
    </row>
    <row r="120" spans="1:15" x14ac:dyDescent="0.3">
      <c r="A120" t="s">
        <v>144</v>
      </c>
      <c r="B120" s="1">
        <v>45914</v>
      </c>
      <c r="C120" t="s">
        <v>21</v>
      </c>
      <c r="D120" t="s">
        <v>13</v>
      </c>
      <c r="E120" s="2">
        <v>3.45</v>
      </c>
      <c r="F120" s="3">
        <v>11.02</v>
      </c>
      <c r="G120" s="4">
        <v>68.53</v>
      </c>
      <c r="H120">
        <v>1.5</v>
      </c>
      <c r="I120" s="4">
        <v>102.8</v>
      </c>
      <c r="J120">
        <v>3.7</v>
      </c>
      <c r="K120" t="s">
        <v>15</v>
      </c>
      <c r="L120" t="s">
        <v>19</v>
      </c>
      <c r="O120"/>
    </row>
    <row r="121" spans="1:15" x14ac:dyDescent="0.3">
      <c r="A121" t="s">
        <v>145</v>
      </c>
      <c r="B121" s="1">
        <v>45871</v>
      </c>
      <c r="C121" t="s">
        <v>22</v>
      </c>
      <c r="D121" t="s">
        <v>21</v>
      </c>
      <c r="E121" s="2">
        <v>7.85</v>
      </c>
      <c r="F121" s="3">
        <v>27.63</v>
      </c>
      <c r="G121" s="4">
        <v>120.2</v>
      </c>
      <c r="H121">
        <v>1.2</v>
      </c>
      <c r="I121" s="4">
        <v>144.24</v>
      </c>
      <c r="J121">
        <v>4.5</v>
      </c>
      <c r="K121" t="s">
        <v>36</v>
      </c>
      <c r="L121" t="s">
        <v>16</v>
      </c>
      <c r="O121"/>
    </row>
    <row r="122" spans="1:15" x14ac:dyDescent="0.3">
      <c r="A122" t="s">
        <v>146</v>
      </c>
      <c r="B122" s="1">
        <v>45671</v>
      </c>
      <c r="C122" t="s">
        <v>21</v>
      </c>
      <c r="D122" t="s">
        <v>21</v>
      </c>
      <c r="E122" s="2">
        <v>5.28</v>
      </c>
      <c r="F122" s="3">
        <v>11.97</v>
      </c>
      <c r="G122" s="4">
        <v>89.08</v>
      </c>
      <c r="H122">
        <v>1.5</v>
      </c>
      <c r="I122" s="4">
        <v>133.62</v>
      </c>
      <c r="J122">
        <v>4</v>
      </c>
      <c r="K122" t="s">
        <v>33</v>
      </c>
      <c r="L122" t="s">
        <v>26</v>
      </c>
      <c r="O122"/>
    </row>
    <row r="123" spans="1:15" x14ac:dyDescent="0.3">
      <c r="A123" t="s">
        <v>147</v>
      </c>
      <c r="B123" s="1">
        <v>45896</v>
      </c>
      <c r="C123" t="s">
        <v>21</v>
      </c>
      <c r="D123" t="s">
        <v>13</v>
      </c>
      <c r="E123" s="2">
        <v>1.88</v>
      </c>
      <c r="F123" s="3">
        <v>7.02</v>
      </c>
      <c r="G123" s="4">
        <v>25.46</v>
      </c>
      <c r="H123">
        <v>1.5</v>
      </c>
      <c r="I123" s="4">
        <v>38.19</v>
      </c>
      <c r="J123">
        <v>3.5</v>
      </c>
      <c r="K123" t="s">
        <v>33</v>
      </c>
      <c r="L123" t="s">
        <v>16</v>
      </c>
      <c r="O123"/>
    </row>
    <row r="124" spans="1:15" x14ac:dyDescent="0.3">
      <c r="A124" t="s">
        <v>148</v>
      </c>
      <c r="B124" s="1">
        <v>45776</v>
      </c>
      <c r="C124" t="s">
        <v>21</v>
      </c>
      <c r="D124" t="s">
        <v>13</v>
      </c>
      <c r="E124" s="2">
        <v>11.94</v>
      </c>
      <c r="F124" s="3">
        <v>24.36</v>
      </c>
      <c r="G124" s="4">
        <v>157.86000000000001</v>
      </c>
      <c r="H124">
        <v>1.5</v>
      </c>
      <c r="I124" s="4">
        <v>236.79</v>
      </c>
      <c r="J124">
        <v>3.2</v>
      </c>
      <c r="K124" t="s">
        <v>30</v>
      </c>
      <c r="L124" t="s">
        <v>16</v>
      </c>
      <c r="O124"/>
    </row>
    <row r="125" spans="1:15" x14ac:dyDescent="0.3">
      <c r="A125" t="s">
        <v>149</v>
      </c>
      <c r="B125" s="1">
        <v>45783</v>
      </c>
      <c r="C125" t="s">
        <v>22</v>
      </c>
      <c r="D125" t="s">
        <v>14</v>
      </c>
      <c r="E125" s="2">
        <v>4.47</v>
      </c>
      <c r="F125" s="3">
        <v>16.899999999999999</v>
      </c>
      <c r="G125" s="4">
        <v>71.23</v>
      </c>
      <c r="H125">
        <v>2</v>
      </c>
      <c r="I125" s="4">
        <v>142.46</v>
      </c>
      <c r="J125">
        <v>3.7</v>
      </c>
      <c r="K125" t="s">
        <v>33</v>
      </c>
      <c r="L125" t="s">
        <v>19</v>
      </c>
      <c r="O125"/>
    </row>
    <row r="126" spans="1:15" x14ac:dyDescent="0.3">
      <c r="A126" t="s">
        <v>150</v>
      </c>
      <c r="B126" s="1">
        <v>45890</v>
      </c>
      <c r="C126" t="s">
        <v>21</v>
      </c>
      <c r="D126" t="s">
        <v>14</v>
      </c>
      <c r="E126" s="2">
        <v>15.45</v>
      </c>
      <c r="F126" s="3">
        <v>33.590000000000003</v>
      </c>
      <c r="G126" s="4">
        <v>237.48</v>
      </c>
      <c r="H126">
        <v>1.2</v>
      </c>
      <c r="I126" s="4">
        <v>284.98</v>
      </c>
      <c r="J126">
        <v>4.0999999999999996</v>
      </c>
      <c r="K126" t="s">
        <v>15</v>
      </c>
      <c r="L126" t="s">
        <v>19</v>
      </c>
      <c r="O126"/>
    </row>
    <row r="127" spans="1:15" x14ac:dyDescent="0.3">
      <c r="A127" t="s">
        <v>151</v>
      </c>
      <c r="B127" s="1">
        <v>45893</v>
      </c>
      <c r="C127" t="s">
        <v>25</v>
      </c>
      <c r="D127" t="s">
        <v>21</v>
      </c>
      <c r="E127" s="2">
        <v>4.7</v>
      </c>
      <c r="F127" s="3">
        <v>12.07</v>
      </c>
      <c r="G127" s="4">
        <v>64.06</v>
      </c>
      <c r="H127">
        <v>1.2</v>
      </c>
      <c r="I127" s="4">
        <v>76.87</v>
      </c>
      <c r="J127">
        <v>4.2</v>
      </c>
      <c r="K127" t="s">
        <v>30</v>
      </c>
      <c r="L127" t="s">
        <v>16</v>
      </c>
      <c r="O127"/>
    </row>
    <row r="128" spans="1:15" x14ac:dyDescent="0.3">
      <c r="A128" t="s">
        <v>152</v>
      </c>
      <c r="B128" s="1">
        <v>45972</v>
      </c>
      <c r="C128" t="s">
        <v>13</v>
      </c>
      <c r="D128" t="s">
        <v>25</v>
      </c>
      <c r="E128" s="2">
        <v>29.61</v>
      </c>
      <c r="F128" s="3">
        <v>95.09</v>
      </c>
      <c r="G128" s="4">
        <v>366.34</v>
      </c>
      <c r="H128">
        <v>1.2</v>
      </c>
      <c r="I128" s="4">
        <v>439.61</v>
      </c>
      <c r="J128">
        <v>3.5</v>
      </c>
      <c r="K128" t="s">
        <v>36</v>
      </c>
      <c r="L128" t="s">
        <v>28</v>
      </c>
      <c r="O128"/>
    </row>
    <row r="129" spans="1:15" x14ac:dyDescent="0.3">
      <c r="A129" t="s">
        <v>153</v>
      </c>
      <c r="B129" s="1">
        <v>45727</v>
      </c>
      <c r="C129" t="s">
        <v>21</v>
      </c>
      <c r="D129" t="s">
        <v>14</v>
      </c>
      <c r="E129" s="2">
        <v>8.1300000000000008</v>
      </c>
      <c r="F129" s="3">
        <v>18.87</v>
      </c>
      <c r="G129" s="4">
        <v>96.47</v>
      </c>
      <c r="H129">
        <v>1.2</v>
      </c>
      <c r="I129" s="4">
        <v>115.76</v>
      </c>
      <c r="J129">
        <v>4.5999999999999996</v>
      </c>
      <c r="K129" t="s">
        <v>36</v>
      </c>
      <c r="L129" t="s">
        <v>26</v>
      </c>
      <c r="O129"/>
    </row>
    <row r="130" spans="1:15" x14ac:dyDescent="0.3">
      <c r="A130" t="s">
        <v>154</v>
      </c>
      <c r="B130" s="1">
        <v>45809</v>
      </c>
      <c r="C130" t="s">
        <v>21</v>
      </c>
      <c r="D130" t="s">
        <v>22</v>
      </c>
      <c r="E130" s="2">
        <v>27.01</v>
      </c>
      <c r="F130" s="3">
        <v>58.35</v>
      </c>
      <c r="G130" s="4">
        <v>411.77</v>
      </c>
      <c r="H130">
        <v>2</v>
      </c>
      <c r="I130" s="4">
        <v>823.54</v>
      </c>
      <c r="J130">
        <v>4.4000000000000004</v>
      </c>
      <c r="K130" t="s">
        <v>30</v>
      </c>
      <c r="L130" t="s">
        <v>28</v>
      </c>
      <c r="O130"/>
    </row>
    <row r="131" spans="1:15" x14ac:dyDescent="0.3">
      <c r="A131" t="s">
        <v>155</v>
      </c>
      <c r="B131" s="1">
        <v>45880</v>
      </c>
      <c r="C131" t="s">
        <v>22</v>
      </c>
      <c r="D131" t="s">
        <v>14</v>
      </c>
      <c r="E131" s="2">
        <v>27</v>
      </c>
      <c r="F131" s="3">
        <v>85.1</v>
      </c>
      <c r="G131" s="4">
        <v>517.70000000000005</v>
      </c>
      <c r="H131">
        <v>1.5</v>
      </c>
      <c r="I131" s="4">
        <v>776.55</v>
      </c>
      <c r="J131">
        <v>4.5999999999999996</v>
      </c>
      <c r="K131" t="s">
        <v>36</v>
      </c>
      <c r="L131" t="s">
        <v>28</v>
      </c>
      <c r="O131"/>
    </row>
    <row r="132" spans="1:15" x14ac:dyDescent="0.3">
      <c r="A132" t="s">
        <v>156</v>
      </c>
      <c r="B132" s="1">
        <v>45751</v>
      </c>
      <c r="C132" t="s">
        <v>13</v>
      </c>
      <c r="D132" t="s">
        <v>13</v>
      </c>
      <c r="E132" s="2">
        <v>5.96</v>
      </c>
      <c r="F132" s="3">
        <v>19.89</v>
      </c>
      <c r="G132" s="4">
        <v>114.99</v>
      </c>
      <c r="H132">
        <v>1.5</v>
      </c>
      <c r="I132" s="4">
        <v>172.48</v>
      </c>
      <c r="J132">
        <v>4.0999999999999996</v>
      </c>
      <c r="K132" t="s">
        <v>36</v>
      </c>
      <c r="L132" t="s">
        <v>28</v>
      </c>
      <c r="O132"/>
    </row>
    <row r="133" spans="1:15" x14ac:dyDescent="0.3">
      <c r="A133" t="s">
        <v>157</v>
      </c>
      <c r="B133" s="1">
        <v>45683</v>
      </c>
      <c r="C133" t="s">
        <v>13</v>
      </c>
      <c r="D133" t="s">
        <v>25</v>
      </c>
      <c r="E133" s="2">
        <v>9.1199999999999992</v>
      </c>
      <c r="F133" s="3">
        <v>32.28</v>
      </c>
      <c r="G133" s="4">
        <v>108.26</v>
      </c>
      <c r="H133">
        <v>1.2</v>
      </c>
      <c r="I133" s="4">
        <v>129.91</v>
      </c>
      <c r="J133">
        <v>4.4000000000000004</v>
      </c>
      <c r="K133" t="s">
        <v>30</v>
      </c>
      <c r="L133" t="s">
        <v>19</v>
      </c>
      <c r="O133"/>
    </row>
    <row r="134" spans="1:15" x14ac:dyDescent="0.3">
      <c r="A134" t="s">
        <v>158</v>
      </c>
      <c r="B134" s="1">
        <v>45869</v>
      </c>
      <c r="C134" t="s">
        <v>21</v>
      </c>
      <c r="D134" t="s">
        <v>14</v>
      </c>
      <c r="E134" s="2">
        <v>15.72</v>
      </c>
      <c r="F134" s="3">
        <v>39.06</v>
      </c>
      <c r="G134" s="4">
        <v>175.25</v>
      </c>
      <c r="H134">
        <v>1.2</v>
      </c>
      <c r="I134" s="4">
        <v>210.3</v>
      </c>
      <c r="J134">
        <v>4.5</v>
      </c>
      <c r="K134" t="s">
        <v>36</v>
      </c>
      <c r="L134" t="s">
        <v>28</v>
      </c>
      <c r="O134"/>
    </row>
    <row r="135" spans="1:15" x14ac:dyDescent="0.3">
      <c r="A135" t="s">
        <v>159</v>
      </c>
      <c r="B135" s="1">
        <v>45695</v>
      </c>
      <c r="C135" t="s">
        <v>21</v>
      </c>
      <c r="D135" t="s">
        <v>25</v>
      </c>
      <c r="E135" s="2">
        <v>17.86</v>
      </c>
      <c r="F135" s="3">
        <v>41.23</v>
      </c>
      <c r="G135" s="4">
        <v>264.52999999999997</v>
      </c>
      <c r="H135">
        <v>1.5</v>
      </c>
      <c r="I135" s="4">
        <v>396.79</v>
      </c>
      <c r="J135">
        <v>4.2</v>
      </c>
      <c r="K135" t="s">
        <v>15</v>
      </c>
      <c r="L135" t="s">
        <v>16</v>
      </c>
      <c r="O135"/>
    </row>
    <row r="136" spans="1:15" x14ac:dyDescent="0.3">
      <c r="A136" t="s">
        <v>160</v>
      </c>
      <c r="B136" s="1">
        <v>45835</v>
      </c>
      <c r="C136" t="s">
        <v>21</v>
      </c>
      <c r="D136" t="s">
        <v>14</v>
      </c>
      <c r="E136" s="2">
        <v>14.17</v>
      </c>
      <c r="F136" s="3">
        <v>43.89</v>
      </c>
      <c r="G136" s="4">
        <v>219.48</v>
      </c>
      <c r="H136">
        <v>1.2</v>
      </c>
      <c r="I136" s="4">
        <v>263.38</v>
      </c>
      <c r="J136">
        <v>3.6</v>
      </c>
      <c r="K136" t="s">
        <v>33</v>
      </c>
      <c r="L136" t="s">
        <v>19</v>
      </c>
      <c r="O136"/>
    </row>
    <row r="137" spans="1:15" x14ac:dyDescent="0.3">
      <c r="A137" t="s">
        <v>161</v>
      </c>
      <c r="B137" s="1">
        <v>45787</v>
      </c>
      <c r="C137" t="s">
        <v>25</v>
      </c>
      <c r="D137" t="s">
        <v>25</v>
      </c>
      <c r="E137" s="2">
        <v>3.55</v>
      </c>
      <c r="F137" s="3">
        <v>8.09</v>
      </c>
      <c r="G137" s="4">
        <v>35.6</v>
      </c>
      <c r="H137">
        <v>1</v>
      </c>
      <c r="I137" s="4">
        <v>35.6</v>
      </c>
      <c r="J137">
        <v>4.2</v>
      </c>
      <c r="K137" t="s">
        <v>30</v>
      </c>
      <c r="L137" t="s">
        <v>19</v>
      </c>
      <c r="O137"/>
    </row>
    <row r="138" spans="1:15" x14ac:dyDescent="0.3">
      <c r="A138" t="s">
        <v>162</v>
      </c>
      <c r="B138" s="1">
        <v>45695</v>
      </c>
      <c r="C138" t="s">
        <v>25</v>
      </c>
      <c r="D138" t="s">
        <v>22</v>
      </c>
      <c r="E138" s="2">
        <v>12.94</v>
      </c>
      <c r="F138" s="3">
        <v>34.909999999999997</v>
      </c>
      <c r="G138" s="4">
        <v>249.68</v>
      </c>
      <c r="H138">
        <v>1.2</v>
      </c>
      <c r="I138" s="4">
        <v>299.62</v>
      </c>
      <c r="J138">
        <v>4.5</v>
      </c>
      <c r="K138" t="s">
        <v>18</v>
      </c>
      <c r="L138" t="s">
        <v>26</v>
      </c>
      <c r="O138"/>
    </row>
    <row r="139" spans="1:15" x14ac:dyDescent="0.3">
      <c r="A139" t="s">
        <v>163</v>
      </c>
      <c r="B139" s="1">
        <v>45991</v>
      </c>
      <c r="C139" t="s">
        <v>14</v>
      </c>
      <c r="D139" t="s">
        <v>13</v>
      </c>
      <c r="E139" s="2">
        <v>28.06</v>
      </c>
      <c r="F139" s="3">
        <v>111.73</v>
      </c>
      <c r="G139" s="4">
        <v>338.12</v>
      </c>
      <c r="H139">
        <v>1.5</v>
      </c>
      <c r="I139" s="4">
        <v>507.18</v>
      </c>
      <c r="J139">
        <v>3.1</v>
      </c>
      <c r="K139" t="s">
        <v>18</v>
      </c>
      <c r="L139" t="s">
        <v>28</v>
      </c>
      <c r="O139"/>
    </row>
    <row r="140" spans="1:15" x14ac:dyDescent="0.3">
      <c r="A140" t="s">
        <v>164</v>
      </c>
      <c r="B140" s="1">
        <v>45953</v>
      </c>
      <c r="C140" t="s">
        <v>13</v>
      </c>
      <c r="D140" t="s">
        <v>22</v>
      </c>
      <c r="E140" s="2">
        <v>21.93</v>
      </c>
      <c r="F140" s="3">
        <v>45.97</v>
      </c>
      <c r="G140" s="4">
        <v>390.69</v>
      </c>
      <c r="H140">
        <v>1.5</v>
      </c>
      <c r="I140" s="4">
        <v>586.04</v>
      </c>
      <c r="J140">
        <v>4.5999999999999996</v>
      </c>
      <c r="K140" t="s">
        <v>33</v>
      </c>
      <c r="L140" t="s">
        <v>28</v>
      </c>
      <c r="O140"/>
    </row>
    <row r="141" spans="1:15" x14ac:dyDescent="0.3">
      <c r="A141" t="s">
        <v>165</v>
      </c>
      <c r="B141" s="1">
        <v>45927</v>
      </c>
      <c r="C141" t="s">
        <v>13</v>
      </c>
      <c r="D141" t="s">
        <v>13</v>
      </c>
      <c r="E141" s="2">
        <v>24.19</v>
      </c>
      <c r="F141" s="3">
        <v>88.3</v>
      </c>
      <c r="G141" s="4">
        <v>286.99</v>
      </c>
      <c r="H141">
        <v>1.5</v>
      </c>
      <c r="I141" s="4">
        <v>430.48</v>
      </c>
      <c r="J141">
        <v>4.3</v>
      </c>
      <c r="K141" t="s">
        <v>33</v>
      </c>
      <c r="L141" t="s">
        <v>26</v>
      </c>
      <c r="O141"/>
    </row>
    <row r="142" spans="1:15" x14ac:dyDescent="0.3">
      <c r="A142" t="s">
        <v>166</v>
      </c>
      <c r="B142" s="1">
        <v>45719</v>
      </c>
      <c r="C142" t="s">
        <v>21</v>
      </c>
      <c r="D142" t="s">
        <v>22</v>
      </c>
      <c r="E142" s="2">
        <v>11.41</v>
      </c>
      <c r="F142" s="3">
        <v>42.84</v>
      </c>
      <c r="G142" s="4">
        <v>158.88</v>
      </c>
      <c r="H142">
        <v>2</v>
      </c>
      <c r="I142" s="4">
        <v>317.76</v>
      </c>
      <c r="J142">
        <v>3.9</v>
      </c>
      <c r="K142" t="s">
        <v>33</v>
      </c>
      <c r="L142" t="s">
        <v>16</v>
      </c>
      <c r="O142"/>
    </row>
    <row r="143" spans="1:15" x14ac:dyDescent="0.3">
      <c r="A143" t="s">
        <v>167</v>
      </c>
      <c r="B143" s="1">
        <v>45761</v>
      </c>
      <c r="C143" t="s">
        <v>25</v>
      </c>
      <c r="D143" t="s">
        <v>22</v>
      </c>
      <c r="E143" s="2">
        <v>11.93</v>
      </c>
      <c r="F143" s="3">
        <v>34.9</v>
      </c>
      <c r="G143" s="4">
        <v>155.25</v>
      </c>
      <c r="H143">
        <v>1.5</v>
      </c>
      <c r="I143" s="4">
        <v>232.88</v>
      </c>
      <c r="J143">
        <v>3.9</v>
      </c>
      <c r="K143" t="s">
        <v>33</v>
      </c>
      <c r="L143" t="s">
        <v>28</v>
      </c>
      <c r="O143"/>
    </row>
    <row r="144" spans="1:15" x14ac:dyDescent="0.3">
      <c r="A144" t="s">
        <v>168</v>
      </c>
      <c r="B144" s="1">
        <v>45810</v>
      </c>
      <c r="C144" t="s">
        <v>13</v>
      </c>
      <c r="D144" t="s">
        <v>21</v>
      </c>
      <c r="E144" s="2">
        <v>11.31</v>
      </c>
      <c r="F144" s="3">
        <v>31.48</v>
      </c>
      <c r="G144" s="4">
        <v>173.25</v>
      </c>
      <c r="H144">
        <v>1</v>
      </c>
      <c r="I144" s="4">
        <v>173.25</v>
      </c>
      <c r="J144">
        <v>4.8</v>
      </c>
      <c r="K144" t="s">
        <v>18</v>
      </c>
      <c r="L144" t="s">
        <v>19</v>
      </c>
      <c r="O144"/>
    </row>
    <row r="145" spans="1:15" x14ac:dyDescent="0.3">
      <c r="A145" t="s">
        <v>169</v>
      </c>
      <c r="B145" s="1">
        <v>45696</v>
      </c>
      <c r="C145" t="s">
        <v>25</v>
      </c>
      <c r="D145" t="s">
        <v>21</v>
      </c>
      <c r="E145" s="2">
        <v>4.3899999999999997</v>
      </c>
      <c r="F145" s="3">
        <v>17.03</v>
      </c>
      <c r="G145" s="4">
        <v>71.459999999999994</v>
      </c>
      <c r="H145">
        <v>2</v>
      </c>
      <c r="I145" s="4">
        <v>142.91999999999999</v>
      </c>
      <c r="J145">
        <v>4.4000000000000004</v>
      </c>
      <c r="K145" t="s">
        <v>36</v>
      </c>
      <c r="L145" t="s">
        <v>16</v>
      </c>
      <c r="O145"/>
    </row>
    <row r="146" spans="1:15" x14ac:dyDescent="0.3">
      <c r="A146" t="s">
        <v>170</v>
      </c>
      <c r="B146" s="1">
        <v>45672</v>
      </c>
      <c r="C146" t="s">
        <v>22</v>
      </c>
      <c r="D146" t="s">
        <v>14</v>
      </c>
      <c r="E146" s="2">
        <v>26.48</v>
      </c>
      <c r="F146" s="3">
        <v>79.2</v>
      </c>
      <c r="G146" s="4">
        <v>461.14</v>
      </c>
      <c r="H146">
        <v>1.5</v>
      </c>
      <c r="I146" s="4">
        <v>691.71</v>
      </c>
      <c r="J146">
        <v>4.5999999999999996</v>
      </c>
      <c r="K146" t="s">
        <v>33</v>
      </c>
      <c r="L146" t="s">
        <v>16</v>
      </c>
      <c r="O146"/>
    </row>
    <row r="147" spans="1:15" x14ac:dyDescent="0.3">
      <c r="A147" t="s">
        <v>171</v>
      </c>
      <c r="B147" s="1">
        <v>45695</v>
      </c>
      <c r="C147" t="s">
        <v>14</v>
      </c>
      <c r="D147" t="s">
        <v>25</v>
      </c>
      <c r="E147" s="2">
        <v>22.82</v>
      </c>
      <c r="F147" s="3">
        <v>77.91</v>
      </c>
      <c r="G147" s="4">
        <v>405.87</v>
      </c>
      <c r="H147">
        <v>1</v>
      </c>
      <c r="I147" s="4">
        <v>405.87</v>
      </c>
      <c r="J147">
        <v>3.1</v>
      </c>
      <c r="K147" t="s">
        <v>33</v>
      </c>
      <c r="L147" t="s">
        <v>16</v>
      </c>
      <c r="O147"/>
    </row>
    <row r="148" spans="1:15" x14ac:dyDescent="0.3">
      <c r="A148" t="s">
        <v>172</v>
      </c>
      <c r="B148" s="1">
        <v>45743</v>
      </c>
      <c r="C148" t="s">
        <v>14</v>
      </c>
      <c r="D148" t="s">
        <v>13</v>
      </c>
      <c r="E148" s="2">
        <v>21.71</v>
      </c>
      <c r="F148" s="3">
        <v>64.87</v>
      </c>
      <c r="G148" s="4">
        <v>380.93</v>
      </c>
      <c r="H148">
        <v>1.2</v>
      </c>
      <c r="I148" s="4">
        <v>457.12</v>
      </c>
      <c r="J148">
        <v>4.5999999999999996</v>
      </c>
      <c r="K148" t="s">
        <v>15</v>
      </c>
      <c r="L148" t="s">
        <v>19</v>
      </c>
      <c r="O148"/>
    </row>
    <row r="149" spans="1:15" x14ac:dyDescent="0.3">
      <c r="A149" t="s">
        <v>173</v>
      </c>
      <c r="B149" s="1">
        <v>45816</v>
      </c>
      <c r="C149" t="s">
        <v>13</v>
      </c>
      <c r="D149" t="s">
        <v>13</v>
      </c>
      <c r="E149" s="2">
        <v>11.99</v>
      </c>
      <c r="F149" s="3">
        <v>34.94</v>
      </c>
      <c r="G149" s="4">
        <v>192.31</v>
      </c>
      <c r="H149">
        <v>1.5</v>
      </c>
      <c r="I149" s="4">
        <v>288.47000000000003</v>
      </c>
      <c r="J149">
        <v>4.5999999999999996</v>
      </c>
      <c r="K149" t="s">
        <v>33</v>
      </c>
      <c r="L149" t="s">
        <v>19</v>
      </c>
      <c r="O149"/>
    </row>
    <row r="150" spans="1:15" x14ac:dyDescent="0.3">
      <c r="A150" t="s">
        <v>174</v>
      </c>
      <c r="B150" s="1">
        <v>45918</v>
      </c>
      <c r="C150" t="s">
        <v>14</v>
      </c>
      <c r="D150" t="s">
        <v>13</v>
      </c>
      <c r="E150" s="2">
        <v>15.1</v>
      </c>
      <c r="F150" s="3">
        <v>42.55</v>
      </c>
      <c r="G150" s="4">
        <v>267.55</v>
      </c>
      <c r="H150">
        <v>1.5</v>
      </c>
      <c r="I150" s="4">
        <v>401.33</v>
      </c>
      <c r="J150">
        <v>4.3</v>
      </c>
      <c r="K150" t="s">
        <v>36</v>
      </c>
      <c r="L150" t="s">
        <v>19</v>
      </c>
      <c r="O150"/>
    </row>
    <row r="151" spans="1:15" x14ac:dyDescent="0.3">
      <c r="A151" t="s">
        <v>175</v>
      </c>
      <c r="B151" s="1">
        <v>45900</v>
      </c>
      <c r="C151" t="s">
        <v>25</v>
      </c>
      <c r="D151" t="s">
        <v>21</v>
      </c>
      <c r="E151" s="2">
        <v>17.399999999999999</v>
      </c>
      <c r="F151" s="3">
        <v>59.72</v>
      </c>
      <c r="G151" s="4">
        <v>278.23</v>
      </c>
      <c r="H151">
        <v>2</v>
      </c>
      <c r="I151" s="4">
        <v>556.46</v>
      </c>
      <c r="J151">
        <v>3.4</v>
      </c>
      <c r="K151" t="s">
        <v>30</v>
      </c>
      <c r="L151" t="s">
        <v>19</v>
      </c>
      <c r="O151"/>
    </row>
    <row r="152" spans="1:15" x14ac:dyDescent="0.3">
      <c r="A152" t="s">
        <v>176</v>
      </c>
      <c r="B152" s="1">
        <v>45987</v>
      </c>
      <c r="C152" t="s">
        <v>22</v>
      </c>
      <c r="D152" t="s">
        <v>25</v>
      </c>
      <c r="E152" s="2">
        <v>10.93</v>
      </c>
      <c r="F152" s="3">
        <v>26.83</v>
      </c>
      <c r="G152" s="4">
        <v>155.6</v>
      </c>
      <c r="H152">
        <v>1.2</v>
      </c>
      <c r="I152" s="4">
        <v>186.72</v>
      </c>
      <c r="J152">
        <v>4.9000000000000004</v>
      </c>
      <c r="K152" t="s">
        <v>15</v>
      </c>
      <c r="L152" t="s">
        <v>19</v>
      </c>
      <c r="O152"/>
    </row>
    <row r="153" spans="1:15" x14ac:dyDescent="0.3">
      <c r="A153" t="s">
        <v>177</v>
      </c>
      <c r="B153" s="1">
        <v>45875</v>
      </c>
      <c r="C153" t="s">
        <v>14</v>
      </c>
      <c r="D153" t="s">
        <v>21</v>
      </c>
      <c r="E153" s="2">
        <v>18</v>
      </c>
      <c r="F153" s="3">
        <v>54.21</v>
      </c>
      <c r="G153" s="4">
        <v>290.06</v>
      </c>
      <c r="H153">
        <v>1.5</v>
      </c>
      <c r="I153" s="4">
        <v>435.09</v>
      </c>
      <c r="J153">
        <v>4.5</v>
      </c>
      <c r="K153" t="s">
        <v>36</v>
      </c>
      <c r="L153" t="s">
        <v>16</v>
      </c>
      <c r="O153"/>
    </row>
    <row r="154" spans="1:15" x14ac:dyDescent="0.3">
      <c r="A154" t="s">
        <v>178</v>
      </c>
      <c r="B154" s="1">
        <v>45828</v>
      </c>
      <c r="C154" t="s">
        <v>21</v>
      </c>
      <c r="D154" t="s">
        <v>21</v>
      </c>
      <c r="E154" s="2">
        <v>28.03</v>
      </c>
      <c r="F154" s="3">
        <v>87.74</v>
      </c>
      <c r="G154" s="4">
        <v>475.57</v>
      </c>
      <c r="H154">
        <v>2</v>
      </c>
      <c r="I154" s="4">
        <v>951.14</v>
      </c>
      <c r="J154">
        <v>3</v>
      </c>
      <c r="K154" t="s">
        <v>33</v>
      </c>
      <c r="L154" t="s">
        <v>26</v>
      </c>
      <c r="O154"/>
    </row>
    <row r="155" spans="1:15" x14ac:dyDescent="0.3">
      <c r="A155" t="s">
        <v>179</v>
      </c>
      <c r="B155" s="1">
        <v>45784</v>
      </c>
      <c r="C155" t="s">
        <v>21</v>
      </c>
      <c r="D155" t="s">
        <v>22</v>
      </c>
      <c r="E155" s="2">
        <v>5.42</v>
      </c>
      <c r="F155" s="3">
        <v>17.09</v>
      </c>
      <c r="G155" s="4">
        <v>87.08</v>
      </c>
      <c r="H155">
        <v>1.2</v>
      </c>
      <c r="I155" s="4">
        <v>104.5</v>
      </c>
      <c r="J155">
        <v>3.2</v>
      </c>
      <c r="K155" t="s">
        <v>30</v>
      </c>
      <c r="L155" t="s">
        <v>16</v>
      </c>
      <c r="O155"/>
    </row>
    <row r="156" spans="1:15" x14ac:dyDescent="0.3">
      <c r="A156" t="s">
        <v>180</v>
      </c>
      <c r="B156" s="1">
        <v>45953</v>
      </c>
      <c r="C156" t="s">
        <v>22</v>
      </c>
      <c r="D156" t="s">
        <v>25</v>
      </c>
      <c r="E156" s="2">
        <v>25.37</v>
      </c>
      <c r="F156" s="3">
        <v>96.95</v>
      </c>
      <c r="G156" s="4">
        <v>284.86</v>
      </c>
      <c r="H156">
        <v>1</v>
      </c>
      <c r="I156" s="4">
        <v>284.86</v>
      </c>
      <c r="J156">
        <v>5</v>
      </c>
      <c r="K156" t="s">
        <v>18</v>
      </c>
      <c r="L156" t="s">
        <v>26</v>
      </c>
      <c r="O156"/>
    </row>
    <row r="157" spans="1:15" x14ac:dyDescent="0.3">
      <c r="A157" t="s">
        <v>181</v>
      </c>
      <c r="B157" s="1">
        <v>45767</v>
      </c>
      <c r="C157" t="s">
        <v>13</v>
      </c>
      <c r="D157" t="s">
        <v>13</v>
      </c>
      <c r="E157" s="2">
        <v>6.4</v>
      </c>
      <c r="F157" s="3">
        <v>23.52</v>
      </c>
      <c r="G157" s="4">
        <v>85.26</v>
      </c>
      <c r="H157">
        <v>1.2</v>
      </c>
      <c r="I157" s="4">
        <v>102.31</v>
      </c>
      <c r="J157">
        <v>4</v>
      </c>
      <c r="K157" t="s">
        <v>30</v>
      </c>
      <c r="L157" t="s">
        <v>28</v>
      </c>
      <c r="O157"/>
    </row>
    <row r="158" spans="1:15" x14ac:dyDescent="0.3">
      <c r="A158" t="s">
        <v>182</v>
      </c>
      <c r="B158" s="1">
        <v>45806</v>
      </c>
      <c r="C158" t="s">
        <v>13</v>
      </c>
      <c r="D158" t="s">
        <v>13</v>
      </c>
      <c r="E158" s="2">
        <v>12</v>
      </c>
      <c r="F158" s="3">
        <v>41.86</v>
      </c>
      <c r="G158" s="4">
        <v>144.66999999999999</v>
      </c>
      <c r="H158">
        <v>1</v>
      </c>
      <c r="I158" s="4">
        <v>144.66999999999999</v>
      </c>
      <c r="J158">
        <v>3</v>
      </c>
      <c r="K158" t="s">
        <v>15</v>
      </c>
      <c r="L158" t="s">
        <v>16</v>
      </c>
      <c r="O158"/>
    </row>
    <row r="159" spans="1:15" x14ac:dyDescent="0.3">
      <c r="A159" t="s">
        <v>183</v>
      </c>
      <c r="B159" s="1">
        <v>45948</v>
      </c>
      <c r="C159" t="s">
        <v>21</v>
      </c>
      <c r="D159" t="s">
        <v>14</v>
      </c>
      <c r="E159" s="2">
        <v>12.55</v>
      </c>
      <c r="F159" s="3">
        <v>38.590000000000003</v>
      </c>
      <c r="G159" s="4">
        <v>240.94</v>
      </c>
      <c r="H159">
        <v>1.2</v>
      </c>
      <c r="I159" s="4">
        <v>289.13</v>
      </c>
      <c r="J159">
        <v>3.9</v>
      </c>
      <c r="K159" t="s">
        <v>15</v>
      </c>
      <c r="L159" t="s">
        <v>19</v>
      </c>
      <c r="O159"/>
    </row>
    <row r="160" spans="1:15" x14ac:dyDescent="0.3">
      <c r="A160" t="s">
        <v>184</v>
      </c>
      <c r="B160" s="1">
        <v>46004</v>
      </c>
      <c r="C160" t="s">
        <v>13</v>
      </c>
      <c r="D160" t="s">
        <v>22</v>
      </c>
      <c r="E160" s="2">
        <v>14.11</v>
      </c>
      <c r="F160" s="3">
        <v>34.56</v>
      </c>
      <c r="G160" s="4">
        <v>204.94</v>
      </c>
      <c r="H160">
        <v>1.5</v>
      </c>
      <c r="I160" s="4">
        <v>307.41000000000003</v>
      </c>
      <c r="J160">
        <v>3.5</v>
      </c>
      <c r="K160" t="s">
        <v>36</v>
      </c>
      <c r="L160" t="s">
        <v>28</v>
      </c>
      <c r="O160"/>
    </row>
    <row r="161" spans="1:15" x14ac:dyDescent="0.3">
      <c r="A161" t="s">
        <v>185</v>
      </c>
      <c r="B161" s="1">
        <v>45682</v>
      </c>
      <c r="C161" t="s">
        <v>22</v>
      </c>
      <c r="D161" t="s">
        <v>22</v>
      </c>
      <c r="E161" s="2">
        <v>15.45</v>
      </c>
      <c r="F161" s="3">
        <v>43.84</v>
      </c>
      <c r="G161" s="4">
        <v>295.83999999999997</v>
      </c>
      <c r="H161">
        <v>1</v>
      </c>
      <c r="I161" s="4">
        <v>295.83999999999997</v>
      </c>
      <c r="J161">
        <v>4.5999999999999996</v>
      </c>
      <c r="K161" t="s">
        <v>18</v>
      </c>
      <c r="L161" t="s">
        <v>28</v>
      </c>
      <c r="O161"/>
    </row>
    <row r="162" spans="1:15" x14ac:dyDescent="0.3">
      <c r="A162" t="s">
        <v>186</v>
      </c>
      <c r="B162" s="1">
        <v>45807</v>
      </c>
      <c r="C162" t="s">
        <v>25</v>
      </c>
      <c r="D162" t="s">
        <v>13</v>
      </c>
      <c r="E162" s="2">
        <v>7.38</v>
      </c>
      <c r="F162" s="3">
        <v>17.899999999999999</v>
      </c>
      <c r="G162" s="4">
        <v>111.82</v>
      </c>
      <c r="H162">
        <v>1</v>
      </c>
      <c r="I162" s="4">
        <v>111.82</v>
      </c>
      <c r="J162">
        <v>4.9000000000000004</v>
      </c>
      <c r="K162" t="s">
        <v>30</v>
      </c>
      <c r="L162" t="s">
        <v>19</v>
      </c>
      <c r="O162"/>
    </row>
    <row r="163" spans="1:15" x14ac:dyDescent="0.3">
      <c r="A163" t="s">
        <v>187</v>
      </c>
      <c r="B163" s="1">
        <v>45834</v>
      </c>
      <c r="C163" t="s">
        <v>25</v>
      </c>
      <c r="D163" t="s">
        <v>14</v>
      </c>
      <c r="E163" s="2">
        <v>17.16</v>
      </c>
      <c r="F163" s="3">
        <v>63.86</v>
      </c>
      <c r="G163" s="4">
        <v>263.42</v>
      </c>
      <c r="H163">
        <v>2</v>
      </c>
      <c r="I163" s="4">
        <v>526.84</v>
      </c>
      <c r="J163">
        <v>4</v>
      </c>
      <c r="K163" t="s">
        <v>36</v>
      </c>
      <c r="L163" t="s">
        <v>19</v>
      </c>
      <c r="O163"/>
    </row>
    <row r="164" spans="1:15" x14ac:dyDescent="0.3">
      <c r="A164" t="s">
        <v>188</v>
      </c>
      <c r="B164" s="1">
        <v>45914</v>
      </c>
      <c r="C164" t="s">
        <v>13</v>
      </c>
      <c r="D164" t="s">
        <v>21</v>
      </c>
      <c r="E164" s="2">
        <v>9.99</v>
      </c>
      <c r="F164" s="3">
        <v>27.92</v>
      </c>
      <c r="G164" s="4">
        <v>142.54</v>
      </c>
      <c r="H164">
        <v>2</v>
      </c>
      <c r="I164" s="4">
        <v>285.08</v>
      </c>
      <c r="J164">
        <v>4.8</v>
      </c>
      <c r="K164" t="s">
        <v>36</v>
      </c>
      <c r="L164" t="s">
        <v>26</v>
      </c>
      <c r="O164"/>
    </row>
    <row r="165" spans="1:15" x14ac:dyDescent="0.3">
      <c r="A165" t="s">
        <v>189</v>
      </c>
      <c r="B165" s="1">
        <v>45689</v>
      </c>
      <c r="C165" t="s">
        <v>14</v>
      </c>
      <c r="D165" t="s">
        <v>25</v>
      </c>
      <c r="E165" s="2">
        <v>14.58</v>
      </c>
      <c r="F165" s="3">
        <v>47.38</v>
      </c>
      <c r="G165" s="4">
        <v>200.87</v>
      </c>
      <c r="H165">
        <v>2</v>
      </c>
      <c r="I165" s="4">
        <v>401.74</v>
      </c>
      <c r="J165">
        <v>4.0999999999999996</v>
      </c>
      <c r="K165" t="s">
        <v>18</v>
      </c>
      <c r="L165" t="s">
        <v>16</v>
      </c>
      <c r="O165"/>
    </row>
    <row r="166" spans="1:15" x14ac:dyDescent="0.3">
      <c r="A166" t="s">
        <v>190</v>
      </c>
      <c r="B166" s="1">
        <v>45675</v>
      </c>
      <c r="C166" t="s">
        <v>25</v>
      </c>
      <c r="D166" t="s">
        <v>13</v>
      </c>
      <c r="E166" s="2">
        <v>9.5299999999999994</v>
      </c>
      <c r="F166" s="3">
        <v>32.67</v>
      </c>
      <c r="G166" s="4">
        <v>145.58000000000001</v>
      </c>
      <c r="H166">
        <v>1.2</v>
      </c>
      <c r="I166" s="4">
        <v>174.7</v>
      </c>
      <c r="J166">
        <v>3.9</v>
      </c>
      <c r="K166" t="s">
        <v>36</v>
      </c>
      <c r="L166" t="s">
        <v>19</v>
      </c>
      <c r="O166"/>
    </row>
    <row r="167" spans="1:15" x14ac:dyDescent="0.3">
      <c r="A167" t="s">
        <v>191</v>
      </c>
      <c r="B167" s="1">
        <v>45771</v>
      </c>
      <c r="C167" t="s">
        <v>14</v>
      </c>
      <c r="D167" t="s">
        <v>21</v>
      </c>
      <c r="E167" s="2">
        <v>15.41</v>
      </c>
      <c r="F167" s="3">
        <v>54.41</v>
      </c>
      <c r="G167" s="4">
        <v>169.97</v>
      </c>
      <c r="H167">
        <v>2</v>
      </c>
      <c r="I167" s="4">
        <v>339.94</v>
      </c>
      <c r="J167">
        <v>4.7</v>
      </c>
      <c r="K167" t="s">
        <v>30</v>
      </c>
      <c r="L167" t="s">
        <v>16</v>
      </c>
      <c r="O167"/>
    </row>
    <row r="168" spans="1:15" x14ac:dyDescent="0.3">
      <c r="A168" t="s">
        <v>192</v>
      </c>
      <c r="B168" s="1">
        <v>46016</v>
      </c>
      <c r="C168" t="s">
        <v>25</v>
      </c>
      <c r="D168" t="s">
        <v>14</v>
      </c>
      <c r="E168" s="2">
        <v>22.84</v>
      </c>
      <c r="F168" s="3">
        <v>58.12</v>
      </c>
      <c r="G168" s="4">
        <v>433.37</v>
      </c>
      <c r="H168">
        <v>1.2</v>
      </c>
      <c r="I168" s="4">
        <v>520.04</v>
      </c>
      <c r="J168">
        <v>3.8</v>
      </c>
      <c r="K168" t="s">
        <v>30</v>
      </c>
      <c r="L168" t="s">
        <v>26</v>
      </c>
      <c r="O168"/>
    </row>
    <row r="169" spans="1:15" x14ac:dyDescent="0.3">
      <c r="A169" t="s">
        <v>193</v>
      </c>
      <c r="B169" s="1">
        <v>45744</v>
      </c>
      <c r="C169" t="s">
        <v>13</v>
      </c>
      <c r="D169" t="s">
        <v>25</v>
      </c>
      <c r="E169" s="2">
        <v>29.39</v>
      </c>
      <c r="F169" s="3">
        <v>108.14</v>
      </c>
      <c r="G169" s="4">
        <v>548.71</v>
      </c>
      <c r="H169">
        <v>2</v>
      </c>
      <c r="I169" s="4">
        <v>1097.42</v>
      </c>
      <c r="J169">
        <v>3.1</v>
      </c>
      <c r="K169" t="s">
        <v>18</v>
      </c>
      <c r="L169" t="s">
        <v>19</v>
      </c>
      <c r="O169"/>
    </row>
    <row r="170" spans="1:15" x14ac:dyDescent="0.3">
      <c r="A170" t="s">
        <v>194</v>
      </c>
      <c r="B170" s="1">
        <v>45904</v>
      </c>
      <c r="C170" t="s">
        <v>14</v>
      </c>
      <c r="D170" t="s">
        <v>25</v>
      </c>
      <c r="E170" s="2">
        <v>8.36</v>
      </c>
      <c r="F170" s="3">
        <v>20</v>
      </c>
      <c r="G170" s="4">
        <v>125.86</v>
      </c>
      <c r="H170">
        <v>2</v>
      </c>
      <c r="I170" s="4">
        <v>251.72</v>
      </c>
      <c r="J170">
        <v>3.2</v>
      </c>
      <c r="K170" t="s">
        <v>33</v>
      </c>
      <c r="L170" t="s">
        <v>26</v>
      </c>
      <c r="O170"/>
    </row>
    <row r="171" spans="1:15" x14ac:dyDescent="0.3">
      <c r="A171" t="s">
        <v>195</v>
      </c>
      <c r="B171" s="1">
        <v>45896</v>
      </c>
      <c r="C171" t="s">
        <v>14</v>
      </c>
      <c r="D171" t="s">
        <v>25</v>
      </c>
      <c r="E171" s="2">
        <v>17.510000000000002</v>
      </c>
      <c r="F171" s="3">
        <v>66.099999999999994</v>
      </c>
      <c r="G171" s="4">
        <v>272.58</v>
      </c>
      <c r="H171">
        <v>2</v>
      </c>
      <c r="I171" s="4">
        <v>545.16</v>
      </c>
      <c r="J171">
        <v>3.2</v>
      </c>
      <c r="K171" t="s">
        <v>36</v>
      </c>
      <c r="L171" t="s">
        <v>16</v>
      </c>
      <c r="O171"/>
    </row>
    <row r="172" spans="1:15" x14ac:dyDescent="0.3">
      <c r="A172" t="s">
        <v>196</v>
      </c>
      <c r="B172" s="1">
        <v>45753</v>
      </c>
      <c r="C172" t="s">
        <v>13</v>
      </c>
      <c r="D172" t="s">
        <v>14</v>
      </c>
      <c r="E172" s="2">
        <v>29.67</v>
      </c>
      <c r="F172" s="3">
        <v>95.13</v>
      </c>
      <c r="G172" s="4">
        <v>536.09</v>
      </c>
      <c r="H172">
        <v>2</v>
      </c>
      <c r="I172" s="4">
        <v>1072.18</v>
      </c>
      <c r="J172">
        <v>3.8</v>
      </c>
      <c r="K172" t="s">
        <v>30</v>
      </c>
      <c r="L172" t="s">
        <v>28</v>
      </c>
      <c r="O172"/>
    </row>
    <row r="173" spans="1:15" x14ac:dyDescent="0.3">
      <c r="A173" t="s">
        <v>197</v>
      </c>
      <c r="B173" s="1">
        <v>45822</v>
      </c>
      <c r="C173" t="s">
        <v>21</v>
      </c>
      <c r="D173" t="s">
        <v>14</v>
      </c>
      <c r="E173" s="2">
        <v>5.09</v>
      </c>
      <c r="F173" s="3">
        <v>14.32</v>
      </c>
      <c r="G173" s="4">
        <v>67.39</v>
      </c>
      <c r="H173">
        <v>1.2</v>
      </c>
      <c r="I173" s="4">
        <v>80.87</v>
      </c>
      <c r="J173">
        <v>3</v>
      </c>
      <c r="K173" t="s">
        <v>15</v>
      </c>
      <c r="L173" t="s">
        <v>19</v>
      </c>
      <c r="O173"/>
    </row>
    <row r="174" spans="1:15" x14ac:dyDescent="0.3">
      <c r="A174" t="s">
        <v>198</v>
      </c>
      <c r="B174" s="1">
        <v>45920</v>
      </c>
      <c r="C174" t="s">
        <v>22</v>
      </c>
      <c r="D174" t="s">
        <v>21</v>
      </c>
      <c r="E174" s="2">
        <v>22.34</v>
      </c>
      <c r="F174" s="3">
        <v>82.57</v>
      </c>
      <c r="G174" s="4">
        <v>250.83</v>
      </c>
      <c r="H174">
        <v>1.5</v>
      </c>
      <c r="I174" s="4">
        <v>376.24</v>
      </c>
      <c r="J174">
        <v>4.2</v>
      </c>
      <c r="K174" t="s">
        <v>18</v>
      </c>
      <c r="L174" t="s">
        <v>28</v>
      </c>
      <c r="O174"/>
    </row>
    <row r="175" spans="1:15" x14ac:dyDescent="0.3">
      <c r="A175" t="s">
        <v>199</v>
      </c>
      <c r="B175" s="1">
        <v>45845</v>
      </c>
      <c r="C175" t="s">
        <v>25</v>
      </c>
      <c r="D175" t="s">
        <v>14</v>
      </c>
      <c r="E175" s="2">
        <v>21.41</v>
      </c>
      <c r="F175" s="3">
        <v>81.81</v>
      </c>
      <c r="G175" s="4">
        <v>347.86</v>
      </c>
      <c r="H175">
        <v>1.5</v>
      </c>
      <c r="I175" s="4">
        <v>521.79</v>
      </c>
      <c r="J175">
        <v>3.5</v>
      </c>
      <c r="K175" t="s">
        <v>18</v>
      </c>
      <c r="L175" t="s">
        <v>26</v>
      </c>
      <c r="O175"/>
    </row>
    <row r="176" spans="1:15" x14ac:dyDescent="0.3">
      <c r="A176" t="s">
        <v>200</v>
      </c>
      <c r="B176" s="1">
        <v>45852</v>
      </c>
      <c r="C176" t="s">
        <v>14</v>
      </c>
      <c r="D176" t="s">
        <v>22</v>
      </c>
      <c r="E176" s="2">
        <v>18.12</v>
      </c>
      <c r="F176" s="3">
        <v>45.95</v>
      </c>
      <c r="G176" s="4">
        <v>294.3</v>
      </c>
      <c r="H176">
        <v>1.2</v>
      </c>
      <c r="I176" s="4">
        <v>353.16</v>
      </c>
      <c r="J176">
        <v>4.5</v>
      </c>
      <c r="K176" t="s">
        <v>30</v>
      </c>
      <c r="L176" t="s">
        <v>19</v>
      </c>
      <c r="O176"/>
    </row>
    <row r="177" spans="1:15" x14ac:dyDescent="0.3">
      <c r="A177" t="s">
        <v>201</v>
      </c>
      <c r="B177" s="1">
        <v>45883</v>
      </c>
      <c r="C177" t="s">
        <v>21</v>
      </c>
      <c r="D177" t="s">
        <v>21</v>
      </c>
      <c r="E177" s="2">
        <v>25.97</v>
      </c>
      <c r="F177" s="3">
        <v>63.34</v>
      </c>
      <c r="G177" s="4">
        <v>512.79</v>
      </c>
      <c r="H177">
        <v>2</v>
      </c>
      <c r="I177" s="4">
        <v>1025.58</v>
      </c>
      <c r="J177">
        <v>3.3</v>
      </c>
      <c r="K177" t="s">
        <v>36</v>
      </c>
      <c r="L177" t="s">
        <v>26</v>
      </c>
      <c r="O177"/>
    </row>
    <row r="178" spans="1:15" x14ac:dyDescent="0.3">
      <c r="A178" t="s">
        <v>202</v>
      </c>
      <c r="B178" s="1">
        <v>45859</v>
      </c>
      <c r="C178" t="s">
        <v>22</v>
      </c>
      <c r="D178" t="s">
        <v>21</v>
      </c>
      <c r="E178" s="2">
        <v>17.41</v>
      </c>
      <c r="F178" s="3">
        <v>69.13</v>
      </c>
      <c r="G178" s="4">
        <v>256.11</v>
      </c>
      <c r="H178">
        <v>2</v>
      </c>
      <c r="I178" s="4">
        <v>512.22</v>
      </c>
      <c r="J178">
        <v>3.9</v>
      </c>
      <c r="K178" t="s">
        <v>18</v>
      </c>
      <c r="L178" t="s">
        <v>19</v>
      </c>
      <c r="O178"/>
    </row>
    <row r="179" spans="1:15" x14ac:dyDescent="0.3">
      <c r="A179" t="s">
        <v>203</v>
      </c>
      <c r="B179" s="1">
        <v>45772</v>
      </c>
      <c r="C179" t="s">
        <v>21</v>
      </c>
      <c r="D179" t="s">
        <v>25</v>
      </c>
      <c r="E179" s="2">
        <v>15.86</v>
      </c>
      <c r="F179" s="3">
        <v>55.25</v>
      </c>
      <c r="G179" s="4">
        <v>269.44</v>
      </c>
      <c r="H179">
        <v>1</v>
      </c>
      <c r="I179" s="4">
        <v>269.44</v>
      </c>
      <c r="J179">
        <v>3.5</v>
      </c>
      <c r="K179" t="s">
        <v>18</v>
      </c>
      <c r="L179" t="s">
        <v>16</v>
      </c>
      <c r="O179"/>
    </row>
    <row r="180" spans="1:15" x14ac:dyDescent="0.3">
      <c r="A180" t="s">
        <v>204</v>
      </c>
      <c r="B180" s="1">
        <v>45903</v>
      </c>
      <c r="C180" t="s">
        <v>22</v>
      </c>
      <c r="D180" t="s">
        <v>22</v>
      </c>
      <c r="E180" s="2">
        <v>19.71</v>
      </c>
      <c r="F180" s="3">
        <v>56.04</v>
      </c>
      <c r="G180" s="4">
        <v>223.17</v>
      </c>
      <c r="H180">
        <v>1</v>
      </c>
      <c r="I180" s="4">
        <v>223.17</v>
      </c>
      <c r="J180">
        <v>3.3</v>
      </c>
      <c r="K180" t="s">
        <v>33</v>
      </c>
      <c r="L180" t="s">
        <v>19</v>
      </c>
      <c r="O180"/>
    </row>
    <row r="181" spans="1:15" x14ac:dyDescent="0.3">
      <c r="A181" t="s">
        <v>205</v>
      </c>
      <c r="B181" s="1">
        <v>45872</v>
      </c>
      <c r="C181" t="s">
        <v>22</v>
      </c>
      <c r="D181" t="s">
        <v>22</v>
      </c>
      <c r="E181" s="2">
        <v>20.81</v>
      </c>
      <c r="F181" s="3">
        <v>75.86</v>
      </c>
      <c r="G181" s="4">
        <v>318.32</v>
      </c>
      <c r="H181">
        <v>1.2</v>
      </c>
      <c r="I181" s="4">
        <v>381.98</v>
      </c>
      <c r="J181">
        <v>4.2</v>
      </c>
      <c r="K181" t="s">
        <v>33</v>
      </c>
      <c r="L181" t="s">
        <v>28</v>
      </c>
      <c r="O181"/>
    </row>
    <row r="182" spans="1:15" x14ac:dyDescent="0.3">
      <c r="A182" t="s">
        <v>206</v>
      </c>
      <c r="B182" s="1">
        <v>45691</v>
      </c>
      <c r="C182" t="s">
        <v>14</v>
      </c>
      <c r="D182" t="s">
        <v>13</v>
      </c>
      <c r="E182" s="2">
        <v>17.07</v>
      </c>
      <c r="F182" s="3">
        <v>56.38</v>
      </c>
      <c r="G182" s="4">
        <v>312.33999999999997</v>
      </c>
      <c r="H182">
        <v>1.5</v>
      </c>
      <c r="I182" s="4">
        <v>468.51</v>
      </c>
      <c r="J182">
        <v>3.2</v>
      </c>
      <c r="K182" t="s">
        <v>30</v>
      </c>
      <c r="L182" t="s">
        <v>28</v>
      </c>
      <c r="O182"/>
    </row>
    <row r="183" spans="1:15" x14ac:dyDescent="0.3">
      <c r="A183" t="s">
        <v>207</v>
      </c>
      <c r="B183" s="1">
        <v>45999</v>
      </c>
      <c r="C183" t="s">
        <v>22</v>
      </c>
      <c r="D183" t="s">
        <v>21</v>
      </c>
      <c r="E183" s="2">
        <v>4.97</v>
      </c>
      <c r="F183" s="3">
        <v>18.89</v>
      </c>
      <c r="G183" s="4">
        <v>93.13</v>
      </c>
      <c r="H183">
        <v>2</v>
      </c>
      <c r="I183" s="4">
        <v>186.26</v>
      </c>
      <c r="J183">
        <v>3.5</v>
      </c>
      <c r="K183" t="s">
        <v>30</v>
      </c>
      <c r="L183" t="s">
        <v>16</v>
      </c>
      <c r="O183"/>
    </row>
    <row r="184" spans="1:15" x14ac:dyDescent="0.3">
      <c r="A184" t="s">
        <v>208</v>
      </c>
      <c r="B184" s="1">
        <v>45894</v>
      </c>
      <c r="C184" t="s">
        <v>22</v>
      </c>
      <c r="D184" t="s">
        <v>25</v>
      </c>
      <c r="E184" s="2">
        <v>20.29</v>
      </c>
      <c r="F184" s="3">
        <v>47.7</v>
      </c>
      <c r="G184" s="4">
        <v>388.43</v>
      </c>
      <c r="H184">
        <v>1.2</v>
      </c>
      <c r="I184" s="4">
        <v>466.12</v>
      </c>
      <c r="J184">
        <v>3.8</v>
      </c>
      <c r="K184" t="s">
        <v>33</v>
      </c>
      <c r="L184" t="s">
        <v>19</v>
      </c>
      <c r="O184"/>
    </row>
    <row r="185" spans="1:15" x14ac:dyDescent="0.3">
      <c r="A185" t="s">
        <v>209</v>
      </c>
      <c r="B185" s="1">
        <v>45847</v>
      </c>
      <c r="C185" t="s">
        <v>13</v>
      </c>
      <c r="D185" t="s">
        <v>21</v>
      </c>
      <c r="E185" s="2">
        <v>16.05</v>
      </c>
      <c r="F185" s="3">
        <v>33.61</v>
      </c>
      <c r="G185" s="4">
        <v>187.19</v>
      </c>
      <c r="H185">
        <v>1.5</v>
      </c>
      <c r="I185" s="4">
        <v>280.77999999999997</v>
      </c>
      <c r="J185">
        <v>3.4</v>
      </c>
      <c r="K185" t="s">
        <v>30</v>
      </c>
      <c r="L185" t="s">
        <v>19</v>
      </c>
      <c r="O185"/>
    </row>
    <row r="186" spans="1:15" x14ac:dyDescent="0.3">
      <c r="A186" t="s">
        <v>210</v>
      </c>
      <c r="B186" s="1">
        <v>45838</v>
      </c>
      <c r="C186" t="s">
        <v>25</v>
      </c>
      <c r="D186" t="s">
        <v>21</v>
      </c>
      <c r="E186" s="2">
        <v>18.489999999999998</v>
      </c>
      <c r="F186" s="3">
        <v>46.05</v>
      </c>
      <c r="G186" s="4">
        <v>256.88</v>
      </c>
      <c r="H186">
        <v>2</v>
      </c>
      <c r="I186" s="4">
        <v>513.76</v>
      </c>
      <c r="J186">
        <v>3.9</v>
      </c>
      <c r="K186" t="s">
        <v>30</v>
      </c>
      <c r="L186" t="s">
        <v>26</v>
      </c>
      <c r="O186"/>
    </row>
    <row r="187" spans="1:15" x14ac:dyDescent="0.3">
      <c r="A187" t="s">
        <v>211</v>
      </c>
      <c r="B187" s="1">
        <v>45821</v>
      </c>
      <c r="C187" t="s">
        <v>14</v>
      </c>
      <c r="D187" t="s">
        <v>25</v>
      </c>
      <c r="E187" s="2">
        <v>21.85</v>
      </c>
      <c r="F187" s="3">
        <v>56.68</v>
      </c>
      <c r="G187" s="4">
        <v>342.26</v>
      </c>
      <c r="H187">
        <v>1.2</v>
      </c>
      <c r="I187" s="4">
        <v>410.71</v>
      </c>
      <c r="J187">
        <v>3.8</v>
      </c>
      <c r="K187" t="s">
        <v>15</v>
      </c>
      <c r="L187" t="s">
        <v>26</v>
      </c>
      <c r="O187"/>
    </row>
    <row r="188" spans="1:15" x14ac:dyDescent="0.3">
      <c r="A188" t="s">
        <v>212</v>
      </c>
      <c r="B188" s="1">
        <v>45809</v>
      </c>
      <c r="C188" t="s">
        <v>13</v>
      </c>
      <c r="D188" t="s">
        <v>14</v>
      </c>
      <c r="E188" s="2">
        <v>28.17</v>
      </c>
      <c r="F188" s="3">
        <v>97.61</v>
      </c>
      <c r="G188" s="4">
        <v>342.25</v>
      </c>
      <c r="H188">
        <v>2</v>
      </c>
      <c r="I188" s="4">
        <v>684.5</v>
      </c>
      <c r="J188">
        <v>4.0999999999999996</v>
      </c>
      <c r="K188" t="s">
        <v>18</v>
      </c>
      <c r="L188" t="s">
        <v>16</v>
      </c>
      <c r="O188"/>
    </row>
    <row r="189" spans="1:15" x14ac:dyDescent="0.3">
      <c r="A189" t="s">
        <v>213</v>
      </c>
      <c r="B189" s="1">
        <v>45884</v>
      </c>
      <c r="C189" t="s">
        <v>14</v>
      </c>
      <c r="D189" t="s">
        <v>25</v>
      </c>
      <c r="E189" s="2">
        <v>25.4</v>
      </c>
      <c r="F189" s="3">
        <v>93.8</v>
      </c>
      <c r="G189" s="4">
        <v>496.63</v>
      </c>
      <c r="H189">
        <v>1.5</v>
      </c>
      <c r="I189" s="4">
        <v>744.94</v>
      </c>
      <c r="J189">
        <v>3.7</v>
      </c>
      <c r="K189" t="s">
        <v>33</v>
      </c>
      <c r="L189" t="s">
        <v>26</v>
      </c>
      <c r="O189"/>
    </row>
    <row r="190" spans="1:15" x14ac:dyDescent="0.3">
      <c r="A190" t="s">
        <v>214</v>
      </c>
      <c r="B190" s="1">
        <v>45811</v>
      </c>
      <c r="C190" t="s">
        <v>21</v>
      </c>
      <c r="D190" t="s">
        <v>25</v>
      </c>
      <c r="E190" s="2">
        <v>14.75</v>
      </c>
      <c r="F190" s="3">
        <v>39.659999999999997</v>
      </c>
      <c r="G190" s="4">
        <v>199.35</v>
      </c>
      <c r="H190">
        <v>1</v>
      </c>
      <c r="I190" s="4">
        <v>199.35</v>
      </c>
      <c r="J190">
        <v>4</v>
      </c>
      <c r="K190" t="s">
        <v>15</v>
      </c>
      <c r="L190" t="s">
        <v>28</v>
      </c>
      <c r="O190"/>
    </row>
    <row r="191" spans="1:15" x14ac:dyDescent="0.3">
      <c r="A191" t="s">
        <v>215</v>
      </c>
      <c r="B191" s="1">
        <v>45761</v>
      </c>
      <c r="C191" t="s">
        <v>14</v>
      </c>
      <c r="D191" t="s">
        <v>21</v>
      </c>
      <c r="E191" s="2">
        <v>13.61</v>
      </c>
      <c r="F191" s="3">
        <v>33.93</v>
      </c>
      <c r="G191" s="4">
        <v>247.58</v>
      </c>
      <c r="H191">
        <v>1</v>
      </c>
      <c r="I191" s="4">
        <v>247.58</v>
      </c>
      <c r="J191">
        <v>3</v>
      </c>
      <c r="K191" t="s">
        <v>36</v>
      </c>
      <c r="L191" t="s">
        <v>19</v>
      </c>
      <c r="O191"/>
    </row>
    <row r="192" spans="1:15" x14ac:dyDescent="0.3">
      <c r="A192" t="s">
        <v>216</v>
      </c>
      <c r="B192" s="1">
        <v>45759</v>
      </c>
      <c r="C192" t="s">
        <v>22</v>
      </c>
      <c r="D192" t="s">
        <v>25</v>
      </c>
      <c r="E192" s="2">
        <v>18.12</v>
      </c>
      <c r="F192" s="3">
        <v>49.32</v>
      </c>
      <c r="G192" s="4">
        <v>197.79</v>
      </c>
      <c r="H192">
        <v>1.5</v>
      </c>
      <c r="I192" s="4">
        <v>296.68</v>
      </c>
      <c r="J192">
        <v>4.9000000000000004</v>
      </c>
      <c r="K192" t="s">
        <v>30</v>
      </c>
      <c r="L192" t="s">
        <v>19</v>
      </c>
      <c r="O192"/>
    </row>
    <row r="193" spans="1:15" x14ac:dyDescent="0.3">
      <c r="A193" t="s">
        <v>217</v>
      </c>
      <c r="B193" s="1">
        <v>45674</v>
      </c>
      <c r="C193" t="s">
        <v>14</v>
      </c>
      <c r="D193" t="s">
        <v>14</v>
      </c>
      <c r="E193" s="2">
        <v>28.56</v>
      </c>
      <c r="F193" s="3">
        <v>82.6</v>
      </c>
      <c r="G193" s="4">
        <v>338.47</v>
      </c>
      <c r="H193">
        <v>1.2</v>
      </c>
      <c r="I193" s="4">
        <v>406.16</v>
      </c>
      <c r="J193">
        <v>4.9000000000000004</v>
      </c>
      <c r="K193" t="s">
        <v>15</v>
      </c>
      <c r="L193" t="s">
        <v>26</v>
      </c>
      <c r="O193"/>
    </row>
    <row r="194" spans="1:15" x14ac:dyDescent="0.3">
      <c r="A194" t="s">
        <v>218</v>
      </c>
      <c r="B194" s="1">
        <v>45996</v>
      </c>
      <c r="C194" t="s">
        <v>14</v>
      </c>
      <c r="D194" t="s">
        <v>21</v>
      </c>
      <c r="E194" s="2">
        <v>22.23</v>
      </c>
      <c r="F194" s="3">
        <v>80.319999999999993</v>
      </c>
      <c r="G194" s="4">
        <v>368.75</v>
      </c>
      <c r="H194">
        <v>1.2</v>
      </c>
      <c r="I194" s="4">
        <v>442.5</v>
      </c>
      <c r="J194">
        <v>4.3</v>
      </c>
      <c r="K194" t="s">
        <v>18</v>
      </c>
      <c r="L194" t="s">
        <v>16</v>
      </c>
      <c r="O194"/>
    </row>
    <row r="195" spans="1:15" x14ac:dyDescent="0.3">
      <c r="A195" t="s">
        <v>219</v>
      </c>
      <c r="B195" s="1">
        <v>45857</v>
      </c>
      <c r="C195" t="s">
        <v>21</v>
      </c>
      <c r="D195" t="s">
        <v>14</v>
      </c>
      <c r="E195" s="2">
        <v>8.24</v>
      </c>
      <c r="F195" s="3">
        <v>24.55</v>
      </c>
      <c r="G195" s="4">
        <v>100.63</v>
      </c>
      <c r="H195">
        <v>1.2</v>
      </c>
      <c r="I195" s="4">
        <v>120.76</v>
      </c>
      <c r="J195">
        <v>3.1</v>
      </c>
      <c r="K195" t="s">
        <v>18</v>
      </c>
      <c r="L195" t="s">
        <v>26</v>
      </c>
      <c r="O195"/>
    </row>
    <row r="196" spans="1:15" x14ac:dyDescent="0.3">
      <c r="A196" t="s">
        <v>220</v>
      </c>
      <c r="B196" s="1">
        <v>45683</v>
      </c>
      <c r="C196" t="s">
        <v>25</v>
      </c>
      <c r="D196" t="s">
        <v>14</v>
      </c>
      <c r="E196" s="2">
        <v>2.14</v>
      </c>
      <c r="F196" s="3">
        <v>7.3</v>
      </c>
      <c r="G196" s="4">
        <v>41.2</v>
      </c>
      <c r="H196">
        <v>1.5</v>
      </c>
      <c r="I196" s="4">
        <v>61.8</v>
      </c>
      <c r="J196">
        <v>4.0999999999999996</v>
      </c>
      <c r="K196" t="s">
        <v>15</v>
      </c>
      <c r="L196" t="s">
        <v>26</v>
      </c>
      <c r="O196"/>
    </row>
    <row r="197" spans="1:15" x14ac:dyDescent="0.3">
      <c r="A197" t="s">
        <v>221</v>
      </c>
      <c r="B197" s="1">
        <v>45743</v>
      </c>
      <c r="C197" t="s">
        <v>21</v>
      </c>
      <c r="D197" t="s">
        <v>21</v>
      </c>
      <c r="E197" s="2">
        <v>27.55</v>
      </c>
      <c r="F197" s="3">
        <v>56.97</v>
      </c>
      <c r="G197" s="4">
        <v>467.64</v>
      </c>
      <c r="H197">
        <v>1</v>
      </c>
      <c r="I197" s="4">
        <v>467.64</v>
      </c>
      <c r="J197">
        <v>3.4</v>
      </c>
      <c r="K197" t="s">
        <v>33</v>
      </c>
      <c r="L197" t="s">
        <v>28</v>
      </c>
      <c r="O197"/>
    </row>
    <row r="198" spans="1:15" x14ac:dyDescent="0.3">
      <c r="A198" t="s">
        <v>222</v>
      </c>
      <c r="B198" s="1">
        <v>45985</v>
      </c>
      <c r="C198" t="s">
        <v>25</v>
      </c>
      <c r="D198" t="s">
        <v>25</v>
      </c>
      <c r="E198" s="2">
        <v>29.16</v>
      </c>
      <c r="F198" s="3">
        <v>113.39</v>
      </c>
      <c r="G198" s="4">
        <v>429.88</v>
      </c>
      <c r="H198">
        <v>1.2</v>
      </c>
      <c r="I198" s="4">
        <v>515.86</v>
      </c>
      <c r="J198">
        <v>3.1</v>
      </c>
      <c r="K198" t="s">
        <v>15</v>
      </c>
      <c r="L198" t="s">
        <v>19</v>
      </c>
      <c r="O198"/>
    </row>
    <row r="199" spans="1:15" x14ac:dyDescent="0.3">
      <c r="A199" t="s">
        <v>223</v>
      </c>
      <c r="B199" s="1">
        <v>45760</v>
      </c>
      <c r="C199" t="s">
        <v>21</v>
      </c>
      <c r="D199" t="s">
        <v>25</v>
      </c>
      <c r="E199" s="2">
        <v>2.0699999999999998</v>
      </c>
      <c r="F199" s="3">
        <v>6.61</v>
      </c>
      <c r="G199" s="4">
        <v>25.46</v>
      </c>
      <c r="H199">
        <v>2</v>
      </c>
      <c r="I199" s="4">
        <v>50.92</v>
      </c>
      <c r="J199">
        <v>4</v>
      </c>
      <c r="K199" t="s">
        <v>18</v>
      </c>
      <c r="L199" t="s">
        <v>16</v>
      </c>
      <c r="O199"/>
    </row>
    <row r="200" spans="1:15" x14ac:dyDescent="0.3">
      <c r="A200" t="s">
        <v>224</v>
      </c>
      <c r="B200" s="1">
        <v>45788</v>
      </c>
      <c r="C200" t="s">
        <v>21</v>
      </c>
      <c r="D200" t="s">
        <v>22</v>
      </c>
      <c r="E200" s="2">
        <v>21.19</v>
      </c>
      <c r="F200" s="3">
        <v>56.78</v>
      </c>
      <c r="G200" s="4">
        <v>365.48</v>
      </c>
      <c r="H200">
        <v>2</v>
      </c>
      <c r="I200" s="4">
        <v>730.96</v>
      </c>
      <c r="J200">
        <v>4.0999999999999996</v>
      </c>
      <c r="K200" t="s">
        <v>36</v>
      </c>
      <c r="L200" t="s">
        <v>26</v>
      </c>
      <c r="O200"/>
    </row>
    <row r="201" spans="1:15" x14ac:dyDescent="0.3">
      <c r="A201" t="s">
        <v>225</v>
      </c>
      <c r="B201" s="1">
        <v>45661</v>
      </c>
      <c r="C201" t="s">
        <v>25</v>
      </c>
      <c r="D201" t="s">
        <v>21</v>
      </c>
      <c r="E201" s="2">
        <v>23.93</v>
      </c>
      <c r="F201" s="3">
        <v>63.12</v>
      </c>
      <c r="G201" s="4">
        <v>389.08</v>
      </c>
      <c r="H201">
        <v>2</v>
      </c>
      <c r="I201" s="4">
        <v>778.16</v>
      </c>
      <c r="J201">
        <v>3.9</v>
      </c>
      <c r="K201" t="s">
        <v>36</v>
      </c>
      <c r="L201" t="s">
        <v>16</v>
      </c>
      <c r="O201"/>
    </row>
    <row r="202" spans="1:15" x14ac:dyDescent="0.3">
      <c r="A202" t="s">
        <v>226</v>
      </c>
      <c r="B202" s="1">
        <v>45765</v>
      </c>
      <c r="C202" t="s">
        <v>22</v>
      </c>
      <c r="D202" t="s">
        <v>14</v>
      </c>
      <c r="E202" s="2">
        <v>7.76</v>
      </c>
      <c r="F202" s="3">
        <v>15.9</v>
      </c>
      <c r="G202" s="4">
        <v>145.12</v>
      </c>
      <c r="H202">
        <v>1.2</v>
      </c>
      <c r="I202" s="4">
        <v>174.14</v>
      </c>
      <c r="J202">
        <v>3</v>
      </c>
      <c r="K202" t="s">
        <v>36</v>
      </c>
      <c r="L202" t="s">
        <v>16</v>
      </c>
      <c r="O202"/>
    </row>
    <row r="203" spans="1:15" x14ac:dyDescent="0.3">
      <c r="A203" t="s">
        <v>227</v>
      </c>
      <c r="B203" s="1">
        <v>45926</v>
      </c>
      <c r="C203" t="s">
        <v>22</v>
      </c>
      <c r="D203" t="s">
        <v>13</v>
      </c>
      <c r="E203" s="2">
        <v>16.34</v>
      </c>
      <c r="F203" s="3">
        <v>63.37</v>
      </c>
      <c r="G203" s="4">
        <v>293.92</v>
      </c>
      <c r="H203">
        <v>1.5</v>
      </c>
      <c r="I203" s="4">
        <v>440.88</v>
      </c>
      <c r="J203">
        <v>3</v>
      </c>
      <c r="K203" t="s">
        <v>36</v>
      </c>
      <c r="L203" t="s">
        <v>16</v>
      </c>
      <c r="O203"/>
    </row>
    <row r="204" spans="1:15" x14ac:dyDescent="0.3">
      <c r="A204" t="s">
        <v>228</v>
      </c>
      <c r="B204" s="1">
        <v>45686</v>
      </c>
      <c r="C204" t="s">
        <v>22</v>
      </c>
      <c r="D204" t="s">
        <v>13</v>
      </c>
      <c r="E204" s="2">
        <v>23.25</v>
      </c>
      <c r="F204" s="3">
        <v>65.19</v>
      </c>
      <c r="G204" s="4">
        <v>344.07</v>
      </c>
      <c r="H204">
        <v>1</v>
      </c>
      <c r="I204" s="4">
        <v>344.07</v>
      </c>
      <c r="J204">
        <v>4.2</v>
      </c>
      <c r="K204" t="s">
        <v>30</v>
      </c>
      <c r="L204" t="s">
        <v>26</v>
      </c>
      <c r="O204"/>
    </row>
    <row r="205" spans="1:15" x14ac:dyDescent="0.3">
      <c r="A205" t="s">
        <v>229</v>
      </c>
      <c r="B205" s="1">
        <v>45893</v>
      </c>
      <c r="C205" t="s">
        <v>25</v>
      </c>
      <c r="D205" t="s">
        <v>22</v>
      </c>
      <c r="E205" s="2">
        <v>29.54</v>
      </c>
      <c r="F205" s="3">
        <v>104.47</v>
      </c>
      <c r="G205" s="4">
        <v>418.81</v>
      </c>
      <c r="H205">
        <v>1.5</v>
      </c>
      <c r="I205" s="4">
        <v>628.22</v>
      </c>
      <c r="J205">
        <v>4</v>
      </c>
      <c r="K205" t="s">
        <v>33</v>
      </c>
      <c r="L205" t="s">
        <v>16</v>
      </c>
      <c r="O205"/>
    </row>
    <row r="206" spans="1:15" x14ac:dyDescent="0.3">
      <c r="A206" t="s">
        <v>230</v>
      </c>
      <c r="B206" s="1">
        <v>45722</v>
      </c>
      <c r="C206" t="s">
        <v>21</v>
      </c>
      <c r="D206" t="s">
        <v>21</v>
      </c>
      <c r="E206" s="2">
        <v>7.92</v>
      </c>
      <c r="F206" s="3">
        <v>17.59</v>
      </c>
      <c r="G206" s="4">
        <v>107.29</v>
      </c>
      <c r="H206">
        <v>1.2</v>
      </c>
      <c r="I206" s="4">
        <v>128.75</v>
      </c>
      <c r="J206">
        <v>4.7</v>
      </c>
      <c r="K206" t="s">
        <v>36</v>
      </c>
      <c r="L206" t="s">
        <v>26</v>
      </c>
      <c r="O206"/>
    </row>
    <row r="207" spans="1:15" x14ac:dyDescent="0.3">
      <c r="A207" t="s">
        <v>231</v>
      </c>
      <c r="B207" s="1">
        <v>45803</v>
      </c>
      <c r="C207" t="s">
        <v>25</v>
      </c>
      <c r="D207" t="s">
        <v>22</v>
      </c>
      <c r="E207" s="2">
        <v>7.77</v>
      </c>
      <c r="F207" s="3">
        <v>16.190000000000001</v>
      </c>
      <c r="G207" s="4">
        <v>79.09</v>
      </c>
      <c r="H207">
        <v>1.2</v>
      </c>
      <c r="I207" s="4">
        <v>94.91</v>
      </c>
      <c r="J207">
        <v>3.1</v>
      </c>
      <c r="K207" t="s">
        <v>33</v>
      </c>
      <c r="L207" t="s">
        <v>26</v>
      </c>
      <c r="O207"/>
    </row>
    <row r="208" spans="1:15" x14ac:dyDescent="0.3">
      <c r="A208" t="s">
        <v>232</v>
      </c>
      <c r="B208" s="1">
        <v>45962</v>
      </c>
      <c r="C208" t="s">
        <v>14</v>
      </c>
      <c r="D208" t="s">
        <v>13</v>
      </c>
      <c r="E208" s="2">
        <v>12.36</v>
      </c>
      <c r="F208" s="3">
        <v>27.8</v>
      </c>
      <c r="G208" s="4">
        <v>241.81</v>
      </c>
      <c r="H208">
        <v>1</v>
      </c>
      <c r="I208" s="4">
        <v>241.81</v>
      </c>
      <c r="J208">
        <v>4.5999999999999996</v>
      </c>
      <c r="K208" t="s">
        <v>30</v>
      </c>
      <c r="L208" t="s">
        <v>26</v>
      </c>
      <c r="O208"/>
    </row>
    <row r="209" spans="1:15" x14ac:dyDescent="0.3">
      <c r="A209" t="s">
        <v>233</v>
      </c>
      <c r="B209" s="1">
        <v>45855</v>
      </c>
      <c r="C209" t="s">
        <v>25</v>
      </c>
      <c r="D209" t="s">
        <v>25</v>
      </c>
      <c r="E209" s="2">
        <v>29.49</v>
      </c>
      <c r="F209" s="3">
        <v>111.13</v>
      </c>
      <c r="G209" s="4">
        <v>472.08</v>
      </c>
      <c r="H209">
        <v>1.2</v>
      </c>
      <c r="I209" s="4">
        <v>566.5</v>
      </c>
      <c r="J209">
        <v>4.2</v>
      </c>
      <c r="K209" t="s">
        <v>15</v>
      </c>
      <c r="L209" t="s">
        <v>16</v>
      </c>
      <c r="O209"/>
    </row>
    <row r="210" spans="1:15" x14ac:dyDescent="0.3">
      <c r="A210" t="s">
        <v>234</v>
      </c>
      <c r="B210" s="1">
        <v>45810</v>
      </c>
      <c r="C210" t="s">
        <v>13</v>
      </c>
      <c r="D210" t="s">
        <v>13</v>
      </c>
      <c r="E210" s="2">
        <v>22.56</v>
      </c>
      <c r="F210" s="3">
        <v>48.05</v>
      </c>
      <c r="G210" s="4">
        <v>316.2</v>
      </c>
      <c r="H210">
        <v>1</v>
      </c>
      <c r="I210" s="4">
        <v>316.2</v>
      </c>
      <c r="J210">
        <v>4.3</v>
      </c>
      <c r="K210" t="s">
        <v>18</v>
      </c>
      <c r="L210" t="s">
        <v>28</v>
      </c>
      <c r="O210"/>
    </row>
    <row r="211" spans="1:15" x14ac:dyDescent="0.3">
      <c r="A211" t="s">
        <v>235</v>
      </c>
      <c r="B211" s="1">
        <v>45900</v>
      </c>
      <c r="C211" t="s">
        <v>14</v>
      </c>
      <c r="D211" t="s">
        <v>14</v>
      </c>
      <c r="E211" s="2">
        <v>15.87</v>
      </c>
      <c r="F211" s="3">
        <v>39.06</v>
      </c>
      <c r="G211" s="4">
        <v>186.71</v>
      </c>
      <c r="H211">
        <v>1.2</v>
      </c>
      <c r="I211" s="4">
        <v>224.05</v>
      </c>
      <c r="J211">
        <v>3.1</v>
      </c>
      <c r="K211" t="s">
        <v>36</v>
      </c>
      <c r="L211" t="s">
        <v>16</v>
      </c>
      <c r="O211"/>
    </row>
    <row r="212" spans="1:15" x14ac:dyDescent="0.3">
      <c r="A212" t="s">
        <v>236</v>
      </c>
      <c r="B212" s="1">
        <v>45916</v>
      </c>
      <c r="C212" t="s">
        <v>25</v>
      </c>
      <c r="D212" t="s">
        <v>22</v>
      </c>
      <c r="E212" s="2">
        <v>24.96</v>
      </c>
      <c r="F212" s="3">
        <v>89.89</v>
      </c>
      <c r="G212" s="4">
        <v>406.79</v>
      </c>
      <c r="H212">
        <v>1.5</v>
      </c>
      <c r="I212" s="4">
        <v>610.19000000000005</v>
      </c>
      <c r="J212">
        <v>4.8</v>
      </c>
      <c r="K212" t="s">
        <v>30</v>
      </c>
      <c r="L212" t="s">
        <v>28</v>
      </c>
      <c r="O212"/>
    </row>
    <row r="213" spans="1:15" x14ac:dyDescent="0.3">
      <c r="A213" t="s">
        <v>237</v>
      </c>
      <c r="B213" s="1">
        <v>45756</v>
      </c>
      <c r="C213" t="s">
        <v>14</v>
      </c>
      <c r="D213" t="s">
        <v>13</v>
      </c>
      <c r="E213" s="2">
        <v>18.32</v>
      </c>
      <c r="F213" s="3">
        <v>55.88</v>
      </c>
      <c r="G213" s="4">
        <v>230.87</v>
      </c>
      <c r="H213">
        <v>1.5</v>
      </c>
      <c r="I213" s="4">
        <v>346.3</v>
      </c>
      <c r="J213">
        <v>4.5</v>
      </c>
      <c r="K213" t="s">
        <v>33</v>
      </c>
      <c r="L213" t="s">
        <v>26</v>
      </c>
      <c r="O213"/>
    </row>
    <row r="214" spans="1:15" x14ac:dyDescent="0.3">
      <c r="A214" t="s">
        <v>238</v>
      </c>
      <c r="B214" s="1">
        <v>45719</v>
      </c>
      <c r="C214" t="s">
        <v>21</v>
      </c>
      <c r="D214" t="s">
        <v>14</v>
      </c>
      <c r="E214" s="2">
        <v>29.89</v>
      </c>
      <c r="F214" s="3">
        <v>113.43</v>
      </c>
      <c r="G214" s="4">
        <v>437.4</v>
      </c>
      <c r="H214">
        <v>1</v>
      </c>
      <c r="I214" s="4">
        <v>437.4</v>
      </c>
      <c r="J214">
        <v>3.4</v>
      </c>
      <c r="K214" t="s">
        <v>36</v>
      </c>
      <c r="L214" t="s">
        <v>26</v>
      </c>
      <c r="O214"/>
    </row>
    <row r="215" spans="1:15" x14ac:dyDescent="0.3">
      <c r="A215" t="s">
        <v>239</v>
      </c>
      <c r="B215" s="1">
        <v>45746</v>
      </c>
      <c r="C215" t="s">
        <v>21</v>
      </c>
      <c r="D215" t="s">
        <v>22</v>
      </c>
      <c r="E215" s="2">
        <v>18.2</v>
      </c>
      <c r="F215" s="3">
        <v>57.52</v>
      </c>
      <c r="G215" s="4">
        <v>198.65</v>
      </c>
      <c r="H215">
        <v>1</v>
      </c>
      <c r="I215" s="4">
        <v>198.65</v>
      </c>
      <c r="J215">
        <v>3.8</v>
      </c>
      <c r="K215" t="s">
        <v>36</v>
      </c>
      <c r="L215" t="s">
        <v>19</v>
      </c>
      <c r="O215"/>
    </row>
    <row r="216" spans="1:15" x14ac:dyDescent="0.3">
      <c r="A216" t="s">
        <v>240</v>
      </c>
      <c r="B216" s="1">
        <v>45780</v>
      </c>
      <c r="C216" t="s">
        <v>14</v>
      </c>
      <c r="D216" t="s">
        <v>14</v>
      </c>
      <c r="E216" s="2">
        <v>4.76</v>
      </c>
      <c r="F216" s="3">
        <v>17.98</v>
      </c>
      <c r="G216" s="4">
        <v>93.09</v>
      </c>
      <c r="H216">
        <v>2</v>
      </c>
      <c r="I216" s="4">
        <v>186.18</v>
      </c>
      <c r="J216">
        <v>3.1</v>
      </c>
      <c r="K216" t="s">
        <v>30</v>
      </c>
      <c r="L216" t="s">
        <v>16</v>
      </c>
      <c r="O216"/>
    </row>
    <row r="217" spans="1:15" x14ac:dyDescent="0.3">
      <c r="A217" t="s">
        <v>241</v>
      </c>
      <c r="B217" s="1">
        <v>45697</v>
      </c>
      <c r="C217" t="s">
        <v>22</v>
      </c>
      <c r="D217" t="s">
        <v>14</v>
      </c>
      <c r="E217" s="2">
        <v>28.02</v>
      </c>
      <c r="F217" s="3">
        <v>97.24</v>
      </c>
      <c r="G217" s="4">
        <v>359.05</v>
      </c>
      <c r="H217">
        <v>2</v>
      </c>
      <c r="I217" s="4">
        <v>718.1</v>
      </c>
      <c r="J217">
        <v>3.7</v>
      </c>
      <c r="K217" t="s">
        <v>15</v>
      </c>
      <c r="L217" t="s">
        <v>28</v>
      </c>
      <c r="O217"/>
    </row>
    <row r="218" spans="1:15" x14ac:dyDescent="0.3">
      <c r="A218" t="s">
        <v>242</v>
      </c>
      <c r="B218" s="1">
        <v>45985</v>
      </c>
      <c r="C218" t="s">
        <v>13</v>
      </c>
      <c r="D218" t="s">
        <v>13</v>
      </c>
      <c r="E218" s="2">
        <v>21.18</v>
      </c>
      <c r="F218" s="3">
        <v>44.43</v>
      </c>
      <c r="G218" s="4">
        <v>324.61</v>
      </c>
      <c r="H218">
        <v>1</v>
      </c>
      <c r="I218" s="4">
        <v>324.61</v>
      </c>
      <c r="J218">
        <v>3.4</v>
      </c>
      <c r="K218" t="s">
        <v>30</v>
      </c>
      <c r="L218" t="s">
        <v>16</v>
      </c>
      <c r="O218"/>
    </row>
    <row r="219" spans="1:15" x14ac:dyDescent="0.3">
      <c r="A219" t="s">
        <v>243</v>
      </c>
      <c r="B219" s="1">
        <v>45941</v>
      </c>
      <c r="C219" t="s">
        <v>14</v>
      </c>
      <c r="D219" t="s">
        <v>22</v>
      </c>
      <c r="E219" s="2">
        <v>3.21</v>
      </c>
      <c r="F219" s="3">
        <v>11.88</v>
      </c>
      <c r="G219" s="4">
        <v>47.99</v>
      </c>
      <c r="H219">
        <v>2</v>
      </c>
      <c r="I219" s="4">
        <v>95.98</v>
      </c>
      <c r="J219">
        <v>4</v>
      </c>
      <c r="K219" t="s">
        <v>18</v>
      </c>
      <c r="L219" t="s">
        <v>26</v>
      </c>
      <c r="O219"/>
    </row>
    <row r="220" spans="1:15" x14ac:dyDescent="0.3">
      <c r="A220" t="s">
        <v>244</v>
      </c>
      <c r="B220" s="1">
        <v>45772</v>
      </c>
      <c r="C220" t="s">
        <v>22</v>
      </c>
      <c r="D220" t="s">
        <v>25</v>
      </c>
      <c r="E220" s="2">
        <v>24.92</v>
      </c>
      <c r="F220" s="3">
        <v>67.17</v>
      </c>
      <c r="G220" s="4">
        <v>418.16</v>
      </c>
      <c r="H220">
        <v>1.5</v>
      </c>
      <c r="I220" s="4">
        <v>627.24</v>
      </c>
      <c r="J220">
        <v>4.7</v>
      </c>
      <c r="K220" t="s">
        <v>33</v>
      </c>
      <c r="L220" t="s">
        <v>16</v>
      </c>
      <c r="O220"/>
    </row>
    <row r="221" spans="1:15" x14ac:dyDescent="0.3">
      <c r="A221" t="s">
        <v>245</v>
      </c>
      <c r="B221" s="1">
        <v>45946</v>
      </c>
      <c r="C221" t="s">
        <v>14</v>
      </c>
      <c r="D221" t="s">
        <v>21</v>
      </c>
      <c r="E221" s="2">
        <v>26.48</v>
      </c>
      <c r="F221" s="3">
        <v>95.19</v>
      </c>
      <c r="G221" s="4">
        <v>439.16</v>
      </c>
      <c r="H221">
        <v>1</v>
      </c>
      <c r="I221" s="4">
        <v>439.16</v>
      </c>
      <c r="J221">
        <v>3.3</v>
      </c>
      <c r="K221" t="s">
        <v>18</v>
      </c>
      <c r="L221" t="s">
        <v>26</v>
      </c>
      <c r="O221"/>
    </row>
    <row r="222" spans="1:15" x14ac:dyDescent="0.3">
      <c r="A222" t="s">
        <v>246</v>
      </c>
      <c r="B222" s="1">
        <v>45961</v>
      </c>
      <c r="C222" t="s">
        <v>21</v>
      </c>
      <c r="D222" t="s">
        <v>25</v>
      </c>
      <c r="E222" s="2">
        <v>21.54</v>
      </c>
      <c r="F222" s="3">
        <v>79.14</v>
      </c>
      <c r="G222" s="4">
        <v>365.64</v>
      </c>
      <c r="H222">
        <v>1.2</v>
      </c>
      <c r="I222" s="4">
        <v>438.77</v>
      </c>
      <c r="J222">
        <v>3.2</v>
      </c>
      <c r="K222" t="s">
        <v>33</v>
      </c>
      <c r="L222" t="s">
        <v>16</v>
      </c>
      <c r="O222"/>
    </row>
    <row r="223" spans="1:15" x14ac:dyDescent="0.3">
      <c r="A223" t="s">
        <v>247</v>
      </c>
      <c r="B223" s="1">
        <v>45812</v>
      </c>
      <c r="C223" t="s">
        <v>25</v>
      </c>
      <c r="D223" t="s">
        <v>13</v>
      </c>
      <c r="E223" s="2">
        <v>22.83</v>
      </c>
      <c r="F223" s="3">
        <v>52.9</v>
      </c>
      <c r="G223" s="4">
        <v>429.4</v>
      </c>
      <c r="H223">
        <v>1.2</v>
      </c>
      <c r="I223" s="4">
        <v>515.28</v>
      </c>
      <c r="J223">
        <v>3.9</v>
      </c>
      <c r="K223" t="s">
        <v>30</v>
      </c>
      <c r="L223" t="s">
        <v>26</v>
      </c>
      <c r="O223"/>
    </row>
    <row r="224" spans="1:15" x14ac:dyDescent="0.3">
      <c r="A224" t="s">
        <v>248</v>
      </c>
      <c r="B224" s="1">
        <v>45688</v>
      </c>
      <c r="C224" t="s">
        <v>21</v>
      </c>
      <c r="D224" t="s">
        <v>22</v>
      </c>
      <c r="E224" s="2">
        <v>24.95</v>
      </c>
      <c r="F224" s="3">
        <v>56.33</v>
      </c>
      <c r="G224" s="4">
        <v>333.11</v>
      </c>
      <c r="H224">
        <v>1.2</v>
      </c>
      <c r="I224" s="4">
        <v>399.73</v>
      </c>
      <c r="J224">
        <v>4.8</v>
      </c>
      <c r="K224" t="s">
        <v>15</v>
      </c>
      <c r="L224" t="s">
        <v>16</v>
      </c>
      <c r="O224"/>
    </row>
    <row r="225" spans="1:15" x14ac:dyDescent="0.3">
      <c r="A225" t="s">
        <v>249</v>
      </c>
      <c r="B225" s="1">
        <v>45739</v>
      </c>
      <c r="C225" t="s">
        <v>14</v>
      </c>
      <c r="D225" t="s">
        <v>22</v>
      </c>
      <c r="E225" s="2">
        <v>24.72</v>
      </c>
      <c r="F225" s="3">
        <v>90.58</v>
      </c>
      <c r="G225" s="4">
        <v>372.65</v>
      </c>
      <c r="H225">
        <v>1.5</v>
      </c>
      <c r="I225" s="4">
        <v>558.97</v>
      </c>
      <c r="J225">
        <v>3.4</v>
      </c>
      <c r="K225" t="s">
        <v>15</v>
      </c>
      <c r="L225" t="s">
        <v>16</v>
      </c>
      <c r="O225"/>
    </row>
    <row r="226" spans="1:15" x14ac:dyDescent="0.3">
      <c r="A226" t="s">
        <v>250</v>
      </c>
      <c r="B226" s="1">
        <v>45670</v>
      </c>
      <c r="C226" t="s">
        <v>25</v>
      </c>
      <c r="D226" t="s">
        <v>14</v>
      </c>
      <c r="E226" s="2">
        <v>18.89</v>
      </c>
      <c r="F226" s="3">
        <v>74.849999999999994</v>
      </c>
      <c r="G226" s="4">
        <v>308.25</v>
      </c>
      <c r="H226">
        <v>1.5</v>
      </c>
      <c r="I226" s="4">
        <v>462.38</v>
      </c>
      <c r="J226">
        <v>3.8</v>
      </c>
      <c r="K226" t="s">
        <v>15</v>
      </c>
      <c r="L226" t="s">
        <v>19</v>
      </c>
      <c r="O226"/>
    </row>
    <row r="227" spans="1:15" x14ac:dyDescent="0.3">
      <c r="A227" t="s">
        <v>251</v>
      </c>
      <c r="B227" s="1">
        <v>46001</v>
      </c>
      <c r="C227" t="s">
        <v>25</v>
      </c>
      <c r="D227" t="s">
        <v>25</v>
      </c>
      <c r="E227" s="2">
        <v>24.74</v>
      </c>
      <c r="F227" s="3">
        <v>55.84</v>
      </c>
      <c r="G227" s="4">
        <v>317.5</v>
      </c>
      <c r="H227">
        <v>1.5</v>
      </c>
      <c r="I227" s="4">
        <v>476.25</v>
      </c>
      <c r="J227">
        <v>4.0999999999999996</v>
      </c>
      <c r="K227" t="s">
        <v>30</v>
      </c>
      <c r="L227" t="s">
        <v>26</v>
      </c>
      <c r="O227"/>
    </row>
    <row r="228" spans="1:15" x14ac:dyDescent="0.3">
      <c r="A228" t="s">
        <v>252</v>
      </c>
      <c r="B228" s="1">
        <v>45881</v>
      </c>
      <c r="C228" t="s">
        <v>22</v>
      </c>
      <c r="D228" t="s">
        <v>21</v>
      </c>
      <c r="E228" s="2">
        <v>25.36</v>
      </c>
      <c r="F228" s="3">
        <v>70.61</v>
      </c>
      <c r="G228" s="4">
        <v>299.12</v>
      </c>
      <c r="H228">
        <v>1</v>
      </c>
      <c r="I228" s="4">
        <v>299.12</v>
      </c>
      <c r="J228">
        <v>3.2</v>
      </c>
      <c r="K228" t="s">
        <v>36</v>
      </c>
      <c r="L228" t="s">
        <v>19</v>
      </c>
      <c r="O228"/>
    </row>
    <row r="229" spans="1:15" x14ac:dyDescent="0.3">
      <c r="A229" t="s">
        <v>253</v>
      </c>
      <c r="B229" s="1">
        <v>45853</v>
      </c>
      <c r="C229" t="s">
        <v>14</v>
      </c>
      <c r="D229" t="s">
        <v>25</v>
      </c>
      <c r="E229" s="2">
        <v>6.04</v>
      </c>
      <c r="F229" s="3">
        <v>21.39</v>
      </c>
      <c r="G229" s="4">
        <v>117.62</v>
      </c>
      <c r="H229">
        <v>2</v>
      </c>
      <c r="I229" s="4">
        <v>235.24</v>
      </c>
      <c r="J229">
        <v>4.4000000000000004</v>
      </c>
      <c r="K229" t="s">
        <v>15</v>
      </c>
      <c r="L229" t="s">
        <v>28</v>
      </c>
      <c r="O229"/>
    </row>
    <row r="230" spans="1:15" x14ac:dyDescent="0.3">
      <c r="A230" t="s">
        <v>254</v>
      </c>
      <c r="B230" s="1">
        <v>45850</v>
      </c>
      <c r="C230" t="s">
        <v>22</v>
      </c>
      <c r="D230" t="s">
        <v>21</v>
      </c>
      <c r="E230" s="2">
        <v>2.68</v>
      </c>
      <c r="F230" s="3">
        <v>5.76</v>
      </c>
      <c r="G230" s="4">
        <v>49.64</v>
      </c>
      <c r="H230">
        <v>1.2</v>
      </c>
      <c r="I230" s="4">
        <v>59.57</v>
      </c>
      <c r="J230">
        <v>4.9000000000000004</v>
      </c>
      <c r="K230" t="s">
        <v>33</v>
      </c>
      <c r="L230" t="s">
        <v>19</v>
      </c>
      <c r="O230"/>
    </row>
    <row r="231" spans="1:15" x14ac:dyDescent="0.3">
      <c r="A231" t="s">
        <v>255</v>
      </c>
      <c r="B231" s="1">
        <v>45942</v>
      </c>
      <c r="C231" t="s">
        <v>22</v>
      </c>
      <c r="D231" t="s">
        <v>14</v>
      </c>
      <c r="E231" s="2">
        <v>13.93</v>
      </c>
      <c r="F231" s="3">
        <v>45.9</v>
      </c>
      <c r="G231" s="4">
        <v>222.1</v>
      </c>
      <c r="H231">
        <v>2</v>
      </c>
      <c r="I231" s="4">
        <v>444.2</v>
      </c>
      <c r="J231">
        <v>3</v>
      </c>
      <c r="K231" t="s">
        <v>15</v>
      </c>
      <c r="L231" t="s">
        <v>28</v>
      </c>
      <c r="O231"/>
    </row>
    <row r="232" spans="1:15" x14ac:dyDescent="0.3">
      <c r="A232" t="s">
        <v>256</v>
      </c>
      <c r="B232" s="1">
        <v>45690</v>
      </c>
      <c r="C232" t="s">
        <v>22</v>
      </c>
      <c r="D232" t="s">
        <v>21</v>
      </c>
      <c r="E232" s="2">
        <v>10.38</v>
      </c>
      <c r="F232" s="3">
        <v>30.9</v>
      </c>
      <c r="G232" s="4">
        <v>183.77</v>
      </c>
      <c r="H232">
        <v>1.2</v>
      </c>
      <c r="I232" s="4">
        <v>220.52</v>
      </c>
      <c r="J232">
        <v>3</v>
      </c>
      <c r="K232" t="s">
        <v>30</v>
      </c>
      <c r="L232" t="s">
        <v>19</v>
      </c>
      <c r="O232"/>
    </row>
    <row r="233" spans="1:15" x14ac:dyDescent="0.3">
      <c r="A233" t="s">
        <v>257</v>
      </c>
      <c r="B233" s="1">
        <v>45883</v>
      </c>
      <c r="C233" t="s">
        <v>21</v>
      </c>
      <c r="D233" t="s">
        <v>14</v>
      </c>
      <c r="E233" s="2">
        <v>29.92</v>
      </c>
      <c r="F233" s="3">
        <v>85.34</v>
      </c>
      <c r="G233" s="4">
        <v>434.25</v>
      </c>
      <c r="H233">
        <v>1.5</v>
      </c>
      <c r="I233" s="4">
        <v>651.38</v>
      </c>
      <c r="J233">
        <v>4.0999999999999996</v>
      </c>
      <c r="K233" t="s">
        <v>15</v>
      </c>
      <c r="L233" t="s">
        <v>19</v>
      </c>
      <c r="O233"/>
    </row>
    <row r="234" spans="1:15" x14ac:dyDescent="0.3">
      <c r="A234" t="s">
        <v>258</v>
      </c>
      <c r="B234" s="1">
        <v>45942</v>
      </c>
      <c r="C234" t="s">
        <v>22</v>
      </c>
      <c r="D234" t="s">
        <v>13</v>
      </c>
      <c r="E234" s="2">
        <v>21.12</v>
      </c>
      <c r="F234" s="3">
        <v>51.57</v>
      </c>
      <c r="G234" s="4">
        <v>228.6</v>
      </c>
      <c r="H234">
        <v>1.2</v>
      </c>
      <c r="I234" s="4">
        <v>274.32</v>
      </c>
      <c r="J234">
        <v>3.5</v>
      </c>
      <c r="K234" t="s">
        <v>30</v>
      </c>
      <c r="L234" t="s">
        <v>28</v>
      </c>
      <c r="O234"/>
    </row>
    <row r="235" spans="1:15" x14ac:dyDescent="0.3">
      <c r="A235" t="s">
        <v>259</v>
      </c>
      <c r="B235" s="1">
        <v>45684</v>
      </c>
      <c r="C235" t="s">
        <v>13</v>
      </c>
      <c r="D235" t="s">
        <v>22</v>
      </c>
      <c r="E235" s="2">
        <v>26.17</v>
      </c>
      <c r="F235" s="3">
        <v>102.76</v>
      </c>
      <c r="G235" s="4">
        <v>269.89</v>
      </c>
      <c r="H235">
        <v>1</v>
      </c>
      <c r="I235" s="4">
        <v>269.89</v>
      </c>
      <c r="J235">
        <v>4.9000000000000004</v>
      </c>
      <c r="K235" t="s">
        <v>15</v>
      </c>
      <c r="L235" t="s">
        <v>19</v>
      </c>
      <c r="O235"/>
    </row>
    <row r="236" spans="1:15" x14ac:dyDescent="0.3">
      <c r="A236" t="s">
        <v>260</v>
      </c>
      <c r="B236" s="1">
        <v>46014</v>
      </c>
      <c r="C236" t="s">
        <v>13</v>
      </c>
      <c r="D236" t="s">
        <v>14</v>
      </c>
      <c r="E236" s="2">
        <v>19.52</v>
      </c>
      <c r="F236" s="3">
        <v>54.56</v>
      </c>
      <c r="G236" s="4">
        <v>248.73</v>
      </c>
      <c r="H236">
        <v>1.5</v>
      </c>
      <c r="I236" s="4">
        <v>373.1</v>
      </c>
      <c r="J236">
        <v>3.6</v>
      </c>
      <c r="K236" t="s">
        <v>36</v>
      </c>
      <c r="L236" t="s">
        <v>28</v>
      </c>
      <c r="O236"/>
    </row>
    <row r="237" spans="1:15" x14ac:dyDescent="0.3">
      <c r="A237" t="s">
        <v>261</v>
      </c>
      <c r="B237" s="1">
        <v>45715</v>
      </c>
      <c r="C237" t="s">
        <v>21</v>
      </c>
      <c r="D237" t="s">
        <v>22</v>
      </c>
      <c r="E237" s="2">
        <v>26.93</v>
      </c>
      <c r="F237" s="3">
        <v>66.25</v>
      </c>
      <c r="G237" s="4">
        <v>326.69</v>
      </c>
      <c r="H237">
        <v>2</v>
      </c>
      <c r="I237" s="4">
        <v>653.38</v>
      </c>
      <c r="J237">
        <v>4.7</v>
      </c>
      <c r="K237" t="s">
        <v>18</v>
      </c>
      <c r="L237" t="s">
        <v>28</v>
      </c>
      <c r="O237"/>
    </row>
    <row r="238" spans="1:15" x14ac:dyDescent="0.3">
      <c r="A238" t="s">
        <v>262</v>
      </c>
      <c r="B238" s="1">
        <v>45937</v>
      </c>
      <c r="C238" t="s">
        <v>22</v>
      </c>
      <c r="D238" t="s">
        <v>13</v>
      </c>
      <c r="E238" s="2">
        <v>11.69</v>
      </c>
      <c r="F238" s="3">
        <v>43.59</v>
      </c>
      <c r="G238" s="4">
        <v>172.22</v>
      </c>
      <c r="H238">
        <v>2</v>
      </c>
      <c r="I238" s="4">
        <v>344.44</v>
      </c>
      <c r="J238">
        <v>3.3</v>
      </c>
      <c r="K238" t="s">
        <v>18</v>
      </c>
      <c r="L238" t="s">
        <v>19</v>
      </c>
      <c r="O238"/>
    </row>
    <row r="239" spans="1:15" x14ac:dyDescent="0.3">
      <c r="A239" t="s">
        <v>263</v>
      </c>
      <c r="B239" s="1">
        <v>45802</v>
      </c>
      <c r="C239" t="s">
        <v>21</v>
      </c>
      <c r="D239" t="s">
        <v>21</v>
      </c>
      <c r="E239" s="2">
        <v>3.64</v>
      </c>
      <c r="F239" s="3">
        <v>8.4</v>
      </c>
      <c r="G239" s="4">
        <v>52.91</v>
      </c>
      <c r="H239">
        <v>1.2</v>
      </c>
      <c r="I239" s="4">
        <v>63.49</v>
      </c>
      <c r="J239">
        <v>4.5</v>
      </c>
      <c r="K239" t="s">
        <v>18</v>
      </c>
      <c r="L239" t="s">
        <v>26</v>
      </c>
      <c r="O239"/>
    </row>
    <row r="240" spans="1:15" x14ac:dyDescent="0.3">
      <c r="A240" t="s">
        <v>264</v>
      </c>
      <c r="B240" s="1">
        <v>46006</v>
      </c>
      <c r="C240" t="s">
        <v>22</v>
      </c>
      <c r="D240" t="s">
        <v>22</v>
      </c>
      <c r="E240" s="2">
        <v>4.8099999999999996</v>
      </c>
      <c r="F240" s="3">
        <v>9.93</v>
      </c>
      <c r="G240" s="4">
        <v>92.39</v>
      </c>
      <c r="H240">
        <v>1.5</v>
      </c>
      <c r="I240" s="4">
        <v>138.58000000000001</v>
      </c>
      <c r="J240">
        <v>3.4</v>
      </c>
      <c r="K240" t="s">
        <v>36</v>
      </c>
      <c r="L240" t="s">
        <v>26</v>
      </c>
      <c r="O240"/>
    </row>
    <row r="241" spans="1:15" x14ac:dyDescent="0.3">
      <c r="A241" t="s">
        <v>265</v>
      </c>
      <c r="B241" s="1">
        <v>45672</v>
      </c>
      <c r="C241" t="s">
        <v>22</v>
      </c>
      <c r="D241" t="s">
        <v>13</v>
      </c>
      <c r="E241" s="2">
        <v>14.96</v>
      </c>
      <c r="F241" s="3">
        <v>33.43</v>
      </c>
      <c r="G241" s="4">
        <v>168.33</v>
      </c>
      <c r="H241">
        <v>2</v>
      </c>
      <c r="I241" s="4">
        <v>336.66</v>
      </c>
      <c r="J241">
        <v>3.5</v>
      </c>
      <c r="K241" t="s">
        <v>18</v>
      </c>
      <c r="L241" t="s">
        <v>16</v>
      </c>
      <c r="O241"/>
    </row>
    <row r="242" spans="1:15" x14ac:dyDescent="0.3">
      <c r="A242" t="s">
        <v>266</v>
      </c>
      <c r="B242" s="1">
        <v>45666</v>
      </c>
      <c r="C242" t="s">
        <v>22</v>
      </c>
      <c r="D242" t="s">
        <v>13</v>
      </c>
      <c r="E242" s="2">
        <v>6.82</v>
      </c>
      <c r="F242" s="3">
        <v>20.350000000000001</v>
      </c>
      <c r="G242" s="4">
        <v>72.58</v>
      </c>
      <c r="H242">
        <v>1.2</v>
      </c>
      <c r="I242" s="4">
        <v>87.1</v>
      </c>
      <c r="J242">
        <v>3.7</v>
      </c>
      <c r="K242" t="s">
        <v>33</v>
      </c>
      <c r="L242" t="s">
        <v>19</v>
      </c>
      <c r="O242"/>
    </row>
    <row r="243" spans="1:15" x14ac:dyDescent="0.3">
      <c r="A243" t="s">
        <v>267</v>
      </c>
      <c r="B243" s="1">
        <v>46001</v>
      </c>
      <c r="C243" t="s">
        <v>25</v>
      </c>
      <c r="D243" t="s">
        <v>21</v>
      </c>
      <c r="E243" s="2">
        <v>13.56</v>
      </c>
      <c r="F243" s="3">
        <v>53.82</v>
      </c>
      <c r="G243" s="4">
        <v>155.88</v>
      </c>
      <c r="H243">
        <v>1</v>
      </c>
      <c r="I243" s="4">
        <v>155.88</v>
      </c>
      <c r="J243">
        <v>3.1</v>
      </c>
      <c r="K243" t="s">
        <v>15</v>
      </c>
      <c r="L243" t="s">
        <v>28</v>
      </c>
      <c r="O243"/>
    </row>
    <row r="244" spans="1:15" x14ac:dyDescent="0.3">
      <c r="A244" t="s">
        <v>268</v>
      </c>
      <c r="B244" s="1">
        <v>45977</v>
      </c>
      <c r="C244" t="s">
        <v>13</v>
      </c>
      <c r="D244" t="s">
        <v>25</v>
      </c>
      <c r="E244" s="2">
        <v>12.47</v>
      </c>
      <c r="F244" s="3">
        <v>49.25</v>
      </c>
      <c r="G244" s="4">
        <v>214.72</v>
      </c>
      <c r="H244">
        <v>1.5</v>
      </c>
      <c r="I244" s="4">
        <v>322.08</v>
      </c>
      <c r="J244">
        <v>4.4000000000000004</v>
      </c>
      <c r="K244" t="s">
        <v>36</v>
      </c>
      <c r="L244" t="s">
        <v>19</v>
      </c>
      <c r="O244"/>
    </row>
    <row r="245" spans="1:15" x14ac:dyDescent="0.3">
      <c r="A245" t="s">
        <v>269</v>
      </c>
      <c r="B245" s="1">
        <v>45946</v>
      </c>
      <c r="C245" t="s">
        <v>13</v>
      </c>
      <c r="D245" t="s">
        <v>22</v>
      </c>
      <c r="E245" s="2">
        <v>28.63</v>
      </c>
      <c r="F245" s="3">
        <v>109.24</v>
      </c>
      <c r="G245" s="4">
        <v>493.66</v>
      </c>
      <c r="H245">
        <v>1.5</v>
      </c>
      <c r="I245" s="4">
        <v>740.49</v>
      </c>
      <c r="J245">
        <v>3.2</v>
      </c>
      <c r="K245" t="s">
        <v>36</v>
      </c>
      <c r="L245" t="s">
        <v>19</v>
      </c>
      <c r="O245"/>
    </row>
    <row r="246" spans="1:15" x14ac:dyDescent="0.3">
      <c r="A246" t="s">
        <v>270</v>
      </c>
      <c r="B246" s="1">
        <v>45733</v>
      </c>
      <c r="C246" t="s">
        <v>21</v>
      </c>
      <c r="D246" t="s">
        <v>21</v>
      </c>
      <c r="E246" s="2">
        <v>29.61</v>
      </c>
      <c r="F246" s="3">
        <v>67.66</v>
      </c>
      <c r="G246" s="4">
        <v>443.82</v>
      </c>
      <c r="H246">
        <v>1.2</v>
      </c>
      <c r="I246" s="4">
        <v>532.58000000000004</v>
      </c>
      <c r="J246">
        <v>3.4</v>
      </c>
      <c r="K246" t="s">
        <v>30</v>
      </c>
      <c r="L246" t="s">
        <v>28</v>
      </c>
      <c r="O246"/>
    </row>
    <row r="247" spans="1:15" x14ac:dyDescent="0.3">
      <c r="A247" t="s">
        <v>271</v>
      </c>
      <c r="B247" s="1">
        <v>45818</v>
      </c>
      <c r="C247" t="s">
        <v>21</v>
      </c>
      <c r="D247" t="s">
        <v>21</v>
      </c>
      <c r="E247" s="2">
        <v>17.23</v>
      </c>
      <c r="F247" s="3">
        <v>34.799999999999997</v>
      </c>
      <c r="G247" s="4">
        <v>228.55</v>
      </c>
      <c r="H247">
        <v>1.2</v>
      </c>
      <c r="I247" s="4">
        <v>274.26</v>
      </c>
      <c r="J247">
        <v>4.0999999999999996</v>
      </c>
      <c r="K247" t="s">
        <v>18</v>
      </c>
      <c r="L247" t="s">
        <v>19</v>
      </c>
      <c r="O247"/>
    </row>
    <row r="248" spans="1:15" x14ac:dyDescent="0.3">
      <c r="A248" t="s">
        <v>272</v>
      </c>
      <c r="B248" s="1">
        <v>45890</v>
      </c>
      <c r="C248" t="s">
        <v>22</v>
      </c>
      <c r="D248" t="s">
        <v>14</v>
      </c>
      <c r="E248" s="2">
        <v>11.17</v>
      </c>
      <c r="F248" s="3">
        <v>23.08</v>
      </c>
      <c r="G248" s="4">
        <v>120.48</v>
      </c>
      <c r="H248">
        <v>1.2</v>
      </c>
      <c r="I248" s="4">
        <v>144.58000000000001</v>
      </c>
      <c r="J248">
        <v>3.6</v>
      </c>
      <c r="K248" t="s">
        <v>33</v>
      </c>
      <c r="L248" t="s">
        <v>19</v>
      </c>
      <c r="O248"/>
    </row>
    <row r="249" spans="1:15" x14ac:dyDescent="0.3">
      <c r="A249" t="s">
        <v>273</v>
      </c>
      <c r="B249" s="1">
        <v>45823</v>
      </c>
      <c r="C249" t="s">
        <v>14</v>
      </c>
      <c r="D249" t="s">
        <v>22</v>
      </c>
      <c r="E249" s="2">
        <v>17.46</v>
      </c>
      <c r="F249" s="3">
        <v>59</v>
      </c>
      <c r="G249" s="4">
        <v>314.38</v>
      </c>
      <c r="H249">
        <v>1.2</v>
      </c>
      <c r="I249" s="4">
        <v>377.26</v>
      </c>
      <c r="J249">
        <v>3.1</v>
      </c>
      <c r="K249" t="s">
        <v>15</v>
      </c>
      <c r="L249" t="s">
        <v>26</v>
      </c>
      <c r="O249"/>
    </row>
    <row r="250" spans="1:15" x14ac:dyDescent="0.3">
      <c r="A250" t="s">
        <v>274</v>
      </c>
      <c r="B250" s="1">
        <v>45962</v>
      </c>
      <c r="C250" t="s">
        <v>14</v>
      </c>
      <c r="D250" t="s">
        <v>14</v>
      </c>
      <c r="E250" s="2">
        <v>28.59</v>
      </c>
      <c r="F250" s="3">
        <v>64.28</v>
      </c>
      <c r="G250" s="4">
        <v>542.13</v>
      </c>
      <c r="H250">
        <v>1</v>
      </c>
      <c r="I250" s="4">
        <v>542.13</v>
      </c>
      <c r="J250">
        <v>4.9000000000000004</v>
      </c>
      <c r="K250" t="s">
        <v>33</v>
      </c>
      <c r="L250" t="s">
        <v>26</v>
      </c>
      <c r="O250"/>
    </row>
    <row r="251" spans="1:15" x14ac:dyDescent="0.3">
      <c r="A251" t="s">
        <v>275</v>
      </c>
      <c r="B251" s="1">
        <v>46016</v>
      </c>
      <c r="C251" t="s">
        <v>13</v>
      </c>
      <c r="D251" t="s">
        <v>13</v>
      </c>
      <c r="E251" s="2">
        <v>18.78</v>
      </c>
      <c r="F251" s="3">
        <v>48.78</v>
      </c>
      <c r="G251" s="4">
        <v>363.43</v>
      </c>
      <c r="H251">
        <v>2</v>
      </c>
      <c r="I251" s="4">
        <v>726.86</v>
      </c>
      <c r="J251">
        <v>4.4000000000000004</v>
      </c>
      <c r="K251" t="s">
        <v>15</v>
      </c>
      <c r="L251" t="s">
        <v>19</v>
      </c>
      <c r="O251"/>
    </row>
    <row r="252" spans="1:15" x14ac:dyDescent="0.3">
      <c r="A252" t="s">
        <v>276</v>
      </c>
      <c r="B252" s="1">
        <v>45975</v>
      </c>
      <c r="C252" t="s">
        <v>14</v>
      </c>
      <c r="D252" t="s">
        <v>25</v>
      </c>
      <c r="E252" s="2">
        <v>23.72</v>
      </c>
      <c r="F252" s="3">
        <v>76.489999999999995</v>
      </c>
      <c r="G252" s="4">
        <v>352.1</v>
      </c>
      <c r="H252">
        <v>1.5</v>
      </c>
      <c r="I252" s="4">
        <v>528.15</v>
      </c>
      <c r="J252">
        <v>4.8</v>
      </c>
      <c r="K252" t="s">
        <v>15</v>
      </c>
      <c r="L252" t="s">
        <v>19</v>
      </c>
      <c r="O252"/>
    </row>
    <row r="253" spans="1:15" x14ac:dyDescent="0.3">
      <c r="A253" t="s">
        <v>277</v>
      </c>
      <c r="B253" s="1">
        <v>45971</v>
      </c>
      <c r="C253" t="s">
        <v>14</v>
      </c>
      <c r="D253" t="s">
        <v>21</v>
      </c>
      <c r="E253" s="2">
        <v>23.73</v>
      </c>
      <c r="F253" s="3">
        <v>70.28</v>
      </c>
      <c r="G253" s="4">
        <v>246.97</v>
      </c>
      <c r="H253">
        <v>2</v>
      </c>
      <c r="I253" s="4">
        <v>493.94</v>
      </c>
      <c r="J253">
        <v>4.5</v>
      </c>
      <c r="K253" t="s">
        <v>33</v>
      </c>
      <c r="L253" t="s">
        <v>28</v>
      </c>
      <c r="O253"/>
    </row>
    <row r="254" spans="1:15" x14ac:dyDescent="0.3">
      <c r="A254" t="s">
        <v>278</v>
      </c>
      <c r="B254" s="1">
        <v>45669</v>
      </c>
      <c r="C254" t="s">
        <v>14</v>
      </c>
      <c r="D254" t="s">
        <v>21</v>
      </c>
      <c r="E254" s="2">
        <v>8.17</v>
      </c>
      <c r="F254" s="3">
        <v>18.95</v>
      </c>
      <c r="G254" s="4">
        <v>152.91999999999999</v>
      </c>
      <c r="H254">
        <v>1.2</v>
      </c>
      <c r="I254" s="4">
        <v>183.5</v>
      </c>
      <c r="J254">
        <v>3.7</v>
      </c>
      <c r="K254" t="s">
        <v>30</v>
      </c>
      <c r="L254" t="s">
        <v>19</v>
      </c>
      <c r="O254"/>
    </row>
    <row r="255" spans="1:15" x14ac:dyDescent="0.3">
      <c r="A255" t="s">
        <v>279</v>
      </c>
      <c r="B255" s="1">
        <v>45895</v>
      </c>
      <c r="C255" t="s">
        <v>13</v>
      </c>
      <c r="D255" t="s">
        <v>13</v>
      </c>
      <c r="E255" s="2">
        <v>10.77</v>
      </c>
      <c r="F255" s="3">
        <v>25.46</v>
      </c>
      <c r="G255" s="4">
        <v>192.75</v>
      </c>
      <c r="H255">
        <v>1.5</v>
      </c>
      <c r="I255" s="4">
        <v>289.12</v>
      </c>
      <c r="J255">
        <v>3.1</v>
      </c>
      <c r="K255" t="s">
        <v>33</v>
      </c>
      <c r="L255" t="s">
        <v>19</v>
      </c>
      <c r="O255"/>
    </row>
    <row r="256" spans="1:15" x14ac:dyDescent="0.3">
      <c r="A256" t="s">
        <v>280</v>
      </c>
      <c r="B256" s="1">
        <v>45957</v>
      </c>
      <c r="C256" t="s">
        <v>13</v>
      </c>
      <c r="D256" t="s">
        <v>25</v>
      </c>
      <c r="E256" s="2">
        <v>17.11</v>
      </c>
      <c r="F256" s="3">
        <v>58.83</v>
      </c>
      <c r="G256" s="4">
        <v>210.19</v>
      </c>
      <c r="H256">
        <v>2</v>
      </c>
      <c r="I256" s="4">
        <v>420.38</v>
      </c>
      <c r="J256">
        <v>4.0999999999999996</v>
      </c>
      <c r="K256" t="s">
        <v>18</v>
      </c>
      <c r="L256" t="s">
        <v>19</v>
      </c>
      <c r="O256"/>
    </row>
    <row r="257" spans="1:15" x14ac:dyDescent="0.3">
      <c r="A257" t="s">
        <v>281</v>
      </c>
      <c r="B257" s="1">
        <v>45716</v>
      </c>
      <c r="C257" t="s">
        <v>14</v>
      </c>
      <c r="D257" t="s">
        <v>13</v>
      </c>
      <c r="E257" s="2">
        <v>19.86</v>
      </c>
      <c r="F257" s="3">
        <v>47.65</v>
      </c>
      <c r="G257" s="4">
        <v>333.69</v>
      </c>
      <c r="H257">
        <v>1</v>
      </c>
      <c r="I257" s="4">
        <v>333.69</v>
      </c>
      <c r="J257">
        <v>3.8</v>
      </c>
      <c r="K257" t="s">
        <v>30</v>
      </c>
      <c r="L257" t="s">
        <v>16</v>
      </c>
      <c r="O257"/>
    </row>
    <row r="258" spans="1:15" x14ac:dyDescent="0.3">
      <c r="A258" t="s">
        <v>282</v>
      </c>
      <c r="B258" s="1">
        <v>45864</v>
      </c>
      <c r="C258" t="s">
        <v>22</v>
      </c>
      <c r="D258" t="s">
        <v>21</v>
      </c>
      <c r="E258" s="2">
        <v>8.4700000000000006</v>
      </c>
      <c r="F258" s="3">
        <v>24.78</v>
      </c>
      <c r="G258" s="4">
        <v>158.24</v>
      </c>
      <c r="H258">
        <v>1.5</v>
      </c>
      <c r="I258" s="4">
        <v>237.36</v>
      </c>
      <c r="J258">
        <v>3.8</v>
      </c>
      <c r="K258" t="s">
        <v>30</v>
      </c>
      <c r="L258" t="s">
        <v>19</v>
      </c>
      <c r="O258"/>
    </row>
    <row r="259" spans="1:15" x14ac:dyDescent="0.3">
      <c r="A259" t="s">
        <v>283</v>
      </c>
      <c r="B259" s="1">
        <v>45681</v>
      </c>
      <c r="C259" t="s">
        <v>22</v>
      </c>
      <c r="D259" t="s">
        <v>22</v>
      </c>
      <c r="E259" s="2">
        <v>13.34</v>
      </c>
      <c r="F259" s="3">
        <v>35.909999999999997</v>
      </c>
      <c r="G259" s="4">
        <v>182.9</v>
      </c>
      <c r="H259">
        <v>2</v>
      </c>
      <c r="I259" s="4">
        <v>365.8</v>
      </c>
      <c r="J259">
        <v>4</v>
      </c>
      <c r="K259" t="s">
        <v>33</v>
      </c>
      <c r="L259" t="s">
        <v>19</v>
      </c>
      <c r="O259"/>
    </row>
    <row r="260" spans="1:15" x14ac:dyDescent="0.3">
      <c r="A260" t="s">
        <v>284</v>
      </c>
      <c r="B260" s="1">
        <v>45707</v>
      </c>
      <c r="C260" t="s">
        <v>14</v>
      </c>
      <c r="D260" t="s">
        <v>21</v>
      </c>
      <c r="E260" s="2">
        <v>26.14</v>
      </c>
      <c r="F260" s="3">
        <v>82.53</v>
      </c>
      <c r="G260" s="4">
        <v>376.05</v>
      </c>
      <c r="H260">
        <v>1</v>
      </c>
      <c r="I260" s="4">
        <v>376.05</v>
      </c>
      <c r="J260">
        <v>3.8</v>
      </c>
      <c r="K260" t="s">
        <v>33</v>
      </c>
      <c r="L260" t="s">
        <v>26</v>
      </c>
      <c r="O260"/>
    </row>
    <row r="261" spans="1:15" x14ac:dyDescent="0.3">
      <c r="A261" t="s">
        <v>285</v>
      </c>
      <c r="B261" s="1">
        <v>45885</v>
      </c>
      <c r="C261" t="s">
        <v>22</v>
      </c>
      <c r="D261" t="s">
        <v>14</v>
      </c>
      <c r="E261" s="2">
        <v>26.33</v>
      </c>
      <c r="F261" s="3">
        <v>100.09</v>
      </c>
      <c r="G261" s="4">
        <v>374.34</v>
      </c>
      <c r="H261">
        <v>1.2</v>
      </c>
      <c r="I261" s="4">
        <v>449.21</v>
      </c>
      <c r="J261">
        <v>5</v>
      </c>
      <c r="K261" t="s">
        <v>18</v>
      </c>
      <c r="L261" t="s">
        <v>16</v>
      </c>
      <c r="O261"/>
    </row>
    <row r="262" spans="1:15" x14ac:dyDescent="0.3">
      <c r="A262" t="s">
        <v>286</v>
      </c>
      <c r="B262" s="1">
        <v>45843</v>
      </c>
      <c r="C262" t="s">
        <v>22</v>
      </c>
      <c r="D262" t="s">
        <v>22</v>
      </c>
      <c r="E262" s="2">
        <v>27.46</v>
      </c>
      <c r="F262" s="3">
        <v>66.489999999999995</v>
      </c>
      <c r="G262" s="4">
        <v>445.67</v>
      </c>
      <c r="H262">
        <v>2</v>
      </c>
      <c r="I262" s="4">
        <v>891.34</v>
      </c>
      <c r="J262">
        <v>4.7</v>
      </c>
      <c r="K262" t="s">
        <v>15</v>
      </c>
      <c r="L262" t="s">
        <v>19</v>
      </c>
      <c r="O262"/>
    </row>
    <row r="263" spans="1:15" x14ac:dyDescent="0.3">
      <c r="A263" t="s">
        <v>287</v>
      </c>
      <c r="B263" s="1">
        <v>45882</v>
      </c>
      <c r="C263" t="s">
        <v>14</v>
      </c>
      <c r="D263" t="s">
        <v>13</v>
      </c>
      <c r="E263" s="2">
        <v>4.82</v>
      </c>
      <c r="F263" s="3">
        <v>16.54</v>
      </c>
      <c r="G263" s="4">
        <v>92.02</v>
      </c>
      <c r="H263">
        <v>1.5</v>
      </c>
      <c r="I263" s="4">
        <v>138.03</v>
      </c>
      <c r="J263">
        <v>4.3</v>
      </c>
      <c r="K263" t="s">
        <v>36</v>
      </c>
      <c r="L263" t="s">
        <v>19</v>
      </c>
      <c r="O263"/>
    </row>
    <row r="264" spans="1:15" x14ac:dyDescent="0.3">
      <c r="A264" t="s">
        <v>288</v>
      </c>
      <c r="B264" s="1">
        <v>45671</v>
      </c>
      <c r="C264" t="s">
        <v>25</v>
      </c>
      <c r="D264" t="s">
        <v>25</v>
      </c>
      <c r="E264" s="2">
        <v>29.17</v>
      </c>
      <c r="F264" s="3">
        <v>68.900000000000006</v>
      </c>
      <c r="G264" s="4">
        <v>540.91999999999996</v>
      </c>
      <c r="H264">
        <v>1</v>
      </c>
      <c r="I264" s="4">
        <v>540.91999999999996</v>
      </c>
      <c r="J264">
        <v>3.9</v>
      </c>
      <c r="K264" t="s">
        <v>33</v>
      </c>
      <c r="L264" t="s">
        <v>26</v>
      </c>
      <c r="O264"/>
    </row>
    <row r="265" spans="1:15" x14ac:dyDescent="0.3">
      <c r="A265" t="s">
        <v>289</v>
      </c>
      <c r="B265" s="1">
        <v>45973</v>
      </c>
      <c r="C265" t="s">
        <v>21</v>
      </c>
      <c r="D265" t="s">
        <v>13</v>
      </c>
      <c r="E265" s="2">
        <v>12.75</v>
      </c>
      <c r="F265" s="3">
        <v>40.619999999999997</v>
      </c>
      <c r="G265" s="4">
        <v>201.38</v>
      </c>
      <c r="H265">
        <v>2</v>
      </c>
      <c r="I265" s="4">
        <v>402.76</v>
      </c>
      <c r="J265">
        <v>4.2</v>
      </c>
      <c r="K265" t="s">
        <v>33</v>
      </c>
      <c r="L265" t="s">
        <v>19</v>
      </c>
      <c r="O265"/>
    </row>
    <row r="266" spans="1:15" x14ac:dyDescent="0.3">
      <c r="A266" t="s">
        <v>290</v>
      </c>
      <c r="B266" s="1">
        <v>45983</v>
      </c>
      <c r="C266" t="s">
        <v>21</v>
      </c>
      <c r="D266" t="s">
        <v>21</v>
      </c>
      <c r="E266" s="2">
        <v>19.91</v>
      </c>
      <c r="F266" s="3">
        <v>52.25</v>
      </c>
      <c r="G266" s="4">
        <v>278.55</v>
      </c>
      <c r="H266">
        <v>1.5</v>
      </c>
      <c r="I266" s="4">
        <v>417.83</v>
      </c>
      <c r="J266">
        <v>4.3</v>
      </c>
      <c r="K266" t="s">
        <v>36</v>
      </c>
      <c r="L266" t="s">
        <v>26</v>
      </c>
      <c r="O266"/>
    </row>
    <row r="267" spans="1:15" x14ac:dyDescent="0.3">
      <c r="A267" t="s">
        <v>291</v>
      </c>
      <c r="B267" s="1">
        <v>45821</v>
      </c>
      <c r="C267" t="s">
        <v>22</v>
      </c>
      <c r="D267" t="s">
        <v>21</v>
      </c>
      <c r="E267" s="2">
        <v>29.12</v>
      </c>
      <c r="F267" s="3">
        <v>84.67</v>
      </c>
      <c r="G267" s="4">
        <v>359.94</v>
      </c>
      <c r="H267">
        <v>1.5</v>
      </c>
      <c r="I267" s="4">
        <v>539.91</v>
      </c>
      <c r="J267">
        <v>3.9</v>
      </c>
      <c r="K267" t="s">
        <v>33</v>
      </c>
      <c r="L267" t="s">
        <v>19</v>
      </c>
      <c r="O267"/>
    </row>
    <row r="268" spans="1:15" x14ac:dyDescent="0.3">
      <c r="A268" t="s">
        <v>292</v>
      </c>
      <c r="B268" s="1">
        <v>45737</v>
      </c>
      <c r="C268" t="s">
        <v>22</v>
      </c>
      <c r="D268" t="s">
        <v>14</v>
      </c>
      <c r="E268" s="2">
        <v>16.07</v>
      </c>
      <c r="F268" s="3">
        <v>42.97</v>
      </c>
      <c r="G268" s="4">
        <v>293.89999999999998</v>
      </c>
      <c r="H268">
        <v>1</v>
      </c>
      <c r="I268" s="4">
        <v>293.89999999999998</v>
      </c>
      <c r="J268">
        <v>3.9</v>
      </c>
      <c r="K268" t="s">
        <v>30</v>
      </c>
      <c r="L268" t="s">
        <v>26</v>
      </c>
      <c r="O268"/>
    </row>
    <row r="269" spans="1:15" x14ac:dyDescent="0.3">
      <c r="A269" t="s">
        <v>293</v>
      </c>
      <c r="B269" s="1">
        <v>45921</v>
      </c>
      <c r="C269" t="s">
        <v>14</v>
      </c>
      <c r="D269" t="s">
        <v>14</v>
      </c>
      <c r="E269" s="2">
        <v>18.899999999999999</v>
      </c>
      <c r="F269" s="3">
        <v>64.52</v>
      </c>
      <c r="G269" s="4">
        <v>220.57</v>
      </c>
      <c r="H269">
        <v>2</v>
      </c>
      <c r="I269" s="4">
        <v>441.14</v>
      </c>
      <c r="J269">
        <v>3.8</v>
      </c>
      <c r="K269" t="s">
        <v>15</v>
      </c>
      <c r="L269" t="s">
        <v>19</v>
      </c>
      <c r="O269"/>
    </row>
    <row r="270" spans="1:15" x14ac:dyDescent="0.3">
      <c r="A270" t="s">
        <v>294</v>
      </c>
      <c r="B270" s="1">
        <v>45764</v>
      </c>
      <c r="C270" t="s">
        <v>22</v>
      </c>
      <c r="D270" t="s">
        <v>13</v>
      </c>
      <c r="E270" s="2">
        <v>22.36</v>
      </c>
      <c r="F270" s="3">
        <v>74.41</v>
      </c>
      <c r="G270" s="4">
        <v>329.73</v>
      </c>
      <c r="H270">
        <v>1</v>
      </c>
      <c r="I270" s="4">
        <v>329.73</v>
      </c>
      <c r="J270">
        <v>4.4000000000000004</v>
      </c>
      <c r="K270" t="s">
        <v>33</v>
      </c>
      <c r="L270" t="s">
        <v>26</v>
      </c>
      <c r="O270"/>
    </row>
    <row r="271" spans="1:15" x14ac:dyDescent="0.3">
      <c r="A271" t="s">
        <v>295</v>
      </c>
      <c r="B271" s="1">
        <v>45969</v>
      </c>
      <c r="C271" t="s">
        <v>13</v>
      </c>
      <c r="D271" t="s">
        <v>25</v>
      </c>
      <c r="E271" s="2">
        <v>17.98</v>
      </c>
      <c r="F271" s="3">
        <v>67.180000000000007</v>
      </c>
      <c r="G271" s="4">
        <v>216.81</v>
      </c>
      <c r="H271">
        <v>1</v>
      </c>
      <c r="I271" s="4">
        <v>216.81</v>
      </c>
      <c r="J271">
        <v>3.1</v>
      </c>
      <c r="K271" t="s">
        <v>36</v>
      </c>
      <c r="L271" t="s">
        <v>16</v>
      </c>
      <c r="O271"/>
    </row>
    <row r="272" spans="1:15" x14ac:dyDescent="0.3">
      <c r="A272" t="s">
        <v>296</v>
      </c>
      <c r="B272" s="1">
        <v>45991</v>
      </c>
      <c r="C272" t="s">
        <v>22</v>
      </c>
      <c r="D272" t="s">
        <v>13</v>
      </c>
      <c r="E272" s="2">
        <v>2.66</v>
      </c>
      <c r="F272" s="3">
        <v>8.15</v>
      </c>
      <c r="G272" s="4">
        <v>51.51</v>
      </c>
      <c r="H272">
        <v>1</v>
      </c>
      <c r="I272" s="4">
        <v>51.51</v>
      </c>
      <c r="J272">
        <v>4.3</v>
      </c>
      <c r="K272" t="s">
        <v>33</v>
      </c>
      <c r="L272" t="s">
        <v>26</v>
      </c>
      <c r="O272"/>
    </row>
    <row r="273" spans="1:15" x14ac:dyDescent="0.3">
      <c r="A273" t="s">
        <v>297</v>
      </c>
      <c r="B273" s="1">
        <v>45692</v>
      </c>
      <c r="C273" t="s">
        <v>21</v>
      </c>
      <c r="D273" t="s">
        <v>25</v>
      </c>
      <c r="E273" s="2">
        <v>14.11</v>
      </c>
      <c r="F273" s="3">
        <v>54.57</v>
      </c>
      <c r="G273" s="4">
        <v>185.71</v>
      </c>
      <c r="H273">
        <v>1</v>
      </c>
      <c r="I273" s="4">
        <v>185.71</v>
      </c>
      <c r="J273">
        <v>4.2</v>
      </c>
      <c r="K273" t="s">
        <v>30</v>
      </c>
      <c r="L273" t="s">
        <v>16</v>
      </c>
      <c r="O273"/>
    </row>
    <row r="274" spans="1:15" x14ac:dyDescent="0.3">
      <c r="A274" t="s">
        <v>298</v>
      </c>
      <c r="B274" s="1">
        <v>45669</v>
      </c>
      <c r="C274" t="s">
        <v>21</v>
      </c>
      <c r="D274" t="s">
        <v>14</v>
      </c>
      <c r="E274" s="2">
        <v>5.3</v>
      </c>
      <c r="F274" s="3">
        <v>21.06</v>
      </c>
      <c r="G274" s="4">
        <v>104.15</v>
      </c>
      <c r="H274">
        <v>1.5</v>
      </c>
      <c r="I274" s="4">
        <v>156.22999999999999</v>
      </c>
      <c r="J274">
        <v>3</v>
      </c>
      <c r="K274" t="s">
        <v>18</v>
      </c>
      <c r="L274" t="s">
        <v>28</v>
      </c>
      <c r="O274"/>
    </row>
    <row r="275" spans="1:15" x14ac:dyDescent="0.3">
      <c r="A275" t="s">
        <v>299</v>
      </c>
      <c r="B275" s="1">
        <v>45874</v>
      </c>
      <c r="C275" t="s">
        <v>25</v>
      </c>
      <c r="D275" t="s">
        <v>21</v>
      </c>
      <c r="E275" s="2">
        <v>19.53</v>
      </c>
      <c r="F275" s="3">
        <v>72.959999999999994</v>
      </c>
      <c r="G275" s="4">
        <v>284.11</v>
      </c>
      <c r="H275">
        <v>1.5</v>
      </c>
      <c r="I275" s="4">
        <v>426.16</v>
      </c>
      <c r="J275">
        <v>4</v>
      </c>
      <c r="K275" t="s">
        <v>36</v>
      </c>
      <c r="L275" t="s">
        <v>26</v>
      </c>
      <c r="O275"/>
    </row>
    <row r="276" spans="1:15" x14ac:dyDescent="0.3">
      <c r="A276" t="s">
        <v>300</v>
      </c>
      <c r="B276" s="1">
        <v>45951</v>
      </c>
      <c r="C276" t="s">
        <v>13</v>
      </c>
      <c r="D276" t="s">
        <v>22</v>
      </c>
      <c r="E276" s="2">
        <v>5.05</v>
      </c>
      <c r="F276" s="3">
        <v>10.4</v>
      </c>
      <c r="G276" s="4">
        <v>66.05</v>
      </c>
      <c r="H276">
        <v>2</v>
      </c>
      <c r="I276" s="4">
        <v>132.1</v>
      </c>
      <c r="J276">
        <v>4.9000000000000004</v>
      </c>
      <c r="K276" t="s">
        <v>18</v>
      </c>
      <c r="L276" t="s">
        <v>26</v>
      </c>
      <c r="O276"/>
    </row>
    <row r="277" spans="1:15" x14ac:dyDescent="0.3">
      <c r="A277" t="s">
        <v>301</v>
      </c>
      <c r="B277" s="1">
        <v>45665</v>
      </c>
      <c r="C277" t="s">
        <v>25</v>
      </c>
      <c r="D277" t="s">
        <v>21</v>
      </c>
      <c r="E277" s="2">
        <v>29.13</v>
      </c>
      <c r="F277" s="3">
        <v>63.73</v>
      </c>
      <c r="G277" s="4">
        <v>487.23</v>
      </c>
      <c r="H277">
        <v>2</v>
      </c>
      <c r="I277" s="4">
        <v>974.46</v>
      </c>
      <c r="J277">
        <v>3.5</v>
      </c>
      <c r="K277" t="s">
        <v>15</v>
      </c>
      <c r="L277" t="s">
        <v>19</v>
      </c>
      <c r="O277"/>
    </row>
    <row r="278" spans="1:15" x14ac:dyDescent="0.3">
      <c r="A278" t="s">
        <v>302</v>
      </c>
      <c r="B278" s="1">
        <v>45743</v>
      </c>
      <c r="C278" t="s">
        <v>25</v>
      </c>
      <c r="D278" t="s">
        <v>25</v>
      </c>
      <c r="E278" s="2">
        <v>8.4</v>
      </c>
      <c r="F278" s="3">
        <v>27.92</v>
      </c>
      <c r="G278" s="4">
        <v>166.21</v>
      </c>
      <c r="H278">
        <v>1.5</v>
      </c>
      <c r="I278" s="4">
        <v>249.32</v>
      </c>
      <c r="J278">
        <v>4.4000000000000004</v>
      </c>
      <c r="K278" t="s">
        <v>36</v>
      </c>
      <c r="L278" t="s">
        <v>16</v>
      </c>
      <c r="O278"/>
    </row>
    <row r="279" spans="1:15" x14ac:dyDescent="0.3">
      <c r="A279" t="s">
        <v>303</v>
      </c>
      <c r="B279" s="1">
        <v>45771</v>
      </c>
      <c r="C279" t="s">
        <v>13</v>
      </c>
      <c r="D279" t="s">
        <v>14</v>
      </c>
      <c r="E279" s="2">
        <v>8.08</v>
      </c>
      <c r="F279" s="3">
        <v>29.59</v>
      </c>
      <c r="G279" s="4">
        <v>150.66</v>
      </c>
      <c r="H279">
        <v>1</v>
      </c>
      <c r="I279" s="4">
        <v>150.66</v>
      </c>
      <c r="J279">
        <v>3.1</v>
      </c>
      <c r="K279" t="s">
        <v>30</v>
      </c>
      <c r="L279" t="s">
        <v>19</v>
      </c>
      <c r="O279"/>
    </row>
    <row r="280" spans="1:15" x14ac:dyDescent="0.3">
      <c r="A280" t="s">
        <v>304</v>
      </c>
      <c r="B280" s="1">
        <v>45985</v>
      </c>
      <c r="C280" t="s">
        <v>13</v>
      </c>
      <c r="D280" t="s">
        <v>21</v>
      </c>
      <c r="E280" s="2">
        <v>24.07</v>
      </c>
      <c r="F280" s="3">
        <v>92.37</v>
      </c>
      <c r="G280" s="4">
        <v>385.27</v>
      </c>
      <c r="H280">
        <v>1.5</v>
      </c>
      <c r="I280" s="4">
        <v>577.9</v>
      </c>
      <c r="J280">
        <v>4.3</v>
      </c>
      <c r="K280" t="s">
        <v>30</v>
      </c>
      <c r="L280" t="s">
        <v>26</v>
      </c>
      <c r="O280"/>
    </row>
    <row r="281" spans="1:15" x14ac:dyDescent="0.3">
      <c r="A281" t="s">
        <v>305</v>
      </c>
      <c r="B281" s="1">
        <v>45710</v>
      </c>
      <c r="C281" t="s">
        <v>21</v>
      </c>
      <c r="D281" t="s">
        <v>13</v>
      </c>
      <c r="E281" s="2">
        <v>20.34</v>
      </c>
      <c r="F281" s="3">
        <v>64.16</v>
      </c>
      <c r="G281" s="4">
        <v>274.3</v>
      </c>
      <c r="H281">
        <v>1.2</v>
      </c>
      <c r="I281" s="4">
        <v>329.16</v>
      </c>
      <c r="J281">
        <v>5</v>
      </c>
      <c r="K281" t="s">
        <v>33</v>
      </c>
      <c r="L281" t="s">
        <v>19</v>
      </c>
      <c r="O281"/>
    </row>
    <row r="282" spans="1:15" x14ac:dyDescent="0.3">
      <c r="A282" t="s">
        <v>306</v>
      </c>
      <c r="B282" s="1">
        <v>45720</v>
      </c>
      <c r="C282" t="s">
        <v>13</v>
      </c>
      <c r="D282" t="s">
        <v>22</v>
      </c>
      <c r="E282" s="2">
        <v>29.34</v>
      </c>
      <c r="F282" s="3">
        <v>82.56</v>
      </c>
      <c r="G282" s="4">
        <v>548.88</v>
      </c>
      <c r="H282">
        <v>1</v>
      </c>
      <c r="I282" s="4">
        <v>548.88</v>
      </c>
      <c r="J282">
        <v>3.2</v>
      </c>
      <c r="K282" t="s">
        <v>36</v>
      </c>
      <c r="L282" t="s">
        <v>16</v>
      </c>
      <c r="O282"/>
    </row>
    <row r="283" spans="1:15" x14ac:dyDescent="0.3">
      <c r="A283" t="s">
        <v>307</v>
      </c>
      <c r="B283" s="1">
        <v>45816</v>
      </c>
      <c r="C283" t="s">
        <v>14</v>
      </c>
      <c r="D283" t="s">
        <v>21</v>
      </c>
      <c r="E283" s="2">
        <v>22.42</v>
      </c>
      <c r="F283" s="3">
        <v>84.23</v>
      </c>
      <c r="G283" s="4">
        <v>314.81</v>
      </c>
      <c r="H283">
        <v>1.2</v>
      </c>
      <c r="I283" s="4">
        <v>377.77</v>
      </c>
      <c r="J283">
        <v>4.9000000000000004</v>
      </c>
      <c r="K283" t="s">
        <v>15</v>
      </c>
      <c r="L283" t="s">
        <v>28</v>
      </c>
      <c r="O283"/>
    </row>
    <row r="284" spans="1:15" x14ac:dyDescent="0.3">
      <c r="A284" t="s">
        <v>308</v>
      </c>
      <c r="B284" s="1">
        <v>45676</v>
      </c>
      <c r="C284" t="s">
        <v>25</v>
      </c>
      <c r="D284" t="s">
        <v>13</v>
      </c>
      <c r="E284" s="2">
        <v>24.43</v>
      </c>
      <c r="F284" s="3">
        <v>86.11</v>
      </c>
      <c r="G284" s="4">
        <v>439.21</v>
      </c>
      <c r="H284">
        <v>1.5</v>
      </c>
      <c r="I284" s="4">
        <v>658.82</v>
      </c>
      <c r="J284">
        <v>4.7</v>
      </c>
      <c r="K284" t="s">
        <v>30</v>
      </c>
      <c r="L284" t="s">
        <v>19</v>
      </c>
      <c r="O284"/>
    </row>
    <row r="285" spans="1:15" x14ac:dyDescent="0.3">
      <c r="A285" t="s">
        <v>309</v>
      </c>
      <c r="B285" s="1">
        <v>45786</v>
      </c>
      <c r="C285" t="s">
        <v>25</v>
      </c>
      <c r="D285" t="s">
        <v>21</v>
      </c>
      <c r="E285" s="2">
        <v>4.49</v>
      </c>
      <c r="F285" s="3">
        <v>13.87</v>
      </c>
      <c r="G285" s="4">
        <v>45.16</v>
      </c>
      <c r="H285">
        <v>1.5</v>
      </c>
      <c r="I285" s="4">
        <v>67.739999999999995</v>
      </c>
      <c r="J285">
        <v>4.3</v>
      </c>
      <c r="K285" t="s">
        <v>15</v>
      </c>
      <c r="L285" t="s">
        <v>19</v>
      </c>
      <c r="O285"/>
    </row>
    <row r="286" spans="1:15" x14ac:dyDescent="0.3">
      <c r="A286" t="s">
        <v>310</v>
      </c>
      <c r="B286" s="1">
        <v>45856</v>
      </c>
      <c r="C286" t="s">
        <v>14</v>
      </c>
      <c r="D286" t="s">
        <v>25</v>
      </c>
      <c r="E286" s="2">
        <v>17.34</v>
      </c>
      <c r="F286" s="3">
        <v>47.87</v>
      </c>
      <c r="G286" s="4">
        <v>268.51</v>
      </c>
      <c r="H286">
        <v>1</v>
      </c>
      <c r="I286" s="4">
        <v>268.51</v>
      </c>
      <c r="J286">
        <v>3.5</v>
      </c>
      <c r="K286" t="s">
        <v>33</v>
      </c>
      <c r="L286" t="s">
        <v>26</v>
      </c>
      <c r="O286"/>
    </row>
    <row r="287" spans="1:15" x14ac:dyDescent="0.3">
      <c r="A287" t="s">
        <v>311</v>
      </c>
      <c r="B287" s="1">
        <v>45948</v>
      </c>
      <c r="C287" t="s">
        <v>25</v>
      </c>
      <c r="D287" t="s">
        <v>14</v>
      </c>
      <c r="E287" s="2">
        <v>7.59</v>
      </c>
      <c r="F287" s="3">
        <v>16.29</v>
      </c>
      <c r="G287" s="4">
        <v>121.7</v>
      </c>
      <c r="H287">
        <v>1.2</v>
      </c>
      <c r="I287" s="4">
        <v>146.04</v>
      </c>
      <c r="J287">
        <v>4.3</v>
      </c>
      <c r="K287" t="s">
        <v>15</v>
      </c>
      <c r="L287" t="s">
        <v>28</v>
      </c>
      <c r="O287"/>
    </row>
    <row r="288" spans="1:15" x14ac:dyDescent="0.3">
      <c r="A288" t="s">
        <v>312</v>
      </c>
      <c r="B288" s="1">
        <v>45922</v>
      </c>
      <c r="C288" t="s">
        <v>25</v>
      </c>
      <c r="D288" t="s">
        <v>22</v>
      </c>
      <c r="E288" s="2">
        <v>12.01</v>
      </c>
      <c r="F288" s="3">
        <v>44.76</v>
      </c>
      <c r="G288" s="4">
        <v>182.44</v>
      </c>
      <c r="H288">
        <v>1.2</v>
      </c>
      <c r="I288" s="4">
        <v>218.93</v>
      </c>
      <c r="J288">
        <v>4.8</v>
      </c>
      <c r="K288" t="s">
        <v>18</v>
      </c>
      <c r="L288" t="s">
        <v>19</v>
      </c>
      <c r="O288"/>
    </row>
    <row r="289" spans="1:15" x14ac:dyDescent="0.3">
      <c r="A289" t="s">
        <v>313</v>
      </c>
      <c r="B289" s="1">
        <v>45878</v>
      </c>
      <c r="C289" t="s">
        <v>21</v>
      </c>
      <c r="D289" t="s">
        <v>25</v>
      </c>
      <c r="E289" s="2">
        <v>10.9</v>
      </c>
      <c r="F289" s="3">
        <v>30.09</v>
      </c>
      <c r="G289" s="4">
        <v>152.47</v>
      </c>
      <c r="H289">
        <v>1</v>
      </c>
      <c r="I289" s="4">
        <v>152.47</v>
      </c>
      <c r="J289">
        <v>3.5</v>
      </c>
      <c r="K289" t="s">
        <v>15</v>
      </c>
      <c r="L289" t="s">
        <v>19</v>
      </c>
      <c r="O289"/>
    </row>
    <row r="290" spans="1:15" x14ac:dyDescent="0.3">
      <c r="A290" t="s">
        <v>314</v>
      </c>
      <c r="B290" s="1">
        <v>45885</v>
      </c>
      <c r="C290" t="s">
        <v>14</v>
      </c>
      <c r="D290" t="s">
        <v>21</v>
      </c>
      <c r="E290" s="2">
        <v>18.63</v>
      </c>
      <c r="F290" s="3">
        <v>65.760000000000005</v>
      </c>
      <c r="G290" s="4">
        <v>337.76</v>
      </c>
      <c r="H290">
        <v>1.2</v>
      </c>
      <c r="I290" s="4">
        <v>405.31</v>
      </c>
      <c r="J290">
        <v>4.4000000000000004</v>
      </c>
      <c r="K290" t="s">
        <v>15</v>
      </c>
      <c r="L290" t="s">
        <v>28</v>
      </c>
      <c r="O290"/>
    </row>
    <row r="291" spans="1:15" x14ac:dyDescent="0.3">
      <c r="A291" t="s">
        <v>315</v>
      </c>
      <c r="B291" s="1">
        <v>45678</v>
      </c>
      <c r="C291" t="s">
        <v>22</v>
      </c>
      <c r="D291" t="s">
        <v>13</v>
      </c>
      <c r="E291" s="2">
        <v>6.68</v>
      </c>
      <c r="F291" s="3">
        <v>13.46</v>
      </c>
      <c r="G291" s="4">
        <v>110.05</v>
      </c>
      <c r="H291">
        <v>2</v>
      </c>
      <c r="I291" s="4">
        <v>220.1</v>
      </c>
      <c r="J291">
        <v>4.9000000000000004</v>
      </c>
      <c r="K291" t="s">
        <v>15</v>
      </c>
      <c r="L291" t="s">
        <v>26</v>
      </c>
      <c r="O291"/>
    </row>
    <row r="292" spans="1:15" x14ac:dyDescent="0.3">
      <c r="A292" t="s">
        <v>316</v>
      </c>
      <c r="B292" s="1">
        <v>45949</v>
      </c>
      <c r="C292" t="s">
        <v>13</v>
      </c>
      <c r="D292" t="s">
        <v>25</v>
      </c>
      <c r="E292" s="2">
        <v>27.88</v>
      </c>
      <c r="F292" s="3">
        <v>59.12</v>
      </c>
      <c r="G292" s="4">
        <v>539.32000000000005</v>
      </c>
      <c r="H292">
        <v>1.2</v>
      </c>
      <c r="I292" s="4">
        <v>647.17999999999995</v>
      </c>
      <c r="J292">
        <v>3.4</v>
      </c>
      <c r="K292" t="s">
        <v>33</v>
      </c>
      <c r="L292" t="s">
        <v>28</v>
      </c>
      <c r="O292"/>
    </row>
    <row r="293" spans="1:15" x14ac:dyDescent="0.3">
      <c r="A293" t="s">
        <v>317</v>
      </c>
      <c r="B293" s="1">
        <v>45991</v>
      </c>
      <c r="C293" t="s">
        <v>22</v>
      </c>
      <c r="D293" t="s">
        <v>13</v>
      </c>
      <c r="E293" s="2">
        <v>15.09</v>
      </c>
      <c r="F293" s="3">
        <v>37.93</v>
      </c>
      <c r="G293" s="4">
        <v>193.89</v>
      </c>
      <c r="H293">
        <v>1.5</v>
      </c>
      <c r="I293" s="4">
        <v>290.83</v>
      </c>
      <c r="J293">
        <v>4.9000000000000004</v>
      </c>
      <c r="K293" t="s">
        <v>30</v>
      </c>
      <c r="L293" t="s">
        <v>28</v>
      </c>
      <c r="O293"/>
    </row>
    <row r="294" spans="1:15" x14ac:dyDescent="0.3">
      <c r="A294" t="s">
        <v>318</v>
      </c>
      <c r="B294" s="1">
        <v>45813</v>
      </c>
      <c r="C294" t="s">
        <v>21</v>
      </c>
      <c r="D294" t="s">
        <v>14</v>
      </c>
      <c r="E294" s="2">
        <v>16.64</v>
      </c>
      <c r="F294" s="3">
        <v>43.64</v>
      </c>
      <c r="G294" s="4">
        <v>267.95999999999998</v>
      </c>
      <c r="H294">
        <v>1.2</v>
      </c>
      <c r="I294" s="4">
        <v>321.55</v>
      </c>
      <c r="J294">
        <v>3.8</v>
      </c>
      <c r="K294" t="s">
        <v>30</v>
      </c>
      <c r="L294" t="s">
        <v>16</v>
      </c>
      <c r="O294"/>
    </row>
    <row r="295" spans="1:15" x14ac:dyDescent="0.3">
      <c r="A295" t="s">
        <v>319</v>
      </c>
      <c r="B295" s="1">
        <v>45734</v>
      </c>
      <c r="C295" t="s">
        <v>14</v>
      </c>
      <c r="D295" t="s">
        <v>21</v>
      </c>
      <c r="E295" s="2">
        <v>12.99</v>
      </c>
      <c r="F295" s="3">
        <v>29.15</v>
      </c>
      <c r="G295" s="4">
        <v>153.43</v>
      </c>
      <c r="H295">
        <v>1.5</v>
      </c>
      <c r="I295" s="4">
        <v>230.14</v>
      </c>
      <c r="J295">
        <v>4.7</v>
      </c>
      <c r="K295" t="s">
        <v>30</v>
      </c>
      <c r="L295" t="s">
        <v>26</v>
      </c>
      <c r="O295"/>
    </row>
    <row r="296" spans="1:15" x14ac:dyDescent="0.3">
      <c r="A296" t="s">
        <v>320</v>
      </c>
      <c r="B296" s="1">
        <v>45696</v>
      </c>
      <c r="C296" t="s">
        <v>25</v>
      </c>
      <c r="D296" t="s">
        <v>22</v>
      </c>
      <c r="E296" s="2">
        <v>16.23</v>
      </c>
      <c r="F296" s="3">
        <v>55.48</v>
      </c>
      <c r="G296" s="4">
        <v>179.65</v>
      </c>
      <c r="H296">
        <v>1.2</v>
      </c>
      <c r="I296" s="4">
        <v>215.58</v>
      </c>
      <c r="J296">
        <v>3.4</v>
      </c>
      <c r="K296" t="s">
        <v>18</v>
      </c>
      <c r="L296" t="s">
        <v>26</v>
      </c>
      <c r="O296"/>
    </row>
    <row r="297" spans="1:15" x14ac:dyDescent="0.3">
      <c r="A297" t="s">
        <v>321</v>
      </c>
      <c r="B297" s="1">
        <v>45693</v>
      </c>
      <c r="C297" t="s">
        <v>14</v>
      </c>
      <c r="D297" t="s">
        <v>21</v>
      </c>
      <c r="E297" s="2">
        <v>13.31</v>
      </c>
      <c r="F297" s="3">
        <v>28.94</v>
      </c>
      <c r="G297" s="4">
        <v>241.68</v>
      </c>
      <c r="H297">
        <v>2</v>
      </c>
      <c r="I297" s="4">
        <v>483.36</v>
      </c>
      <c r="J297">
        <v>3.1</v>
      </c>
      <c r="K297" t="s">
        <v>36</v>
      </c>
      <c r="L297" t="s">
        <v>16</v>
      </c>
      <c r="O297"/>
    </row>
    <row r="298" spans="1:15" x14ac:dyDescent="0.3">
      <c r="A298" t="s">
        <v>322</v>
      </c>
      <c r="B298" s="1">
        <v>46019</v>
      </c>
      <c r="C298" t="s">
        <v>13</v>
      </c>
      <c r="D298" t="s">
        <v>14</v>
      </c>
      <c r="E298" s="2">
        <v>4.26</v>
      </c>
      <c r="F298" s="3">
        <v>8.5399999999999991</v>
      </c>
      <c r="G298" s="4">
        <v>69.78</v>
      </c>
      <c r="H298">
        <v>1</v>
      </c>
      <c r="I298" s="4">
        <v>69.78</v>
      </c>
      <c r="J298">
        <v>4.8</v>
      </c>
      <c r="K298" t="s">
        <v>36</v>
      </c>
      <c r="L298" t="s">
        <v>16</v>
      </c>
      <c r="O298"/>
    </row>
    <row r="299" spans="1:15" x14ac:dyDescent="0.3">
      <c r="A299" t="s">
        <v>323</v>
      </c>
      <c r="B299" s="1">
        <v>45683</v>
      </c>
      <c r="C299" t="s">
        <v>21</v>
      </c>
      <c r="D299" t="s">
        <v>22</v>
      </c>
      <c r="E299" s="2">
        <v>7.15</v>
      </c>
      <c r="F299" s="3">
        <v>23.04</v>
      </c>
      <c r="G299" s="4">
        <v>100.89</v>
      </c>
      <c r="H299">
        <v>1</v>
      </c>
      <c r="I299" s="4">
        <v>100.89</v>
      </c>
      <c r="J299">
        <v>4.8</v>
      </c>
      <c r="K299" t="s">
        <v>36</v>
      </c>
      <c r="L299" t="s">
        <v>26</v>
      </c>
      <c r="O299"/>
    </row>
    <row r="300" spans="1:15" x14ac:dyDescent="0.3">
      <c r="A300" t="s">
        <v>324</v>
      </c>
      <c r="B300" s="1">
        <v>45809</v>
      </c>
      <c r="C300" t="s">
        <v>21</v>
      </c>
      <c r="D300" t="s">
        <v>22</v>
      </c>
      <c r="E300" s="2">
        <v>11.25</v>
      </c>
      <c r="F300" s="3">
        <v>27.83</v>
      </c>
      <c r="G300" s="4">
        <v>200.31</v>
      </c>
      <c r="H300">
        <v>1.2</v>
      </c>
      <c r="I300" s="4">
        <v>240.37</v>
      </c>
      <c r="J300">
        <v>4.5</v>
      </c>
      <c r="K300" t="s">
        <v>18</v>
      </c>
      <c r="L300" t="s">
        <v>28</v>
      </c>
      <c r="O300"/>
    </row>
    <row r="301" spans="1:15" x14ac:dyDescent="0.3">
      <c r="A301" t="s">
        <v>325</v>
      </c>
      <c r="B301" s="1">
        <v>45757</v>
      </c>
      <c r="C301" t="s">
        <v>14</v>
      </c>
      <c r="D301" t="s">
        <v>13</v>
      </c>
      <c r="E301" s="2">
        <v>13.29</v>
      </c>
      <c r="F301" s="3">
        <v>44.32</v>
      </c>
      <c r="G301" s="4">
        <v>145.6</v>
      </c>
      <c r="H301">
        <v>2</v>
      </c>
      <c r="I301" s="4">
        <v>291.2</v>
      </c>
      <c r="J301">
        <v>3.3</v>
      </c>
      <c r="K301" t="s">
        <v>36</v>
      </c>
      <c r="L301" t="s">
        <v>16</v>
      </c>
      <c r="O301"/>
    </row>
    <row r="302" spans="1:15" x14ac:dyDescent="0.3">
      <c r="A302" t="s">
        <v>326</v>
      </c>
      <c r="B302" s="1">
        <v>45899</v>
      </c>
      <c r="C302" t="s">
        <v>21</v>
      </c>
      <c r="D302" t="s">
        <v>25</v>
      </c>
      <c r="E302" s="2">
        <v>5.44</v>
      </c>
      <c r="F302" s="3">
        <v>13.44</v>
      </c>
      <c r="G302" s="4">
        <v>101.69</v>
      </c>
      <c r="H302">
        <v>1</v>
      </c>
      <c r="I302" s="4">
        <v>101.69</v>
      </c>
      <c r="J302">
        <v>3.4</v>
      </c>
      <c r="K302" t="s">
        <v>33</v>
      </c>
      <c r="L302" t="s">
        <v>26</v>
      </c>
      <c r="O302"/>
    </row>
    <row r="303" spans="1:15" x14ac:dyDescent="0.3">
      <c r="A303" t="s">
        <v>327</v>
      </c>
      <c r="B303" s="1">
        <v>45807</v>
      </c>
      <c r="C303" t="s">
        <v>13</v>
      </c>
      <c r="D303" t="s">
        <v>25</v>
      </c>
      <c r="E303" s="2">
        <v>1.69</v>
      </c>
      <c r="F303" s="3">
        <v>5.55</v>
      </c>
      <c r="G303" s="4">
        <v>27.16</v>
      </c>
      <c r="H303">
        <v>2</v>
      </c>
      <c r="I303" s="4">
        <v>54.32</v>
      </c>
      <c r="J303">
        <v>4.3</v>
      </c>
      <c r="K303" t="s">
        <v>33</v>
      </c>
      <c r="L303" t="s">
        <v>28</v>
      </c>
      <c r="O303"/>
    </row>
    <row r="304" spans="1:15" x14ac:dyDescent="0.3">
      <c r="A304" t="s">
        <v>328</v>
      </c>
      <c r="B304" s="1">
        <v>45735</v>
      </c>
      <c r="C304" t="s">
        <v>25</v>
      </c>
      <c r="D304" t="s">
        <v>13</v>
      </c>
      <c r="E304" s="2">
        <v>19.329999999999998</v>
      </c>
      <c r="F304" s="3">
        <v>40.92</v>
      </c>
      <c r="G304" s="4">
        <v>220.7</v>
      </c>
      <c r="H304">
        <v>2</v>
      </c>
      <c r="I304" s="4">
        <v>441.4</v>
      </c>
      <c r="J304">
        <v>3.3</v>
      </c>
      <c r="K304" t="s">
        <v>15</v>
      </c>
      <c r="L304" t="s">
        <v>28</v>
      </c>
      <c r="O304"/>
    </row>
    <row r="305" spans="1:15" x14ac:dyDescent="0.3">
      <c r="A305" t="s">
        <v>329</v>
      </c>
      <c r="B305" s="1">
        <v>45742</v>
      </c>
      <c r="C305" t="s">
        <v>25</v>
      </c>
      <c r="D305" t="s">
        <v>22</v>
      </c>
      <c r="E305" s="2">
        <v>20.6</v>
      </c>
      <c r="F305" s="3">
        <v>59.44</v>
      </c>
      <c r="G305" s="4">
        <v>297.83</v>
      </c>
      <c r="H305">
        <v>1</v>
      </c>
      <c r="I305" s="4">
        <v>297.83</v>
      </c>
      <c r="J305">
        <v>4.4000000000000004</v>
      </c>
      <c r="K305" t="s">
        <v>18</v>
      </c>
      <c r="L305" t="s">
        <v>16</v>
      </c>
      <c r="O305"/>
    </row>
    <row r="306" spans="1:15" x14ac:dyDescent="0.3">
      <c r="A306" t="s">
        <v>330</v>
      </c>
      <c r="B306" s="1">
        <v>45937</v>
      </c>
      <c r="C306" t="s">
        <v>25</v>
      </c>
      <c r="D306" t="s">
        <v>25</v>
      </c>
      <c r="E306" s="2">
        <v>4.72</v>
      </c>
      <c r="F306" s="3">
        <v>10.42</v>
      </c>
      <c r="G306" s="4">
        <v>81.39</v>
      </c>
      <c r="H306">
        <v>1.2</v>
      </c>
      <c r="I306" s="4">
        <v>97.67</v>
      </c>
      <c r="J306">
        <v>4.8</v>
      </c>
      <c r="K306" t="s">
        <v>36</v>
      </c>
      <c r="L306" t="s">
        <v>28</v>
      </c>
      <c r="O306"/>
    </row>
    <row r="307" spans="1:15" x14ac:dyDescent="0.3">
      <c r="A307" t="s">
        <v>331</v>
      </c>
      <c r="B307" s="1">
        <v>45766</v>
      </c>
      <c r="C307" t="s">
        <v>13</v>
      </c>
      <c r="D307" t="s">
        <v>14</v>
      </c>
      <c r="E307" s="2">
        <v>3.3</v>
      </c>
      <c r="F307" s="3">
        <v>7.17</v>
      </c>
      <c r="G307" s="4">
        <v>62.51</v>
      </c>
      <c r="H307">
        <v>1.5</v>
      </c>
      <c r="I307" s="4">
        <v>93.76</v>
      </c>
      <c r="J307">
        <v>3.8</v>
      </c>
      <c r="K307" t="s">
        <v>33</v>
      </c>
      <c r="L307" t="s">
        <v>16</v>
      </c>
      <c r="O307"/>
    </row>
    <row r="308" spans="1:15" x14ac:dyDescent="0.3">
      <c r="A308" t="s">
        <v>332</v>
      </c>
      <c r="B308" s="1">
        <v>46010</v>
      </c>
      <c r="C308" t="s">
        <v>21</v>
      </c>
      <c r="D308" t="s">
        <v>25</v>
      </c>
      <c r="E308" s="2">
        <v>7.57</v>
      </c>
      <c r="F308" s="3">
        <v>20.51</v>
      </c>
      <c r="G308" s="4">
        <v>80.959999999999994</v>
      </c>
      <c r="H308">
        <v>1</v>
      </c>
      <c r="I308" s="4">
        <v>80.959999999999994</v>
      </c>
      <c r="J308">
        <v>4.7</v>
      </c>
      <c r="K308" t="s">
        <v>30</v>
      </c>
      <c r="L308" t="s">
        <v>19</v>
      </c>
      <c r="O308"/>
    </row>
    <row r="309" spans="1:15" x14ac:dyDescent="0.3">
      <c r="A309" t="s">
        <v>333</v>
      </c>
      <c r="B309" s="1">
        <v>45662</v>
      </c>
      <c r="C309" t="s">
        <v>13</v>
      </c>
      <c r="D309" t="s">
        <v>22</v>
      </c>
      <c r="E309" s="2">
        <v>3.03</v>
      </c>
      <c r="F309" s="3">
        <v>9.94</v>
      </c>
      <c r="G309" s="4">
        <v>38.520000000000003</v>
      </c>
      <c r="H309">
        <v>2</v>
      </c>
      <c r="I309" s="4">
        <v>77.040000000000006</v>
      </c>
      <c r="J309">
        <v>4.3</v>
      </c>
      <c r="K309" t="s">
        <v>15</v>
      </c>
      <c r="L309" t="s">
        <v>26</v>
      </c>
      <c r="O309"/>
    </row>
    <row r="310" spans="1:15" x14ac:dyDescent="0.3">
      <c r="A310" t="s">
        <v>334</v>
      </c>
      <c r="B310" s="1">
        <v>45957</v>
      </c>
      <c r="C310" t="s">
        <v>14</v>
      </c>
      <c r="D310" t="s">
        <v>21</v>
      </c>
      <c r="E310" s="2">
        <v>10.41</v>
      </c>
      <c r="F310" s="3">
        <v>27.75</v>
      </c>
      <c r="G310" s="4">
        <v>173.79</v>
      </c>
      <c r="H310">
        <v>1.5</v>
      </c>
      <c r="I310" s="4">
        <v>260.68</v>
      </c>
      <c r="J310">
        <v>3.8</v>
      </c>
      <c r="K310" t="s">
        <v>36</v>
      </c>
      <c r="L310" t="s">
        <v>28</v>
      </c>
      <c r="O310"/>
    </row>
    <row r="311" spans="1:15" x14ac:dyDescent="0.3">
      <c r="A311" t="s">
        <v>335</v>
      </c>
      <c r="B311" s="1">
        <v>45759</v>
      </c>
      <c r="C311" t="s">
        <v>25</v>
      </c>
      <c r="D311" t="s">
        <v>21</v>
      </c>
      <c r="E311" s="2">
        <v>17.18</v>
      </c>
      <c r="F311" s="3">
        <v>59.47</v>
      </c>
      <c r="G311" s="4">
        <v>251.72</v>
      </c>
      <c r="H311">
        <v>2</v>
      </c>
      <c r="I311" s="4">
        <v>503.44</v>
      </c>
      <c r="J311">
        <v>4.2</v>
      </c>
      <c r="K311" t="s">
        <v>30</v>
      </c>
      <c r="L311" t="s">
        <v>26</v>
      </c>
      <c r="O311"/>
    </row>
    <row r="312" spans="1:15" x14ac:dyDescent="0.3">
      <c r="A312" t="s">
        <v>336</v>
      </c>
      <c r="B312" s="1">
        <v>45693</v>
      </c>
      <c r="C312" t="s">
        <v>22</v>
      </c>
      <c r="D312" t="s">
        <v>22</v>
      </c>
      <c r="E312" s="2">
        <v>28.89</v>
      </c>
      <c r="F312" s="3">
        <v>94.47</v>
      </c>
      <c r="G312" s="4">
        <v>506.97</v>
      </c>
      <c r="H312">
        <v>1.5</v>
      </c>
      <c r="I312" s="4">
        <v>760.46</v>
      </c>
      <c r="J312">
        <v>4.0999999999999996</v>
      </c>
      <c r="K312" t="s">
        <v>30</v>
      </c>
      <c r="L312" t="s">
        <v>19</v>
      </c>
      <c r="O312"/>
    </row>
    <row r="313" spans="1:15" x14ac:dyDescent="0.3">
      <c r="A313" t="s">
        <v>337</v>
      </c>
      <c r="B313" s="1">
        <v>45815</v>
      </c>
      <c r="C313" t="s">
        <v>14</v>
      </c>
      <c r="D313" t="s">
        <v>22</v>
      </c>
      <c r="E313" s="2">
        <v>14.06</v>
      </c>
      <c r="F313" s="3">
        <v>49.38</v>
      </c>
      <c r="G313" s="4">
        <v>189.47</v>
      </c>
      <c r="H313">
        <v>2</v>
      </c>
      <c r="I313" s="4">
        <v>378.94</v>
      </c>
      <c r="J313">
        <v>5</v>
      </c>
      <c r="K313" t="s">
        <v>33</v>
      </c>
      <c r="L313" t="s">
        <v>16</v>
      </c>
      <c r="O313"/>
    </row>
    <row r="314" spans="1:15" x14ac:dyDescent="0.3">
      <c r="A314" t="s">
        <v>338</v>
      </c>
      <c r="B314" s="1">
        <v>45660</v>
      </c>
      <c r="C314" t="s">
        <v>25</v>
      </c>
      <c r="D314" t="s">
        <v>25</v>
      </c>
      <c r="E314" s="2">
        <v>27.89</v>
      </c>
      <c r="F314" s="3">
        <v>68.87</v>
      </c>
      <c r="G314" s="4">
        <v>390.27</v>
      </c>
      <c r="H314">
        <v>2</v>
      </c>
      <c r="I314" s="4">
        <v>780.54</v>
      </c>
      <c r="J314">
        <v>3</v>
      </c>
      <c r="K314" t="s">
        <v>30</v>
      </c>
      <c r="L314" t="s">
        <v>28</v>
      </c>
      <c r="O314"/>
    </row>
    <row r="315" spans="1:15" x14ac:dyDescent="0.3">
      <c r="A315" t="s">
        <v>339</v>
      </c>
      <c r="B315" s="1">
        <v>46017</v>
      </c>
      <c r="C315" t="s">
        <v>13</v>
      </c>
      <c r="D315" t="s">
        <v>13</v>
      </c>
      <c r="E315" s="2">
        <v>23.29</v>
      </c>
      <c r="F315" s="3">
        <v>57.93</v>
      </c>
      <c r="G315" s="4">
        <v>389.31</v>
      </c>
      <c r="H315">
        <v>2</v>
      </c>
      <c r="I315" s="4">
        <v>778.62</v>
      </c>
      <c r="J315">
        <v>4.2</v>
      </c>
      <c r="K315" t="s">
        <v>18</v>
      </c>
      <c r="L315" t="s">
        <v>28</v>
      </c>
      <c r="O315"/>
    </row>
    <row r="316" spans="1:15" x14ac:dyDescent="0.3">
      <c r="A316" t="s">
        <v>340</v>
      </c>
      <c r="B316" s="1">
        <v>45888</v>
      </c>
      <c r="C316" t="s">
        <v>21</v>
      </c>
      <c r="D316" t="s">
        <v>25</v>
      </c>
      <c r="E316" s="2">
        <v>26.08</v>
      </c>
      <c r="F316" s="3">
        <v>83.9</v>
      </c>
      <c r="G316" s="4">
        <v>392.98</v>
      </c>
      <c r="H316">
        <v>2</v>
      </c>
      <c r="I316" s="4">
        <v>785.96</v>
      </c>
      <c r="J316">
        <v>4.4000000000000004</v>
      </c>
      <c r="K316" t="s">
        <v>33</v>
      </c>
      <c r="L316" t="s">
        <v>26</v>
      </c>
      <c r="O316"/>
    </row>
    <row r="317" spans="1:15" x14ac:dyDescent="0.3">
      <c r="A317" t="s">
        <v>341</v>
      </c>
      <c r="B317" s="1">
        <v>45799</v>
      </c>
      <c r="C317" t="s">
        <v>22</v>
      </c>
      <c r="D317" t="s">
        <v>22</v>
      </c>
      <c r="E317" s="2">
        <v>4.41</v>
      </c>
      <c r="F317" s="3">
        <v>10.83</v>
      </c>
      <c r="G317" s="4">
        <v>59.17</v>
      </c>
      <c r="H317">
        <v>1</v>
      </c>
      <c r="I317" s="4">
        <v>59.17</v>
      </c>
      <c r="J317">
        <v>3.2</v>
      </c>
      <c r="K317" t="s">
        <v>18</v>
      </c>
      <c r="L317" t="s">
        <v>19</v>
      </c>
      <c r="O317"/>
    </row>
    <row r="318" spans="1:15" x14ac:dyDescent="0.3">
      <c r="A318" t="s">
        <v>342</v>
      </c>
      <c r="B318" s="1">
        <v>45906</v>
      </c>
      <c r="C318" t="s">
        <v>14</v>
      </c>
      <c r="D318" t="s">
        <v>14</v>
      </c>
      <c r="E318" s="2">
        <v>17.059999999999999</v>
      </c>
      <c r="F318" s="3">
        <v>44.54</v>
      </c>
      <c r="G318" s="4">
        <v>238.33</v>
      </c>
      <c r="H318">
        <v>1.5</v>
      </c>
      <c r="I318" s="4">
        <v>357.5</v>
      </c>
      <c r="J318">
        <v>4.9000000000000004</v>
      </c>
      <c r="K318" t="s">
        <v>30</v>
      </c>
      <c r="L318" t="s">
        <v>28</v>
      </c>
      <c r="O318"/>
    </row>
    <row r="319" spans="1:15" x14ac:dyDescent="0.3">
      <c r="A319" t="s">
        <v>343</v>
      </c>
      <c r="B319" s="1">
        <v>45968</v>
      </c>
      <c r="C319" t="s">
        <v>22</v>
      </c>
      <c r="D319" t="s">
        <v>13</v>
      </c>
      <c r="E319" s="2">
        <v>5.69</v>
      </c>
      <c r="F319" s="3">
        <v>20.329999999999998</v>
      </c>
      <c r="G319" s="4">
        <v>89.59</v>
      </c>
      <c r="H319">
        <v>2</v>
      </c>
      <c r="I319" s="4">
        <v>179.18</v>
      </c>
      <c r="J319">
        <v>4.7</v>
      </c>
      <c r="K319" t="s">
        <v>18</v>
      </c>
      <c r="L319" t="s">
        <v>16</v>
      </c>
      <c r="O319"/>
    </row>
    <row r="320" spans="1:15" x14ac:dyDescent="0.3">
      <c r="A320" t="s">
        <v>344</v>
      </c>
      <c r="B320" s="1">
        <v>45669</v>
      </c>
      <c r="C320" t="s">
        <v>13</v>
      </c>
      <c r="D320" t="s">
        <v>14</v>
      </c>
      <c r="E320" s="2">
        <v>27.99</v>
      </c>
      <c r="F320" s="3">
        <v>62.49</v>
      </c>
      <c r="G320" s="4">
        <v>508.7</v>
      </c>
      <c r="H320">
        <v>1.5</v>
      </c>
      <c r="I320" s="4">
        <v>763.05</v>
      </c>
      <c r="J320">
        <v>4.3</v>
      </c>
      <c r="K320" t="s">
        <v>15</v>
      </c>
      <c r="L320" t="s">
        <v>26</v>
      </c>
      <c r="O320"/>
    </row>
    <row r="321" spans="1:15" x14ac:dyDescent="0.3">
      <c r="A321" t="s">
        <v>345</v>
      </c>
      <c r="B321" s="1">
        <v>45815</v>
      </c>
      <c r="C321" t="s">
        <v>21</v>
      </c>
      <c r="D321" t="s">
        <v>14</v>
      </c>
      <c r="E321" s="2">
        <v>21.92</v>
      </c>
      <c r="F321" s="3">
        <v>50.03</v>
      </c>
      <c r="G321" s="4">
        <v>265.67</v>
      </c>
      <c r="H321">
        <v>1.2</v>
      </c>
      <c r="I321" s="4">
        <v>318.8</v>
      </c>
      <c r="J321">
        <v>3.2</v>
      </c>
      <c r="K321" t="s">
        <v>15</v>
      </c>
      <c r="L321" t="s">
        <v>16</v>
      </c>
      <c r="O321"/>
    </row>
    <row r="322" spans="1:15" x14ac:dyDescent="0.3">
      <c r="A322" t="s">
        <v>346</v>
      </c>
      <c r="B322" s="1">
        <v>45820</v>
      </c>
      <c r="C322" t="s">
        <v>25</v>
      </c>
      <c r="D322" t="s">
        <v>22</v>
      </c>
      <c r="E322" s="2">
        <v>6.03</v>
      </c>
      <c r="F322" s="3">
        <v>20.440000000000001</v>
      </c>
      <c r="G322" s="4">
        <v>81.17</v>
      </c>
      <c r="H322">
        <v>2</v>
      </c>
      <c r="I322" s="4">
        <v>162.34</v>
      </c>
      <c r="J322">
        <v>4.0999999999999996</v>
      </c>
      <c r="K322" t="s">
        <v>30</v>
      </c>
      <c r="L322" t="s">
        <v>28</v>
      </c>
      <c r="O322"/>
    </row>
    <row r="323" spans="1:15" x14ac:dyDescent="0.3">
      <c r="A323" t="s">
        <v>347</v>
      </c>
      <c r="B323" s="1">
        <v>45923</v>
      </c>
      <c r="C323" t="s">
        <v>14</v>
      </c>
      <c r="D323" t="s">
        <v>21</v>
      </c>
      <c r="E323" s="2">
        <v>24.85</v>
      </c>
      <c r="F323" s="3">
        <v>56.29</v>
      </c>
      <c r="G323" s="4">
        <v>462.71</v>
      </c>
      <c r="H323">
        <v>2</v>
      </c>
      <c r="I323" s="4">
        <v>925.42</v>
      </c>
      <c r="J323">
        <v>4.2</v>
      </c>
      <c r="K323" t="s">
        <v>18</v>
      </c>
      <c r="L323" t="s">
        <v>26</v>
      </c>
      <c r="O323"/>
    </row>
    <row r="324" spans="1:15" x14ac:dyDescent="0.3">
      <c r="A324" t="s">
        <v>348</v>
      </c>
      <c r="B324" s="1">
        <v>45978</v>
      </c>
      <c r="C324" t="s">
        <v>14</v>
      </c>
      <c r="D324" t="s">
        <v>25</v>
      </c>
      <c r="E324" s="2">
        <v>18.579999999999998</v>
      </c>
      <c r="F324" s="3">
        <v>65.58</v>
      </c>
      <c r="G324" s="4">
        <v>218.29</v>
      </c>
      <c r="H324">
        <v>1.5</v>
      </c>
      <c r="I324" s="4">
        <v>327.44</v>
      </c>
      <c r="J324">
        <v>4.9000000000000004</v>
      </c>
      <c r="K324" t="s">
        <v>30</v>
      </c>
      <c r="L324" t="s">
        <v>19</v>
      </c>
      <c r="O324"/>
    </row>
    <row r="325" spans="1:15" x14ac:dyDescent="0.3">
      <c r="A325" t="s">
        <v>349</v>
      </c>
      <c r="B325" s="1">
        <v>45682</v>
      </c>
      <c r="C325" t="s">
        <v>21</v>
      </c>
      <c r="D325" t="s">
        <v>22</v>
      </c>
      <c r="E325" s="2">
        <v>20.32</v>
      </c>
      <c r="F325" s="3">
        <v>45.59</v>
      </c>
      <c r="G325" s="4">
        <v>300.38</v>
      </c>
      <c r="H325">
        <v>2</v>
      </c>
      <c r="I325" s="4">
        <v>600.76</v>
      </c>
      <c r="J325">
        <v>3.3</v>
      </c>
      <c r="K325" t="s">
        <v>30</v>
      </c>
      <c r="L325" t="s">
        <v>26</v>
      </c>
      <c r="O325"/>
    </row>
    <row r="326" spans="1:15" x14ac:dyDescent="0.3">
      <c r="A326" t="s">
        <v>350</v>
      </c>
      <c r="B326" s="1">
        <v>45725</v>
      </c>
      <c r="C326" t="s">
        <v>25</v>
      </c>
      <c r="D326" t="s">
        <v>14</v>
      </c>
      <c r="E326" s="2">
        <v>3.32</v>
      </c>
      <c r="F326" s="3">
        <v>11.8</v>
      </c>
      <c r="G326" s="4">
        <v>37.25</v>
      </c>
      <c r="H326">
        <v>2</v>
      </c>
      <c r="I326" s="4">
        <v>74.5</v>
      </c>
      <c r="J326">
        <v>3.6</v>
      </c>
      <c r="K326" t="s">
        <v>18</v>
      </c>
      <c r="L326" t="s">
        <v>28</v>
      </c>
      <c r="O326"/>
    </row>
    <row r="327" spans="1:15" x14ac:dyDescent="0.3">
      <c r="A327" t="s">
        <v>351</v>
      </c>
      <c r="B327" s="1">
        <v>45991</v>
      </c>
      <c r="C327" t="s">
        <v>14</v>
      </c>
      <c r="D327" t="s">
        <v>22</v>
      </c>
      <c r="E327" s="2">
        <v>26.41</v>
      </c>
      <c r="F327" s="3">
        <v>67.489999999999995</v>
      </c>
      <c r="G327" s="4">
        <v>488.97</v>
      </c>
      <c r="H327">
        <v>2</v>
      </c>
      <c r="I327" s="4">
        <v>977.94</v>
      </c>
      <c r="J327">
        <v>3.4</v>
      </c>
      <c r="K327" t="s">
        <v>15</v>
      </c>
      <c r="L327" t="s">
        <v>26</v>
      </c>
      <c r="O327"/>
    </row>
    <row r="328" spans="1:15" x14ac:dyDescent="0.3">
      <c r="A328" t="s">
        <v>352</v>
      </c>
      <c r="B328" s="1">
        <v>45911</v>
      </c>
      <c r="C328" t="s">
        <v>13</v>
      </c>
      <c r="D328" t="s">
        <v>25</v>
      </c>
      <c r="E328" s="2">
        <v>18.47</v>
      </c>
      <c r="F328" s="3">
        <v>50.42</v>
      </c>
      <c r="G328" s="4">
        <v>256.08</v>
      </c>
      <c r="H328">
        <v>1</v>
      </c>
      <c r="I328" s="4">
        <v>256.08</v>
      </c>
      <c r="J328">
        <v>4.5999999999999996</v>
      </c>
      <c r="K328" t="s">
        <v>33</v>
      </c>
      <c r="L328" t="s">
        <v>19</v>
      </c>
      <c r="O328"/>
    </row>
    <row r="329" spans="1:15" x14ac:dyDescent="0.3">
      <c r="A329" t="s">
        <v>353</v>
      </c>
      <c r="B329" s="1">
        <v>45923</v>
      </c>
      <c r="C329" t="s">
        <v>14</v>
      </c>
      <c r="D329" t="s">
        <v>25</v>
      </c>
      <c r="E329" s="2">
        <v>7.14</v>
      </c>
      <c r="F329" s="3">
        <v>21.2</v>
      </c>
      <c r="G329" s="4">
        <v>125.25</v>
      </c>
      <c r="H329">
        <v>1.5</v>
      </c>
      <c r="I329" s="4">
        <v>187.88</v>
      </c>
      <c r="J329">
        <v>4.4000000000000004</v>
      </c>
      <c r="K329" t="s">
        <v>33</v>
      </c>
      <c r="L329" t="s">
        <v>26</v>
      </c>
      <c r="O329"/>
    </row>
    <row r="330" spans="1:15" x14ac:dyDescent="0.3">
      <c r="A330" t="s">
        <v>354</v>
      </c>
      <c r="B330" s="1">
        <v>45740</v>
      </c>
      <c r="C330" t="s">
        <v>22</v>
      </c>
      <c r="D330" t="s">
        <v>14</v>
      </c>
      <c r="E330" s="2">
        <v>5.95</v>
      </c>
      <c r="F330" s="3">
        <v>12.79</v>
      </c>
      <c r="G330" s="4">
        <v>106.07</v>
      </c>
      <c r="H330">
        <v>1.2</v>
      </c>
      <c r="I330" s="4">
        <v>127.28</v>
      </c>
      <c r="J330">
        <v>3.2</v>
      </c>
      <c r="K330" t="s">
        <v>30</v>
      </c>
      <c r="L330" t="s">
        <v>19</v>
      </c>
      <c r="O330"/>
    </row>
    <row r="331" spans="1:15" x14ac:dyDescent="0.3">
      <c r="A331" t="s">
        <v>355</v>
      </c>
      <c r="B331" s="1">
        <v>45737</v>
      </c>
      <c r="C331" t="s">
        <v>14</v>
      </c>
      <c r="D331" t="s">
        <v>22</v>
      </c>
      <c r="E331" s="2">
        <v>21.06</v>
      </c>
      <c r="F331" s="3">
        <v>68.150000000000006</v>
      </c>
      <c r="G331" s="4">
        <v>343.95</v>
      </c>
      <c r="H331">
        <v>2</v>
      </c>
      <c r="I331" s="4">
        <v>687.9</v>
      </c>
      <c r="J331">
        <v>4.5999999999999996</v>
      </c>
      <c r="K331" t="s">
        <v>36</v>
      </c>
      <c r="L331" t="s">
        <v>19</v>
      </c>
      <c r="O331"/>
    </row>
    <row r="332" spans="1:15" x14ac:dyDescent="0.3">
      <c r="A332" t="s">
        <v>356</v>
      </c>
      <c r="B332" s="1">
        <v>46016</v>
      </c>
      <c r="C332" t="s">
        <v>25</v>
      </c>
      <c r="D332" t="s">
        <v>21</v>
      </c>
      <c r="E332" s="2">
        <v>7.4</v>
      </c>
      <c r="F332" s="3">
        <v>17.37</v>
      </c>
      <c r="G332" s="4">
        <v>122.52</v>
      </c>
      <c r="H332">
        <v>1.2</v>
      </c>
      <c r="I332" s="4">
        <v>147.02000000000001</v>
      </c>
      <c r="J332">
        <v>3.9</v>
      </c>
      <c r="K332" t="s">
        <v>15</v>
      </c>
      <c r="L332" t="s">
        <v>28</v>
      </c>
      <c r="O332"/>
    </row>
    <row r="333" spans="1:15" x14ac:dyDescent="0.3">
      <c r="A333" t="s">
        <v>357</v>
      </c>
      <c r="B333" s="1">
        <v>45720</v>
      </c>
      <c r="C333" t="s">
        <v>13</v>
      </c>
      <c r="D333" t="s">
        <v>22</v>
      </c>
      <c r="E333" s="2">
        <v>23.97</v>
      </c>
      <c r="F333" s="3">
        <v>67.349999999999994</v>
      </c>
      <c r="G333" s="4">
        <v>396.48</v>
      </c>
      <c r="H333">
        <v>1.5</v>
      </c>
      <c r="I333" s="4">
        <v>594.72</v>
      </c>
      <c r="J333">
        <v>3.7</v>
      </c>
      <c r="K333" t="s">
        <v>36</v>
      </c>
      <c r="L333" t="s">
        <v>16</v>
      </c>
      <c r="O333"/>
    </row>
    <row r="334" spans="1:15" x14ac:dyDescent="0.3">
      <c r="A334" t="s">
        <v>358</v>
      </c>
      <c r="B334" s="1">
        <v>45749</v>
      </c>
      <c r="C334" t="s">
        <v>21</v>
      </c>
      <c r="D334" t="s">
        <v>22</v>
      </c>
      <c r="E334" s="2">
        <v>14.97</v>
      </c>
      <c r="F334" s="3">
        <v>35.24</v>
      </c>
      <c r="G334" s="4">
        <v>207.65</v>
      </c>
      <c r="H334">
        <v>1</v>
      </c>
      <c r="I334" s="4">
        <v>207.65</v>
      </c>
      <c r="J334">
        <v>3</v>
      </c>
      <c r="K334" t="s">
        <v>18</v>
      </c>
      <c r="L334" t="s">
        <v>28</v>
      </c>
      <c r="O334"/>
    </row>
    <row r="335" spans="1:15" x14ac:dyDescent="0.3">
      <c r="A335" t="s">
        <v>359</v>
      </c>
      <c r="B335" s="1">
        <v>45719</v>
      </c>
      <c r="C335" t="s">
        <v>14</v>
      </c>
      <c r="D335" t="s">
        <v>14</v>
      </c>
      <c r="E335" s="2">
        <v>14.96</v>
      </c>
      <c r="F335" s="3">
        <v>30.49</v>
      </c>
      <c r="G335" s="4">
        <v>188.47</v>
      </c>
      <c r="H335">
        <v>1.2</v>
      </c>
      <c r="I335" s="4">
        <v>226.16</v>
      </c>
      <c r="J335">
        <v>4.4000000000000004</v>
      </c>
      <c r="K335" t="s">
        <v>18</v>
      </c>
      <c r="L335" t="s">
        <v>19</v>
      </c>
      <c r="O335"/>
    </row>
    <row r="336" spans="1:15" x14ac:dyDescent="0.3">
      <c r="A336" t="s">
        <v>360</v>
      </c>
      <c r="B336" s="1">
        <v>45722</v>
      </c>
      <c r="C336" t="s">
        <v>21</v>
      </c>
      <c r="D336" t="s">
        <v>21</v>
      </c>
      <c r="E336" s="2">
        <v>10.38</v>
      </c>
      <c r="F336" s="3">
        <v>38.08</v>
      </c>
      <c r="G336" s="4">
        <v>169.12</v>
      </c>
      <c r="H336">
        <v>1</v>
      </c>
      <c r="I336" s="4">
        <v>169.12</v>
      </c>
      <c r="J336">
        <v>4.5999999999999996</v>
      </c>
      <c r="K336" t="s">
        <v>15</v>
      </c>
      <c r="L336" t="s">
        <v>28</v>
      </c>
      <c r="O336"/>
    </row>
    <row r="337" spans="1:15" x14ac:dyDescent="0.3">
      <c r="A337" t="s">
        <v>361</v>
      </c>
      <c r="B337" s="1">
        <v>45830</v>
      </c>
      <c r="C337" t="s">
        <v>22</v>
      </c>
      <c r="D337" t="s">
        <v>13</v>
      </c>
      <c r="E337" s="2">
        <v>2.2400000000000002</v>
      </c>
      <c r="F337" s="3">
        <v>6.14</v>
      </c>
      <c r="G337" s="4">
        <v>28.36</v>
      </c>
      <c r="H337">
        <v>1.5</v>
      </c>
      <c r="I337" s="4">
        <v>42.54</v>
      </c>
      <c r="J337">
        <v>3.9</v>
      </c>
      <c r="K337" t="s">
        <v>18</v>
      </c>
      <c r="L337" t="s">
        <v>19</v>
      </c>
      <c r="O337"/>
    </row>
    <row r="338" spans="1:15" x14ac:dyDescent="0.3">
      <c r="A338" t="s">
        <v>362</v>
      </c>
      <c r="B338" s="1">
        <v>45965</v>
      </c>
      <c r="C338" t="s">
        <v>22</v>
      </c>
      <c r="D338" t="s">
        <v>21</v>
      </c>
      <c r="E338" s="2">
        <v>8.7100000000000009</v>
      </c>
      <c r="F338" s="3">
        <v>20.02</v>
      </c>
      <c r="G338" s="4">
        <v>98.18</v>
      </c>
      <c r="H338">
        <v>1.2</v>
      </c>
      <c r="I338" s="4">
        <v>117.82</v>
      </c>
      <c r="J338">
        <v>3.6</v>
      </c>
      <c r="K338" t="s">
        <v>33</v>
      </c>
      <c r="L338" t="s">
        <v>19</v>
      </c>
      <c r="O338"/>
    </row>
    <row r="339" spans="1:15" x14ac:dyDescent="0.3">
      <c r="A339" t="s">
        <v>363</v>
      </c>
      <c r="B339" s="1">
        <v>45909</v>
      </c>
      <c r="C339" t="s">
        <v>14</v>
      </c>
      <c r="D339" t="s">
        <v>22</v>
      </c>
      <c r="E339" s="2">
        <v>19.899999999999999</v>
      </c>
      <c r="F339" s="3">
        <v>72.069999999999993</v>
      </c>
      <c r="G339" s="4">
        <v>321.2</v>
      </c>
      <c r="H339">
        <v>1</v>
      </c>
      <c r="I339" s="4">
        <v>321.2</v>
      </c>
      <c r="J339">
        <v>3.9</v>
      </c>
      <c r="K339" t="s">
        <v>36</v>
      </c>
      <c r="L339" t="s">
        <v>16</v>
      </c>
      <c r="O339"/>
    </row>
    <row r="340" spans="1:15" x14ac:dyDescent="0.3">
      <c r="A340" t="s">
        <v>364</v>
      </c>
      <c r="B340" s="1">
        <v>45678</v>
      </c>
      <c r="C340" t="s">
        <v>21</v>
      </c>
      <c r="D340" t="s">
        <v>14</v>
      </c>
      <c r="E340" s="2">
        <v>28.73</v>
      </c>
      <c r="F340" s="3">
        <v>65.11</v>
      </c>
      <c r="G340" s="4">
        <v>316.64999999999998</v>
      </c>
      <c r="H340">
        <v>2</v>
      </c>
      <c r="I340" s="4">
        <v>633.29999999999995</v>
      </c>
      <c r="J340">
        <v>3.6</v>
      </c>
      <c r="K340" t="s">
        <v>36</v>
      </c>
      <c r="L340" t="s">
        <v>19</v>
      </c>
      <c r="O340"/>
    </row>
    <row r="341" spans="1:15" x14ac:dyDescent="0.3">
      <c r="A341" t="s">
        <v>365</v>
      </c>
      <c r="B341" s="1">
        <v>45786</v>
      </c>
      <c r="C341" t="s">
        <v>21</v>
      </c>
      <c r="D341" t="s">
        <v>14</v>
      </c>
      <c r="E341" s="2">
        <v>24.46</v>
      </c>
      <c r="F341" s="3">
        <v>52.66</v>
      </c>
      <c r="G341" s="4">
        <v>312.93</v>
      </c>
      <c r="H341">
        <v>1.2</v>
      </c>
      <c r="I341" s="4">
        <v>375.52</v>
      </c>
      <c r="J341">
        <v>3.1</v>
      </c>
      <c r="K341" t="s">
        <v>18</v>
      </c>
      <c r="L341" t="s">
        <v>28</v>
      </c>
      <c r="O341"/>
    </row>
    <row r="342" spans="1:15" x14ac:dyDescent="0.3">
      <c r="A342" t="s">
        <v>366</v>
      </c>
      <c r="B342" s="1">
        <v>45889</v>
      </c>
      <c r="C342" t="s">
        <v>25</v>
      </c>
      <c r="D342" t="s">
        <v>22</v>
      </c>
      <c r="E342" s="2">
        <v>14.38</v>
      </c>
      <c r="F342" s="3">
        <v>47.09</v>
      </c>
      <c r="G342" s="4">
        <v>238.62</v>
      </c>
      <c r="H342">
        <v>1.5</v>
      </c>
      <c r="I342" s="4">
        <v>357.93</v>
      </c>
      <c r="J342">
        <v>3.9</v>
      </c>
      <c r="K342" t="s">
        <v>18</v>
      </c>
      <c r="L342" t="s">
        <v>16</v>
      </c>
      <c r="O342"/>
    </row>
    <row r="343" spans="1:15" x14ac:dyDescent="0.3">
      <c r="A343" t="s">
        <v>367</v>
      </c>
      <c r="B343" s="1">
        <v>45736</v>
      </c>
      <c r="C343" t="s">
        <v>21</v>
      </c>
      <c r="D343" t="s">
        <v>13</v>
      </c>
      <c r="E343" s="2">
        <v>26.79</v>
      </c>
      <c r="F343" s="3">
        <v>77.72</v>
      </c>
      <c r="G343" s="4">
        <v>504.31</v>
      </c>
      <c r="H343">
        <v>1</v>
      </c>
      <c r="I343" s="4">
        <v>504.31</v>
      </c>
      <c r="J343">
        <v>4.5</v>
      </c>
      <c r="K343" t="s">
        <v>33</v>
      </c>
      <c r="L343" t="s">
        <v>16</v>
      </c>
      <c r="O343"/>
    </row>
    <row r="344" spans="1:15" x14ac:dyDescent="0.3">
      <c r="A344" t="s">
        <v>368</v>
      </c>
      <c r="B344" s="1">
        <v>45744</v>
      </c>
      <c r="C344" t="s">
        <v>22</v>
      </c>
      <c r="D344" t="s">
        <v>22</v>
      </c>
      <c r="E344" s="2">
        <v>20.73</v>
      </c>
      <c r="F344" s="3">
        <v>43.19</v>
      </c>
      <c r="G344" s="4">
        <v>224.88</v>
      </c>
      <c r="H344">
        <v>1.5</v>
      </c>
      <c r="I344" s="4">
        <v>337.32</v>
      </c>
      <c r="J344">
        <v>4.3</v>
      </c>
      <c r="K344" t="s">
        <v>36</v>
      </c>
      <c r="L344" t="s">
        <v>26</v>
      </c>
      <c r="O344"/>
    </row>
    <row r="345" spans="1:15" x14ac:dyDescent="0.3">
      <c r="A345" t="s">
        <v>369</v>
      </c>
      <c r="B345" s="1">
        <v>45809</v>
      </c>
      <c r="C345" t="s">
        <v>21</v>
      </c>
      <c r="D345" t="s">
        <v>25</v>
      </c>
      <c r="E345" s="2">
        <v>2.0299999999999998</v>
      </c>
      <c r="F345" s="3">
        <v>6.12</v>
      </c>
      <c r="G345" s="4">
        <v>28.17</v>
      </c>
      <c r="H345">
        <v>1.5</v>
      </c>
      <c r="I345" s="4">
        <v>42.26</v>
      </c>
      <c r="J345">
        <v>3.6</v>
      </c>
      <c r="K345" t="s">
        <v>18</v>
      </c>
      <c r="L345" t="s">
        <v>26</v>
      </c>
      <c r="O345"/>
    </row>
    <row r="346" spans="1:15" x14ac:dyDescent="0.3">
      <c r="A346" t="s">
        <v>370</v>
      </c>
      <c r="B346" s="1">
        <v>45796</v>
      </c>
      <c r="C346" t="s">
        <v>21</v>
      </c>
      <c r="D346" t="s">
        <v>22</v>
      </c>
      <c r="E346" s="2">
        <v>29.15</v>
      </c>
      <c r="F346" s="3">
        <v>113.24</v>
      </c>
      <c r="G346" s="4">
        <v>519.99</v>
      </c>
      <c r="H346">
        <v>1.5</v>
      </c>
      <c r="I346" s="4">
        <v>779.98</v>
      </c>
      <c r="J346">
        <v>3.3</v>
      </c>
      <c r="K346" t="s">
        <v>33</v>
      </c>
      <c r="L346" t="s">
        <v>16</v>
      </c>
      <c r="O346"/>
    </row>
    <row r="347" spans="1:15" x14ac:dyDescent="0.3">
      <c r="A347" t="s">
        <v>371</v>
      </c>
      <c r="B347" s="1">
        <v>45918</v>
      </c>
      <c r="C347" t="s">
        <v>21</v>
      </c>
      <c r="D347" t="s">
        <v>25</v>
      </c>
      <c r="E347" s="2">
        <v>16.940000000000001</v>
      </c>
      <c r="F347" s="3">
        <v>62.02</v>
      </c>
      <c r="G347" s="4">
        <v>181.04</v>
      </c>
      <c r="H347">
        <v>1.2</v>
      </c>
      <c r="I347" s="4">
        <v>217.25</v>
      </c>
      <c r="J347">
        <v>3</v>
      </c>
      <c r="K347" t="s">
        <v>18</v>
      </c>
      <c r="L347" t="s">
        <v>28</v>
      </c>
      <c r="O347"/>
    </row>
    <row r="348" spans="1:15" x14ac:dyDescent="0.3">
      <c r="A348" t="s">
        <v>372</v>
      </c>
      <c r="B348" s="1">
        <v>45877</v>
      </c>
      <c r="C348" t="s">
        <v>13</v>
      </c>
      <c r="D348" t="s">
        <v>25</v>
      </c>
      <c r="E348" s="2">
        <v>27.07</v>
      </c>
      <c r="F348" s="3">
        <v>96.5</v>
      </c>
      <c r="G348" s="4">
        <v>332.38</v>
      </c>
      <c r="H348">
        <v>1</v>
      </c>
      <c r="I348" s="4">
        <v>332.38</v>
      </c>
      <c r="J348">
        <v>3.8</v>
      </c>
      <c r="K348" t="s">
        <v>30</v>
      </c>
      <c r="L348" t="s">
        <v>16</v>
      </c>
      <c r="O348"/>
    </row>
    <row r="349" spans="1:15" x14ac:dyDescent="0.3">
      <c r="A349" t="s">
        <v>373</v>
      </c>
      <c r="B349" s="1">
        <v>45706</v>
      </c>
      <c r="C349" t="s">
        <v>25</v>
      </c>
      <c r="D349" t="s">
        <v>22</v>
      </c>
      <c r="E349" s="2">
        <v>8.41</v>
      </c>
      <c r="F349" s="3">
        <v>21.21</v>
      </c>
      <c r="G349" s="4">
        <v>89.92</v>
      </c>
      <c r="H349">
        <v>1</v>
      </c>
      <c r="I349" s="4">
        <v>89.92</v>
      </c>
      <c r="J349">
        <v>4.0999999999999996</v>
      </c>
      <c r="K349" t="s">
        <v>15</v>
      </c>
      <c r="L349" t="s">
        <v>28</v>
      </c>
      <c r="O349"/>
    </row>
    <row r="350" spans="1:15" x14ac:dyDescent="0.3">
      <c r="A350" t="s">
        <v>374</v>
      </c>
      <c r="B350" s="1">
        <v>45847</v>
      </c>
      <c r="C350" t="s">
        <v>21</v>
      </c>
      <c r="D350" t="s">
        <v>14</v>
      </c>
      <c r="E350" s="2">
        <v>26.98</v>
      </c>
      <c r="F350" s="3">
        <v>71.349999999999994</v>
      </c>
      <c r="G350" s="4">
        <v>303.58999999999997</v>
      </c>
      <c r="H350">
        <v>1.5</v>
      </c>
      <c r="I350" s="4">
        <v>455.38</v>
      </c>
      <c r="J350">
        <v>5</v>
      </c>
      <c r="K350" t="s">
        <v>30</v>
      </c>
      <c r="L350" t="s">
        <v>28</v>
      </c>
      <c r="O350"/>
    </row>
    <row r="351" spans="1:15" x14ac:dyDescent="0.3">
      <c r="A351" t="s">
        <v>375</v>
      </c>
      <c r="B351" s="1">
        <v>45926</v>
      </c>
      <c r="C351" t="s">
        <v>14</v>
      </c>
      <c r="D351" t="s">
        <v>14</v>
      </c>
      <c r="E351" s="2">
        <v>17.89</v>
      </c>
      <c r="F351" s="3">
        <v>62.55</v>
      </c>
      <c r="G351" s="4">
        <v>324.13</v>
      </c>
      <c r="H351">
        <v>2</v>
      </c>
      <c r="I351" s="4">
        <v>648.26</v>
      </c>
      <c r="J351">
        <v>3.3</v>
      </c>
      <c r="K351" t="s">
        <v>33</v>
      </c>
      <c r="L351" t="s">
        <v>28</v>
      </c>
      <c r="O351"/>
    </row>
    <row r="352" spans="1:15" x14ac:dyDescent="0.3">
      <c r="A352" t="s">
        <v>376</v>
      </c>
      <c r="B352" s="1">
        <v>45667</v>
      </c>
      <c r="C352" t="s">
        <v>22</v>
      </c>
      <c r="D352" t="s">
        <v>25</v>
      </c>
      <c r="E352" s="2">
        <v>10.81</v>
      </c>
      <c r="F352" s="3">
        <v>41.69</v>
      </c>
      <c r="G352" s="4">
        <v>132.38</v>
      </c>
      <c r="H352">
        <v>1</v>
      </c>
      <c r="I352" s="4">
        <v>132.38</v>
      </c>
      <c r="J352">
        <v>3.8</v>
      </c>
      <c r="K352" t="s">
        <v>18</v>
      </c>
      <c r="L352" t="s">
        <v>26</v>
      </c>
      <c r="O352"/>
    </row>
    <row r="353" spans="1:15" x14ac:dyDescent="0.3">
      <c r="A353" t="s">
        <v>377</v>
      </c>
      <c r="B353" s="1">
        <v>45991</v>
      </c>
      <c r="C353" t="s">
        <v>14</v>
      </c>
      <c r="D353" t="s">
        <v>22</v>
      </c>
      <c r="E353" s="2">
        <v>13.74</v>
      </c>
      <c r="F353" s="3">
        <v>44.32</v>
      </c>
      <c r="G353" s="4">
        <v>266.98</v>
      </c>
      <c r="H353">
        <v>1.2</v>
      </c>
      <c r="I353" s="4">
        <v>320.38</v>
      </c>
      <c r="J353">
        <v>4.9000000000000004</v>
      </c>
      <c r="K353" t="s">
        <v>18</v>
      </c>
      <c r="L353" t="s">
        <v>26</v>
      </c>
      <c r="O353"/>
    </row>
    <row r="354" spans="1:15" x14ac:dyDescent="0.3">
      <c r="A354" t="s">
        <v>378</v>
      </c>
      <c r="B354" s="1">
        <v>45829</v>
      </c>
      <c r="C354" t="s">
        <v>14</v>
      </c>
      <c r="D354" t="s">
        <v>25</v>
      </c>
      <c r="E354" s="2">
        <v>6.73</v>
      </c>
      <c r="F354" s="3">
        <v>25.4</v>
      </c>
      <c r="G354" s="4">
        <v>110.76</v>
      </c>
      <c r="H354">
        <v>1.5</v>
      </c>
      <c r="I354" s="4">
        <v>166.14</v>
      </c>
      <c r="J354">
        <v>4.3</v>
      </c>
      <c r="K354" t="s">
        <v>30</v>
      </c>
      <c r="L354" t="s">
        <v>26</v>
      </c>
      <c r="O354"/>
    </row>
    <row r="355" spans="1:15" x14ac:dyDescent="0.3">
      <c r="A355" t="s">
        <v>379</v>
      </c>
      <c r="B355" s="1">
        <v>45879</v>
      </c>
      <c r="C355" t="s">
        <v>22</v>
      </c>
      <c r="D355" t="s">
        <v>13</v>
      </c>
      <c r="E355" s="2">
        <v>25.98</v>
      </c>
      <c r="F355" s="3">
        <v>95.94</v>
      </c>
      <c r="G355" s="4">
        <v>498.54</v>
      </c>
      <c r="H355">
        <v>1.2</v>
      </c>
      <c r="I355" s="4">
        <v>598.25</v>
      </c>
      <c r="J355">
        <v>4.3</v>
      </c>
      <c r="K355" t="s">
        <v>15</v>
      </c>
      <c r="L355" t="s">
        <v>28</v>
      </c>
      <c r="O355"/>
    </row>
    <row r="356" spans="1:15" x14ac:dyDescent="0.3">
      <c r="A356" t="s">
        <v>380</v>
      </c>
      <c r="B356" s="1">
        <v>45806</v>
      </c>
      <c r="C356" t="s">
        <v>14</v>
      </c>
      <c r="D356" t="s">
        <v>21</v>
      </c>
      <c r="E356" s="2">
        <v>29.37</v>
      </c>
      <c r="F356" s="3">
        <v>102.69</v>
      </c>
      <c r="G356" s="4">
        <v>457.53</v>
      </c>
      <c r="H356">
        <v>1.5</v>
      </c>
      <c r="I356" s="4">
        <v>686.3</v>
      </c>
      <c r="J356">
        <v>4.3</v>
      </c>
      <c r="K356" t="s">
        <v>33</v>
      </c>
      <c r="L356" t="s">
        <v>19</v>
      </c>
      <c r="O356"/>
    </row>
    <row r="357" spans="1:15" x14ac:dyDescent="0.3">
      <c r="A357" t="s">
        <v>381</v>
      </c>
      <c r="B357" s="1">
        <v>45860</v>
      </c>
      <c r="C357" t="s">
        <v>25</v>
      </c>
      <c r="D357" t="s">
        <v>22</v>
      </c>
      <c r="E357" s="2">
        <v>10.28</v>
      </c>
      <c r="F357" s="3">
        <v>36.049999999999997</v>
      </c>
      <c r="G357" s="4">
        <v>130.49</v>
      </c>
      <c r="H357">
        <v>2</v>
      </c>
      <c r="I357" s="4">
        <v>260.98</v>
      </c>
      <c r="J357">
        <v>3.1</v>
      </c>
      <c r="K357" t="s">
        <v>18</v>
      </c>
      <c r="L357" t="s">
        <v>16</v>
      </c>
      <c r="O357"/>
    </row>
    <row r="358" spans="1:15" x14ac:dyDescent="0.3">
      <c r="A358" t="s">
        <v>382</v>
      </c>
      <c r="B358" s="1">
        <v>45915</v>
      </c>
      <c r="C358" t="s">
        <v>13</v>
      </c>
      <c r="D358" t="s">
        <v>14</v>
      </c>
      <c r="E358" s="2">
        <v>4.82</v>
      </c>
      <c r="F358" s="3">
        <v>16.64</v>
      </c>
      <c r="G358" s="4">
        <v>87.62</v>
      </c>
      <c r="H358">
        <v>1.5</v>
      </c>
      <c r="I358" s="4">
        <v>131.43</v>
      </c>
      <c r="J358">
        <v>4</v>
      </c>
      <c r="K358" t="s">
        <v>15</v>
      </c>
      <c r="L358" t="s">
        <v>19</v>
      </c>
      <c r="O358"/>
    </row>
    <row r="359" spans="1:15" x14ac:dyDescent="0.3">
      <c r="A359" t="s">
        <v>383</v>
      </c>
      <c r="B359" s="1">
        <v>45745</v>
      </c>
      <c r="C359" t="s">
        <v>21</v>
      </c>
      <c r="D359" t="s">
        <v>22</v>
      </c>
      <c r="E359" s="2">
        <v>10.93</v>
      </c>
      <c r="F359" s="3">
        <v>30.9</v>
      </c>
      <c r="G359" s="4">
        <v>192.17</v>
      </c>
      <c r="H359">
        <v>1</v>
      </c>
      <c r="I359" s="4">
        <v>192.17</v>
      </c>
      <c r="J359">
        <v>4</v>
      </c>
      <c r="K359" t="s">
        <v>36</v>
      </c>
      <c r="L359" t="s">
        <v>28</v>
      </c>
      <c r="O359"/>
    </row>
    <row r="360" spans="1:15" x14ac:dyDescent="0.3">
      <c r="A360" t="s">
        <v>384</v>
      </c>
      <c r="B360" s="1">
        <v>45848</v>
      </c>
      <c r="C360" t="s">
        <v>14</v>
      </c>
      <c r="D360" t="s">
        <v>22</v>
      </c>
      <c r="E360" s="2">
        <v>4.07</v>
      </c>
      <c r="F360" s="3">
        <v>9.3699999999999992</v>
      </c>
      <c r="G360" s="4">
        <v>44.52</v>
      </c>
      <c r="H360">
        <v>2</v>
      </c>
      <c r="I360" s="4">
        <v>89.04</v>
      </c>
      <c r="J360">
        <v>4.3</v>
      </c>
      <c r="K360" t="s">
        <v>18</v>
      </c>
      <c r="L360" t="s">
        <v>28</v>
      </c>
      <c r="O360"/>
    </row>
    <row r="361" spans="1:15" x14ac:dyDescent="0.3">
      <c r="A361" t="s">
        <v>385</v>
      </c>
      <c r="B361" s="1">
        <v>45785</v>
      </c>
      <c r="C361" t="s">
        <v>22</v>
      </c>
      <c r="D361" t="s">
        <v>13</v>
      </c>
      <c r="E361" s="2">
        <v>13.58</v>
      </c>
      <c r="F361" s="3">
        <v>31.53</v>
      </c>
      <c r="G361" s="4">
        <v>211.58</v>
      </c>
      <c r="H361">
        <v>2</v>
      </c>
      <c r="I361" s="4">
        <v>423.16</v>
      </c>
      <c r="J361">
        <v>3.5</v>
      </c>
      <c r="K361" t="s">
        <v>36</v>
      </c>
      <c r="L361" t="s">
        <v>28</v>
      </c>
      <c r="O361"/>
    </row>
    <row r="362" spans="1:15" x14ac:dyDescent="0.3">
      <c r="A362" t="s">
        <v>386</v>
      </c>
      <c r="B362" s="1">
        <v>45918</v>
      </c>
      <c r="C362" t="s">
        <v>13</v>
      </c>
      <c r="D362" t="s">
        <v>14</v>
      </c>
      <c r="E362" s="2">
        <v>26.56</v>
      </c>
      <c r="F362" s="3">
        <v>67.88</v>
      </c>
      <c r="G362" s="4">
        <v>317.11</v>
      </c>
      <c r="H362">
        <v>2</v>
      </c>
      <c r="I362" s="4">
        <v>634.22</v>
      </c>
      <c r="J362">
        <v>4.5999999999999996</v>
      </c>
      <c r="K362" t="s">
        <v>36</v>
      </c>
      <c r="L362" t="s">
        <v>26</v>
      </c>
      <c r="O362"/>
    </row>
    <row r="363" spans="1:15" x14ac:dyDescent="0.3">
      <c r="A363" t="s">
        <v>387</v>
      </c>
      <c r="B363" s="1">
        <v>45667</v>
      </c>
      <c r="C363" t="s">
        <v>14</v>
      </c>
      <c r="D363" t="s">
        <v>25</v>
      </c>
      <c r="E363" s="2">
        <v>22.53</v>
      </c>
      <c r="F363" s="3">
        <v>81.790000000000006</v>
      </c>
      <c r="G363" s="4">
        <v>363.85</v>
      </c>
      <c r="H363">
        <v>1.2</v>
      </c>
      <c r="I363" s="4">
        <v>436.62</v>
      </c>
      <c r="J363">
        <v>3.7</v>
      </c>
      <c r="K363" t="s">
        <v>33</v>
      </c>
      <c r="L363" t="s">
        <v>19</v>
      </c>
      <c r="O363"/>
    </row>
    <row r="364" spans="1:15" x14ac:dyDescent="0.3">
      <c r="A364" t="s">
        <v>388</v>
      </c>
      <c r="B364" s="1">
        <v>45670</v>
      </c>
      <c r="C364" t="s">
        <v>13</v>
      </c>
      <c r="D364" t="s">
        <v>13</v>
      </c>
      <c r="E364" s="2">
        <v>16.62</v>
      </c>
      <c r="F364" s="3">
        <v>50.66</v>
      </c>
      <c r="G364" s="4">
        <v>307.14999999999998</v>
      </c>
      <c r="H364">
        <v>1.2</v>
      </c>
      <c r="I364" s="4">
        <v>368.58</v>
      </c>
      <c r="J364">
        <v>3.1</v>
      </c>
      <c r="K364" t="s">
        <v>15</v>
      </c>
      <c r="L364" t="s">
        <v>28</v>
      </c>
      <c r="O364"/>
    </row>
    <row r="365" spans="1:15" x14ac:dyDescent="0.3">
      <c r="A365" t="s">
        <v>389</v>
      </c>
      <c r="B365" s="1">
        <v>45866</v>
      </c>
      <c r="C365" t="s">
        <v>13</v>
      </c>
      <c r="D365" t="s">
        <v>13</v>
      </c>
      <c r="E365" s="2">
        <v>1.32</v>
      </c>
      <c r="F365" s="3">
        <v>4.62</v>
      </c>
      <c r="G365" s="4">
        <v>23.21</v>
      </c>
      <c r="H365">
        <v>2</v>
      </c>
      <c r="I365" s="4">
        <v>46.42</v>
      </c>
      <c r="J365">
        <v>3.7</v>
      </c>
      <c r="K365" t="s">
        <v>36</v>
      </c>
      <c r="L365" t="s">
        <v>16</v>
      </c>
      <c r="O365"/>
    </row>
    <row r="366" spans="1:15" x14ac:dyDescent="0.3">
      <c r="A366" t="s">
        <v>390</v>
      </c>
      <c r="B366" s="1">
        <v>45900</v>
      </c>
      <c r="C366" t="s">
        <v>25</v>
      </c>
      <c r="D366" t="s">
        <v>25</v>
      </c>
      <c r="E366" s="2">
        <v>25.42</v>
      </c>
      <c r="F366" s="3">
        <v>74.75</v>
      </c>
      <c r="G366" s="4">
        <v>381.82</v>
      </c>
      <c r="H366">
        <v>1.2</v>
      </c>
      <c r="I366" s="4">
        <v>458.18</v>
      </c>
      <c r="J366">
        <v>3.7</v>
      </c>
      <c r="K366" t="s">
        <v>18</v>
      </c>
      <c r="L366" t="s">
        <v>28</v>
      </c>
      <c r="O366"/>
    </row>
    <row r="367" spans="1:15" x14ac:dyDescent="0.3">
      <c r="A367" t="s">
        <v>391</v>
      </c>
      <c r="B367" s="1">
        <v>45789</v>
      </c>
      <c r="C367" t="s">
        <v>21</v>
      </c>
      <c r="D367" t="s">
        <v>14</v>
      </c>
      <c r="E367" s="2">
        <v>21.94</v>
      </c>
      <c r="F367" s="3">
        <v>82.77</v>
      </c>
      <c r="G367" s="4">
        <v>349.51</v>
      </c>
      <c r="H367">
        <v>1</v>
      </c>
      <c r="I367" s="4">
        <v>349.51</v>
      </c>
      <c r="J367">
        <v>4.3</v>
      </c>
      <c r="K367" t="s">
        <v>30</v>
      </c>
      <c r="L367" t="s">
        <v>28</v>
      </c>
      <c r="O367"/>
    </row>
    <row r="368" spans="1:15" x14ac:dyDescent="0.3">
      <c r="A368" t="s">
        <v>392</v>
      </c>
      <c r="B368" s="1">
        <v>45967</v>
      </c>
      <c r="C368" t="s">
        <v>14</v>
      </c>
      <c r="D368" t="s">
        <v>14</v>
      </c>
      <c r="E368" s="2">
        <v>21.17</v>
      </c>
      <c r="F368" s="3">
        <v>42.48</v>
      </c>
      <c r="G368" s="4">
        <v>342.87</v>
      </c>
      <c r="H368">
        <v>2</v>
      </c>
      <c r="I368" s="4">
        <v>685.74</v>
      </c>
      <c r="J368">
        <v>3.4</v>
      </c>
      <c r="K368" t="s">
        <v>15</v>
      </c>
      <c r="L368" t="s">
        <v>28</v>
      </c>
      <c r="O368"/>
    </row>
    <row r="369" spans="1:15" x14ac:dyDescent="0.3">
      <c r="A369" t="s">
        <v>393</v>
      </c>
      <c r="B369" s="1">
        <v>45677</v>
      </c>
      <c r="C369" t="s">
        <v>13</v>
      </c>
      <c r="D369" t="s">
        <v>21</v>
      </c>
      <c r="E369" s="2">
        <v>12.67</v>
      </c>
      <c r="F369" s="3">
        <v>47.49</v>
      </c>
      <c r="G369" s="4">
        <v>191.33</v>
      </c>
      <c r="H369">
        <v>1.5</v>
      </c>
      <c r="I369" s="4">
        <v>287</v>
      </c>
      <c r="J369">
        <v>3.1</v>
      </c>
      <c r="K369" t="s">
        <v>36</v>
      </c>
      <c r="L369" t="s">
        <v>28</v>
      </c>
      <c r="O369"/>
    </row>
    <row r="370" spans="1:15" x14ac:dyDescent="0.3">
      <c r="A370" t="s">
        <v>394</v>
      </c>
      <c r="B370" s="1">
        <v>45993</v>
      </c>
      <c r="C370" t="s">
        <v>22</v>
      </c>
      <c r="D370" t="s">
        <v>14</v>
      </c>
      <c r="E370" s="2">
        <v>7.54</v>
      </c>
      <c r="F370" s="3">
        <v>25.68</v>
      </c>
      <c r="G370" s="4">
        <v>79.38</v>
      </c>
      <c r="H370">
        <v>2</v>
      </c>
      <c r="I370" s="4">
        <v>158.76</v>
      </c>
      <c r="J370">
        <v>4.4000000000000004</v>
      </c>
      <c r="K370" t="s">
        <v>36</v>
      </c>
      <c r="L370" t="s">
        <v>26</v>
      </c>
      <c r="O370"/>
    </row>
    <row r="371" spans="1:15" x14ac:dyDescent="0.3">
      <c r="A371" t="s">
        <v>395</v>
      </c>
      <c r="B371" s="1">
        <v>45739</v>
      </c>
      <c r="C371" t="s">
        <v>25</v>
      </c>
      <c r="D371" t="s">
        <v>13</v>
      </c>
      <c r="E371" s="2">
        <v>18.46</v>
      </c>
      <c r="F371" s="3">
        <v>37.770000000000003</v>
      </c>
      <c r="G371" s="4">
        <v>244.06</v>
      </c>
      <c r="H371">
        <v>1.5</v>
      </c>
      <c r="I371" s="4">
        <v>366.09</v>
      </c>
      <c r="J371">
        <v>3.2</v>
      </c>
      <c r="K371" t="s">
        <v>18</v>
      </c>
      <c r="L371" t="s">
        <v>16</v>
      </c>
      <c r="O371"/>
    </row>
    <row r="372" spans="1:15" x14ac:dyDescent="0.3">
      <c r="A372" t="s">
        <v>396</v>
      </c>
      <c r="B372" s="1">
        <v>45809</v>
      </c>
      <c r="C372" t="s">
        <v>13</v>
      </c>
      <c r="D372" t="s">
        <v>21</v>
      </c>
      <c r="E372" s="2">
        <v>10.69</v>
      </c>
      <c r="F372" s="3">
        <v>38.159999999999997</v>
      </c>
      <c r="G372" s="4">
        <v>182.55</v>
      </c>
      <c r="H372">
        <v>1.5</v>
      </c>
      <c r="I372" s="4">
        <v>273.83</v>
      </c>
      <c r="J372">
        <v>4.7</v>
      </c>
      <c r="K372" t="s">
        <v>33</v>
      </c>
      <c r="L372" t="s">
        <v>16</v>
      </c>
      <c r="O372"/>
    </row>
    <row r="373" spans="1:15" x14ac:dyDescent="0.3">
      <c r="A373" t="s">
        <v>397</v>
      </c>
      <c r="B373" s="1">
        <v>45676</v>
      </c>
      <c r="C373" t="s">
        <v>14</v>
      </c>
      <c r="D373" t="s">
        <v>21</v>
      </c>
      <c r="E373" s="2">
        <v>13.77</v>
      </c>
      <c r="F373" s="3">
        <v>31.6</v>
      </c>
      <c r="G373" s="4">
        <v>182.89</v>
      </c>
      <c r="H373">
        <v>1.5</v>
      </c>
      <c r="I373" s="4">
        <v>274.33</v>
      </c>
      <c r="J373">
        <v>3.5</v>
      </c>
      <c r="K373" t="s">
        <v>33</v>
      </c>
      <c r="L373" t="s">
        <v>26</v>
      </c>
      <c r="O373"/>
    </row>
    <row r="374" spans="1:15" x14ac:dyDescent="0.3">
      <c r="A374" t="s">
        <v>398</v>
      </c>
      <c r="B374" s="1">
        <v>45976</v>
      </c>
      <c r="C374" t="s">
        <v>22</v>
      </c>
      <c r="D374" t="s">
        <v>21</v>
      </c>
      <c r="E374" s="2">
        <v>7.4</v>
      </c>
      <c r="F374" s="3">
        <v>23.65</v>
      </c>
      <c r="G374" s="4">
        <v>128.44</v>
      </c>
      <c r="H374">
        <v>1.5</v>
      </c>
      <c r="I374" s="4">
        <v>192.66</v>
      </c>
      <c r="J374">
        <v>4.5</v>
      </c>
      <c r="K374" t="s">
        <v>33</v>
      </c>
      <c r="L374" t="s">
        <v>28</v>
      </c>
      <c r="O374"/>
    </row>
    <row r="375" spans="1:15" x14ac:dyDescent="0.3">
      <c r="A375" t="s">
        <v>399</v>
      </c>
      <c r="B375" s="1">
        <v>45775</v>
      </c>
      <c r="C375" t="s">
        <v>13</v>
      </c>
      <c r="D375" t="s">
        <v>14</v>
      </c>
      <c r="E375" s="2">
        <v>19.63</v>
      </c>
      <c r="F375" s="3">
        <v>55.8</v>
      </c>
      <c r="G375" s="4">
        <v>321.18</v>
      </c>
      <c r="H375">
        <v>2</v>
      </c>
      <c r="I375" s="4">
        <v>642.36</v>
      </c>
      <c r="J375">
        <v>3.4</v>
      </c>
      <c r="K375" t="s">
        <v>18</v>
      </c>
      <c r="L375" t="s">
        <v>26</v>
      </c>
      <c r="O375"/>
    </row>
    <row r="376" spans="1:15" x14ac:dyDescent="0.3">
      <c r="A376" t="s">
        <v>400</v>
      </c>
      <c r="B376" s="1">
        <v>45855</v>
      </c>
      <c r="C376" t="s">
        <v>13</v>
      </c>
      <c r="D376" t="s">
        <v>14</v>
      </c>
      <c r="E376" s="2">
        <v>29.74</v>
      </c>
      <c r="F376" s="3">
        <v>103.92</v>
      </c>
      <c r="G376" s="4">
        <v>517.47</v>
      </c>
      <c r="H376">
        <v>1.2</v>
      </c>
      <c r="I376" s="4">
        <v>620.96</v>
      </c>
      <c r="J376">
        <v>4.2</v>
      </c>
      <c r="K376" t="s">
        <v>15</v>
      </c>
      <c r="L376" t="s">
        <v>19</v>
      </c>
      <c r="O376"/>
    </row>
    <row r="377" spans="1:15" x14ac:dyDescent="0.3">
      <c r="A377" t="s">
        <v>401</v>
      </c>
      <c r="B377" s="1">
        <v>45718</v>
      </c>
      <c r="C377" t="s">
        <v>21</v>
      </c>
      <c r="D377" t="s">
        <v>25</v>
      </c>
      <c r="E377" s="2">
        <v>29.41</v>
      </c>
      <c r="F377" s="3">
        <v>68.540000000000006</v>
      </c>
      <c r="G377" s="4">
        <v>500.04</v>
      </c>
      <c r="H377">
        <v>1.2</v>
      </c>
      <c r="I377" s="4">
        <v>600.04999999999995</v>
      </c>
      <c r="J377">
        <v>4.7</v>
      </c>
      <c r="K377" t="s">
        <v>18</v>
      </c>
      <c r="L377" t="s">
        <v>19</v>
      </c>
      <c r="O377"/>
    </row>
    <row r="378" spans="1:15" x14ac:dyDescent="0.3">
      <c r="A378" t="s">
        <v>402</v>
      </c>
      <c r="B378" s="1">
        <v>45855</v>
      </c>
      <c r="C378" t="s">
        <v>14</v>
      </c>
      <c r="D378" t="s">
        <v>21</v>
      </c>
      <c r="E378" s="2">
        <v>16.02</v>
      </c>
      <c r="F378" s="3">
        <v>41.61</v>
      </c>
      <c r="G378" s="4">
        <v>310.89999999999998</v>
      </c>
      <c r="H378">
        <v>1.2</v>
      </c>
      <c r="I378" s="4">
        <v>373.08</v>
      </c>
      <c r="J378">
        <v>4.7</v>
      </c>
      <c r="K378" t="s">
        <v>36</v>
      </c>
      <c r="L378" t="s">
        <v>16</v>
      </c>
      <c r="O378"/>
    </row>
    <row r="379" spans="1:15" x14ac:dyDescent="0.3">
      <c r="A379" t="s">
        <v>403</v>
      </c>
      <c r="B379" s="1">
        <v>45726</v>
      </c>
      <c r="C379" t="s">
        <v>21</v>
      </c>
      <c r="D379" t="s">
        <v>13</v>
      </c>
      <c r="E379" s="2">
        <v>25.42</v>
      </c>
      <c r="F379" s="3">
        <v>60.3</v>
      </c>
      <c r="G379" s="4">
        <v>458.23</v>
      </c>
      <c r="H379">
        <v>1.2</v>
      </c>
      <c r="I379" s="4">
        <v>549.88</v>
      </c>
      <c r="J379">
        <v>4.9000000000000004</v>
      </c>
      <c r="K379" t="s">
        <v>18</v>
      </c>
      <c r="L379" t="s">
        <v>16</v>
      </c>
      <c r="O379"/>
    </row>
    <row r="380" spans="1:15" x14ac:dyDescent="0.3">
      <c r="A380" t="s">
        <v>404</v>
      </c>
      <c r="B380" s="1">
        <v>46013</v>
      </c>
      <c r="C380" t="s">
        <v>25</v>
      </c>
      <c r="D380" t="s">
        <v>13</v>
      </c>
      <c r="E380" s="2">
        <v>4.87</v>
      </c>
      <c r="F380" s="3">
        <v>10.53</v>
      </c>
      <c r="G380" s="4">
        <v>84.15</v>
      </c>
      <c r="H380">
        <v>1.2</v>
      </c>
      <c r="I380" s="4">
        <v>100.98</v>
      </c>
      <c r="J380">
        <v>4.8</v>
      </c>
      <c r="K380" t="s">
        <v>15</v>
      </c>
      <c r="L380" t="s">
        <v>26</v>
      </c>
      <c r="O380"/>
    </row>
    <row r="381" spans="1:15" x14ac:dyDescent="0.3">
      <c r="A381" t="s">
        <v>405</v>
      </c>
      <c r="B381" s="1">
        <v>45937</v>
      </c>
      <c r="C381" t="s">
        <v>25</v>
      </c>
      <c r="D381" t="s">
        <v>13</v>
      </c>
      <c r="E381" s="2">
        <v>22.16</v>
      </c>
      <c r="F381" s="3">
        <v>78.25</v>
      </c>
      <c r="G381" s="4">
        <v>256.81</v>
      </c>
      <c r="H381">
        <v>2</v>
      </c>
      <c r="I381" s="4">
        <v>513.62</v>
      </c>
      <c r="J381">
        <v>3.3</v>
      </c>
      <c r="K381" t="s">
        <v>33</v>
      </c>
      <c r="L381" t="s">
        <v>28</v>
      </c>
      <c r="O381"/>
    </row>
    <row r="382" spans="1:15" x14ac:dyDescent="0.3">
      <c r="A382" t="s">
        <v>406</v>
      </c>
      <c r="B382" s="1">
        <v>45714</v>
      </c>
      <c r="C382" t="s">
        <v>14</v>
      </c>
      <c r="D382" t="s">
        <v>21</v>
      </c>
      <c r="E382" s="2">
        <v>22.79</v>
      </c>
      <c r="F382" s="3">
        <v>75.52</v>
      </c>
      <c r="G382" s="4">
        <v>445.91</v>
      </c>
      <c r="H382">
        <v>1.2</v>
      </c>
      <c r="I382" s="4">
        <v>535.09</v>
      </c>
      <c r="J382">
        <v>3.6</v>
      </c>
      <c r="K382" t="s">
        <v>30</v>
      </c>
      <c r="L382" t="s">
        <v>16</v>
      </c>
      <c r="O382"/>
    </row>
    <row r="383" spans="1:15" x14ac:dyDescent="0.3">
      <c r="A383" t="s">
        <v>407</v>
      </c>
      <c r="B383" s="1">
        <v>45763</v>
      </c>
      <c r="C383" t="s">
        <v>13</v>
      </c>
      <c r="D383" t="s">
        <v>14</v>
      </c>
      <c r="E383" s="2">
        <v>9.18</v>
      </c>
      <c r="F383" s="3">
        <v>23.16</v>
      </c>
      <c r="G383" s="4">
        <v>114.47</v>
      </c>
      <c r="H383">
        <v>2</v>
      </c>
      <c r="I383" s="4">
        <v>228.94</v>
      </c>
      <c r="J383">
        <v>4.5999999999999996</v>
      </c>
      <c r="K383" t="s">
        <v>33</v>
      </c>
      <c r="L383" t="s">
        <v>16</v>
      </c>
      <c r="O383"/>
    </row>
    <row r="384" spans="1:15" x14ac:dyDescent="0.3">
      <c r="A384" t="s">
        <v>408</v>
      </c>
      <c r="B384" s="1">
        <v>45993</v>
      </c>
      <c r="C384" t="s">
        <v>14</v>
      </c>
      <c r="D384" t="s">
        <v>22</v>
      </c>
      <c r="E384" s="2">
        <v>11.77</v>
      </c>
      <c r="F384" s="3">
        <v>33.64</v>
      </c>
      <c r="G384" s="4">
        <v>217.13</v>
      </c>
      <c r="H384">
        <v>1.2</v>
      </c>
      <c r="I384" s="4">
        <v>260.56</v>
      </c>
      <c r="J384">
        <v>3.1</v>
      </c>
      <c r="K384" t="s">
        <v>15</v>
      </c>
      <c r="L384" t="s">
        <v>28</v>
      </c>
      <c r="O384"/>
    </row>
    <row r="385" spans="1:15" x14ac:dyDescent="0.3">
      <c r="A385" t="s">
        <v>409</v>
      </c>
      <c r="B385" s="1">
        <v>45958</v>
      </c>
      <c r="C385" t="s">
        <v>22</v>
      </c>
      <c r="D385" t="s">
        <v>21</v>
      </c>
      <c r="E385" s="2">
        <v>25.74</v>
      </c>
      <c r="F385" s="3">
        <v>53.87</v>
      </c>
      <c r="G385" s="4">
        <v>416.91</v>
      </c>
      <c r="H385">
        <v>1.5</v>
      </c>
      <c r="I385" s="4">
        <v>625.36</v>
      </c>
      <c r="J385">
        <v>3.3</v>
      </c>
      <c r="K385" t="s">
        <v>30</v>
      </c>
      <c r="L385" t="s">
        <v>28</v>
      </c>
      <c r="O385"/>
    </row>
    <row r="386" spans="1:15" x14ac:dyDescent="0.3">
      <c r="A386" t="s">
        <v>410</v>
      </c>
      <c r="B386" s="1">
        <v>45853</v>
      </c>
      <c r="C386" t="s">
        <v>25</v>
      </c>
      <c r="D386" t="s">
        <v>21</v>
      </c>
      <c r="E386" s="2">
        <v>10.14</v>
      </c>
      <c r="F386" s="3">
        <v>35.93</v>
      </c>
      <c r="G386" s="4">
        <v>110.16</v>
      </c>
      <c r="H386">
        <v>1.5</v>
      </c>
      <c r="I386" s="4">
        <v>165.24</v>
      </c>
      <c r="J386">
        <v>3</v>
      </c>
      <c r="K386" t="s">
        <v>36</v>
      </c>
      <c r="L386" t="s">
        <v>28</v>
      </c>
      <c r="O386"/>
    </row>
    <row r="387" spans="1:15" x14ac:dyDescent="0.3">
      <c r="A387" t="s">
        <v>411</v>
      </c>
      <c r="B387" s="1">
        <v>45905</v>
      </c>
      <c r="C387" t="s">
        <v>21</v>
      </c>
      <c r="D387" t="s">
        <v>21</v>
      </c>
      <c r="E387" s="2">
        <v>16.899999999999999</v>
      </c>
      <c r="F387" s="3">
        <v>38.130000000000003</v>
      </c>
      <c r="G387" s="4">
        <v>318.08</v>
      </c>
      <c r="H387">
        <v>1</v>
      </c>
      <c r="I387" s="4">
        <v>318.08</v>
      </c>
      <c r="J387">
        <v>3.1</v>
      </c>
      <c r="K387" t="s">
        <v>36</v>
      </c>
      <c r="L387" t="s">
        <v>28</v>
      </c>
      <c r="O387"/>
    </row>
    <row r="388" spans="1:15" x14ac:dyDescent="0.3">
      <c r="A388" t="s">
        <v>412</v>
      </c>
      <c r="B388" s="1">
        <v>45799</v>
      </c>
      <c r="C388" t="s">
        <v>22</v>
      </c>
      <c r="D388" t="s">
        <v>21</v>
      </c>
      <c r="E388" s="2">
        <v>22.19</v>
      </c>
      <c r="F388" s="3">
        <v>87.93</v>
      </c>
      <c r="G388" s="4">
        <v>278.82</v>
      </c>
      <c r="H388">
        <v>1.5</v>
      </c>
      <c r="I388" s="4">
        <v>418.23</v>
      </c>
      <c r="J388">
        <v>4.5</v>
      </c>
      <c r="K388" t="s">
        <v>30</v>
      </c>
      <c r="L388" t="s">
        <v>16</v>
      </c>
      <c r="O388"/>
    </row>
    <row r="389" spans="1:15" x14ac:dyDescent="0.3">
      <c r="A389" t="s">
        <v>413</v>
      </c>
      <c r="B389" s="1">
        <v>45962</v>
      </c>
      <c r="C389" t="s">
        <v>14</v>
      </c>
      <c r="D389" t="s">
        <v>21</v>
      </c>
      <c r="E389" s="2">
        <v>14.45</v>
      </c>
      <c r="F389" s="3">
        <v>56.99</v>
      </c>
      <c r="G389" s="4">
        <v>232.43</v>
      </c>
      <c r="H389">
        <v>1</v>
      </c>
      <c r="I389" s="4">
        <v>232.43</v>
      </c>
      <c r="J389">
        <v>3.4</v>
      </c>
      <c r="K389" t="s">
        <v>30</v>
      </c>
      <c r="L389" t="s">
        <v>19</v>
      </c>
      <c r="O389"/>
    </row>
    <row r="390" spans="1:15" x14ac:dyDescent="0.3">
      <c r="A390" t="s">
        <v>414</v>
      </c>
      <c r="B390" s="1">
        <v>45818</v>
      </c>
      <c r="C390" t="s">
        <v>22</v>
      </c>
      <c r="D390" t="s">
        <v>25</v>
      </c>
      <c r="E390" s="2">
        <v>5.39</v>
      </c>
      <c r="F390" s="3">
        <v>13.21</v>
      </c>
      <c r="G390" s="4">
        <v>67.430000000000007</v>
      </c>
      <c r="H390">
        <v>1.5</v>
      </c>
      <c r="I390" s="4">
        <v>101.15</v>
      </c>
      <c r="J390">
        <v>4.4000000000000004</v>
      </c>
      <c r="K390" t="s">
        <v>33</v>
      </c>
      <c r="L390" t="s">
        <v>26</v>
      </c>
      <c r="O390"/>
    </row>
    <row r="391" spans="1:15" x14ac:dyDescent="0.3">
      <c r="A391" t="s">
        <v>415</v>
      </c>
      <c r="B391" s="1">
        <v>45946</v>
      </c>
      <c r="C391" t="s">
        <v>21</v>
      </c>
      <c r="D391" t="s">
        <v>25</v>
      </c>
      <c r="E391" s="2">
        <v>16.18</v>
      </c>
      <c r="F391" s="3">
        <v>36.07</v>
      </c>
      <c r="G391" s="4">
        <v>300.97000000000003</v>
      </c>
      <c r="H391">
        <v>1.2</v>
      </c>
      <c r="I391" s="4">
        <v>361.16</v>
      </c>
      <c r="J391">
        <v>4.0999999999999996</v>
      </c>
      <c r="K391" t="s">
        <v>33</v>
      </c>
      <c r="L391" t="s">
        <v>19</v>
      </c>
      <c r="O391"/>
    </row>
    <row r="392" spans="1:15" x14ac:dyDescent="0.3">
      <c r="A392" t="s">
        <v>416</v>
      </c>
      <c r="B392" s="1">
        <v>45743</v>
      </c>
      <c r="C392" t="s">
        <v>21</v>
      </c>
      <c r="D392" t="s">
        <v>14</v>
      </c>
      <c r="E392" s="2">
        <v>16.920000000000002</v>
      </c>
      <c r="F392" s="3">
        <v>54.58</v>
      </c>
      <c r="G392" s="4">
        <v>207.46</v>
      </c>
      <c r="H392">
        <v>1.2</v>
      </c>
      <c r="I392" s="4">
        <v>248.95</v>
      </c>
      <c r="J392">
        <v>4</v>
      </c>
      <c r="K392" t="s">
        <v>18</v>
      </c>
      <c r="L392" t="s">
        <v>16</v>
      </c>
      <c r="O392"/>
    </row>
    <row r="393" spans="1:15" x14ac:dyDescent="0.3">
      <c r="A393" t="s">
        <v>417</v>
      </c>
      <c r="B393" s="1">
        <v>45998</v>
      </c>
      <c r="C393" t="s">
        <v>21</v>
      </c>
      <c r="D393" t="s">
        <v>14</v>
      </c>
      <c r="E393" s="2">
        <v>5.09</v>
      </c>
      <c r="F393" s="3">
        <v>16.940000000000001</v>
      </c>
      <c r="G393" s="4">
        <v>61.9</v>
      </c>
      <c r="H393">
        <v>1.2</v>
      </c>
      <c r="I393" s="4">
        <v>74.28</v>
      </c>
      <c r="J393">
        <v>3.9</v>
      </c>
      <c r="K393" t="s">
        <v>36</v>
      </c>
      <c r="L393" t="s">
        <v>19</v>
      </c>
      <c r="O393"/>
    </row>
    <row r="394" spans="1:15" x14ac:dyDescent="0.3">
      <c r="A394" t="s">
        <v>418</v>
      </c>
      <c r="B394" s="1">
        <v>45782</v>
      </c>
      <c r="C394" t="s">
        <v>21</v>
      </c>
      <c r="D394" t="s">
        <v>14</v>
      </c>
      <c r="E394" s="2">
        <v>22.73</v>
      </c>
      <c r="F394" s="3">
        <v>58.67</v>
      </c>
      <c r="G394" s="4">
        <v>406.18</v>
      </c>
      <c r="H394">
        <v>1.2</v>
      </c>
      <c r="I394" s="4">
        <v>487.42</v>
      </c>
      <c r="J394">
        <v>4.5999999999999996</v>
      </c>
      <c r="K394" t="s">
        <v>36</v>
      </c>
      <c r="L394" t="s">
        <v>28</v>
      </c>
      <c r="O394"/>
    </row>
    <row r="395" spans="1:15" x14ac:dyDescent="0.3">
      <c r="A395" t="s">
        <v>419</v>
      </c>
      <c r="B395" s="1">
        <v>45795</v>
      </c>
      <c r="C395" t="s">
        <v>14</v>
      </c>
      <c r="D395" t="s">
        <v>14</v>
      </c>
      <c r="E395" s="2">
        <v>29.36</v>
      </c>
      <c r="F395" s="3">
        <v>105.34</v>
      </c>
      <c r="G395" s="4">
        <v>439.59</v>
      </c>
      <c r="H395">
        <v>2</v>
      </c>
      <c r="I395" s="4">
        <v>879.18</v>
      </c>
      <c r="J395">
        <v>3.5</v>
      </c>
      <c r="K395" t="s">
        <v>18</v>
      </c>
      <c r="L395" t="s">
        <v>16</v>
      </c>
      <c r="O395"/>
    </row>
    <row r="396" spans="1:15" x14ac:dyDescent="0.3">
      <c r="A396" t="s">
        <v>420</v>
      </c>
      <c r="B396" s="1">
        <v>45677</v>
      </c>
      <c r="C396" t="s">
        <v>25</v>
      </c>
      <c r="D396" t="s">
        <v>13</v>
      </c>
      <c r="E396" s="2">
        <v>16.8</v>
      </c>
      <c r="F396" s="3">
        <v>59.08</v>
      </c>
      <c r="G396" s="4">
        <v>294.69</v>
      </c>
      <c r="H396">
        <v>1.5</v>
      </c>
      <c r="I396" s="4">
        <v>442.04</v>
      </c>
      <c r="J396">
        <v>3.4</v>
      </c>
      <c r="K396" t="s">
        <v>18</v>
      </c>
      <c r="L396" t="s">
        <v>19</v>
      </c>
      <c r="O396"/>
    </row>
    <row r="397" spans="1:15" x14ac:dyDescent="0.3">
      <c r="A397" t="s">
        <v>421</v>
      </c>
      <c r="B397" s="1">
        <v>45870</v>
      </c>
      <c r="C397" t="s">
        <v>14</v>
      </c>
      <c r="D397" t="s">
        <v>22</v>
      </c>
      <c r="E397" s="2">
        <v>20.13</v>
      </c>
      <c r="F397" s="3">
        <v>46.77</v>
      </c>
      <c r="G397" s="4">
        <v>252.73</v>
      </c>
      <c r="H397">
        <v>1</v>
      </c>
      <c r="I397" s="4">
        <v>252.73</v>
      </c>
      <c r="J397">
        <v>3.9</v>
      </c>
      <c r="K397" t="s">
        <v>33</v>
      </c>
      <c r="L397" t="s">
        <v>19</v>
      </c>
      <c r="O397"/>
    </row>
    <row r="398" spans="1:15" x14ac:dyDescent="0.3">
      <c r="A398" t="s">
        <v>422</v>
      </c>
      <c r="B398" s="1">
        <v>45715</v>
      </c>
      <c r="C398" t="s">
        <v>25</v>
      </c>
      <c r="D398" t="s">
        <v>21</v>
      </c>
      <c r="E398" s="2">
        <v>22.77</v>
      </c>
      <c r="F398" s="3">
        <v>70.95</v>
      </c>
      <c r="G398" s="4">
        <v>353.51</v>
      </c>
      <c r="H398">
        <v>2</v>
      </c>
      <c r="I398" s="4">
        <v>707.02</v>
      </c>
      <c r="J398">
        <v>3.9</v>
      </c>
      <c r="K398" t="s">
        <v>30</v>
      </c>
      <c r="L398" t="s">
        <v>19</v>
      </c>
      <c r="O398"/>
    </row>
    <row r="399" spans="1:15" x14ac:dyDescent="0.3">
      <c r="A399" t="s">
        <v>423</v>
      </c>
      <c r="B399" s="1">
        <v>45701</v>
      </c>
      <c r="C399" t="s">
        <v>14</v>
      </c>
      <c r="D399" t="s">
        <v>13</v>
      </c>
      <c r="E399" s="2">
        <v>16.62</v>
      </c>
      <c r="F399" s="3">
        <v>49.79</v>
      </c>
      <c r="G399" s="4">
        <v>183.73</v>
      </c>
      <c r="H399">
        <v>2</v>
      </c>
      <c r="I399" s="4">
        <v>367.46</v>
      </c>
      <c r="J399">
        <v>3.9</v>
      </c>
      <c r="K399" t="s">
        <v>33</v>
      </c>
      <c r="L399" t="s">
        <v>28</v>
      </c>
      <c r="O399"/>
    </row>
    <row r="400" spans="1:15" x14ac:dyDescent="0.3">
      <c r="A400" t="s">
        <v>424</v>
      </c>
      <c r="B400" s="1">
        <v>45835</v>
      </c>
      <c r="C400" t="s">
        <v>13</v>
      </c>
      <c r="D400" t="s">
        <v>25</v>
      </c>
      <c r="E400" s="2">
        <v>3.71</v>
      </c>
      <c r="F400" s="3">
        <v>10.69</v>
      </c>
      <c r="G400" s="4">
        <v>44.36</v>
      </c>
      <c r="H400">
        <v>2</v>
      </c>
      <c r="I400" s="4">
        <v>88.72</v>
      </c>
      <c r="J400">
        <v>4</v>
      </c>
      <c r="K400" t="s">
        <v>15</v>
      </c>
      <c r="L400" t="s">
        <v>16</v>
      </c>
      <c r="O400"/>
    </row>
    <row r="401" spans="1:15" x14ac:dyDescent="0.3">
      <c r="A401" t="s">
        <v>425</v>
      </c>
      <c r="B401" s="1">
        <v>45954</v>
      </c>
      <c r="C401" t="s">
        <v>25</v>
      </c>
      <c r="D401" t="s">
        <v>21</v>
      </c>
      <c r="E401" s="2">
        <v>17.75</v>
      </c>
      <c r="F401" s="3">
        <v>58.03</v>
      </c>
      <c r="G401" s="4">
        <v>319.13</v>
      </c>
      <c r="H401">
        <v>1.5</v>
      </c>
      <c r="I401" s="4">
        <v>478.7</v>
      </c>
      <c r="J401">
        <v>3.4</v>
      </c>
      <c r="K401" t="s">
        <v>33</v>
      </c>
      <c r="L401" t="s">
        <v>28</v>
      </c>
      <c r="O401"/>
    </row>
    <row r="402" spans="1:15" x14ac:dyDescent="0.3">
      <c r="A402" t="s">
        <v>426</v>
      </c>
      <c r="B402" s="1">
        <v>45895</v>
      </c>
      <c r="C402" t="s">
        <v>13</v>
      </c>
      <c r="D402" t="s">
        <v>21</v>
      </c>
      <c r="E402" s="2">
        <v>16.46</v>
      </c>
      <c r="F402" s="3">
        <v>38.119999999999997</v>
      </c>
      <c r="G402" s="4">
        <v>279.14</v>
      </c>
      <c r="H402">
        <v>2</v>
      </c>
      <c r="I402" s="4">
        <v>558.28</v>
      </c>
      <c r="J402">
        <v>3.3</v>
      </c>
      <c r="K402" t="s">
        <v>30</v>
      </c>
      <c r="L402" t="s">
        <v>16</v>
      </c>
      <c r="O402"/>
    </row>
    <row r="403" spans="1:15" x14ac:dyDescent="0.3">
      <c r="A403" t="s">
        <v>427</v>
      </c>
      <c r="B403" s="1">
        <v>45993</v>
      </c>
      <c r="C403" t="s">
        <v>25</v>
      </c>
      <c r="D403" t="s">
        <v>21</v>
      </c>
      <c r="E403" s="2">
        <v>25.86</v>
      </c>
      <c r="F403" s="3">
        <v>98.59</v>
      </c>
      <c r="G403" s="4">
        <v>330.21</v>
      </c>
      <c r="H403">
        <v>2</v>
      </c>
      <c r="I403" s="4">
        <v>660.42</v>
      </c>
      <c r="J403">
        <v>4</v>
      </c>
      <c r="K403" t="s">
        <v>33</v>
      </c>
      <c r="L403" t="s">
        <v>19</v>
      </c>
      <c r="O403"/>
    </row>
    <row r="404" spans="1:15" x14ac:dyDescent="0.3">
      <c r="A404" t="s">
        <v>428</v>
      </c>
      <c r="B404" s="1">
        <v>45877</v>
      </c>
      <c r="C404" t="s">
        <v>14</v>
      </c>
      <c r="D404" t="s">
        <v>22</v>
      </c>
      <c r="E404" s="2">
        <v>6.86</v>
      </c>
      <c r="F404" s="3">
        <v>16.25</v>
      </c>
      <c r="G404" s="4">
        <v>129.93</v>
      </c>
      <c r="H404">
        <v>2</v>
      </c>
      <c r="I404" s="4">
        <v>259.86</v>
      </c>
      <c r="J404">
        <v>4.5999999999999996</v>
      </c>
      <c r="K404" t="s">
        <v>18</v>
      </c>
      <c r="L404" t="s">
        <v>28</v>
      </c>
      <c r="O404"/>
    </row>
    <row r="405" spans="1:15" x14ac:dyDescent="0.3">
      <c r="A405" t="s">
        <v>429</v>
      </c>
      <c r="B405" s="1">
        <v>45758</v>
      </c>
      <c r="C405" t="s">
        <v>21</v>
      </c>
      <c r="D405" t="s">
        <v>22</v>
      </c>
      <c r="E405" s="2">
        <v>13.77</v>
      </c>
      <c r="F405" s="3">
        <v>44.49</v>
      </c>
      <c r="G405" s="4">
        <v>149.19</v>
      </c>
      <c r="H405">
        <v>2</v>
      </c>
      <c r="I405" s="4">
        <v>298.38</v>
      </c>
      <c r="J405">
        <v>3.2</v>
      </c>
      <c r="K405" t="s">
        <v>18</v>
      </c>
      <c r="L405" t="s">
        <v>26</v>
      </c>
      <c r="O405"/>
    </row>
    <row r="406" spans="1:15" x14ac:dyDescent="0.3">
      <c r="A406" t="s">
        <v>430</v>
      </c>
      <c r="B406" s="1">
        <v>45959</v>
      </c>
      <c r="C406" t="s">
        <v>22</v>
      </c>
      <c r="D406" t="s">
        <v>13</v>
      </c>
      <c r="E406" s="2">
        <v>10.27</v>
      </c>
      <c r="F406" s="3">
        <v>40.840000000000003</v>
      </c>
      <c r="G406" s="4">
        <v>152.55000000000001</v>
      </c>
      <c r="H406">
        <v>1</v>
      </c>
      <c r="I406" s="4">
        <v>152.55000000000001</v>
      </c>
      <c r="J406">
        <v>4.3</v>
      </c>
      <c r="K406" t="s">
        <v>18</v>
      </c>
      <c r="L406" t="s">
        <v>26</v>
      </c>
      <c r="O406"/>
    </row>
    <row r="407" spans="1:15" x14ac:dyDescent="0.3">
      <c r="A407" t="s">
        <v>431</v>
      </c>
      <c r="B407" s="1">
        <v>45926</v>
      </c>
      <c r="C407" t="s">
        <v>25</v>
      </c>
      <c r="D407" t="s">
        <v>22</v>
      </c>
      <c r="E407" s="2">
        <v>10.37</v>
      </c>
      <c r="F407" s="3">
        <v>41.42</v>
      </c>
      <c r="G407" s="4">
        <v>205.3</v>
      </c>
      <c r="H407">
        <v>1.5</v>
      </c>
      <c r="I407" s="4">
        <v>307.95</v>
      </c>
      <c r="J407">
        <v>3.3</v>
      </c>
      <c r="K407" t="s">
        <v>15</v>
      </c>
      <c r="L407" t="s">
        <v>26</v>
      </c>
      <c r="O407"/>
    </row>
    <row r="408" spans="1:15" x14ac:dyDescent="0.3">
      <c r="A408" t="s">
        <v>432</v>
      </c>
      <c r="B408" s="1">
        <v>45940</v>
      </c>
      <c r="C408" t="s">
        <v>13</v>
      </c>
      <c r="D408" t="s">
        <v>14</v>
      </c>
      <c r="E408" s="2">
        <v>20.92</v>
      </c>
      <c r="F408" s="3">
        <v>45.73</v>
      </c>
      <c r="G408" s="4">
        <v>215.34</v>
      </c>
      <c r="H408">
        <v>2</v>
      </c>
      <c r="I408" s="4">
        <v>430.68</v>
      </c>
      <c r="J408">
        <v>4.8</v>
      </c>
      <c r="K408" t="s">
        <v>30</v>
      </c>
      <c r="L408" t="s">
        <v>19</v>
      </c>
      <c r="O408"/>
    </row>
    <row r="409" spans="1:15" x14ac:dyDescent="0.3">
      <c r="A409" t="s">
        <v>433</v>
      </c>
      <c r="B409" s="1">
        <v>45790</v>
      </c>
      <c r="C409" t="s">
        <v>14</v>
      </c>
      <c r="D409" t="s">
        <v>25</v>
      </c>
      <c r="E409" s="2">
        <v>29.23</v>
      </c>
      <c r="F409" s="3">
        <v>78.150000000000006</v>
      </c>
      <c r="G409" s="4">
        <v>378.96</v>
      </c>
      <c r="H409">
        <v>1.2</v>
      </c>
      <c r="I409" s="4">
        <v>454.75</v>
      </c>
      <c r="J409">
        <v>4.0999999999999996</v>
      </c>
      <c r="K409" t="s">
        <v>33</v>
      </c>
      <c r="L409" t="s">
        <v>26</v>
      </c>
      <c r="O409"/>
    </row>
    <row r="410" spans="1:15" x14ac:dyDescent="0.3">
      <c r="A410" t="s">
        <v>434</v>
      </c>
      <c r="B410" s="1">
        <v>45868</v>
      </c>
      <c r="C410" t="s">
        <v>25</v>
      </c>
      <c r="D410" t="s">
        <v>22</v>
      </c>
      <c r="E410" s="2">
        <v>23.03</v>
      </c>
      <c r="F410" s="3">
        <v>91.57</v>
      </c>
      <c r="G410" s="4">
        <v>437.87</v>
      </c>
      <c r="H410">
        <v>2</v>
      </c>
      <c r="I410" s="4">
        <v>875.74</v>
      </c>
      <c r="J410">
        <v>3.9</v>
      </c>
      <c r="K410" t="s">
        <v>15</v>
      </c>
      <c r="L410" t="s">
        <v>26</v>
      </c>
      <c r="O410"/>
    </row>
    <row r="411" spans="1:15" x14ac:dyDescent="0.3">
      <c r="A411" t="s">
        <v>435</v>
      </c>
      <c r="B411" s="1">
        <v>45870</v>
      </c>
      <c r="C411" t="s">
        <v>14</v>
      </c>
      <c r="D411" t="s">
        <v>22</v>
      </c>
      <c r="E411" s="2">
        <v>8.3800000000000008</v>
      </c>
      <c r="F411" s="3">
        <v>30.49</v>
      </c>
      <c r="G411" s="4">
        <v>157.53</v>
      </c>
      <c r="H411">
        <v>1.2</v>
      </c>
      <c r="I411" s="4">
        <v>189.04</v>
      </c>
      <c r="J411">
        <v>3.3</v>
      </c>
      <c r="K411" t="s">
        <v>15</v>
      </c>
      <c r="L411" t="s">
        <v>28</v>
      </c>
      <c r="O411"/>
    </row>
    <row r="412" spans="1:15" x14ac:dyDescent="0.3">
      <c r="A412" t="s">
        <v>436</v>
      </c>
      <c r="B412" s="1">
        <v>45934</v>
      </c>
      <c r="C412" t="s">
        <v>13</v>
      </c>
      <c r="D412" t="s">
        <v>14</v>
      </c>
      <c r="E412" s="2">
        <v>4.28</v>
      </c>
      <c r="F412" s="3">
        <v>9.31</v>
      </c>
      <c r="G412" s="4">
        <v>73.58</v>
      </c>
      <c r="H412">
        <v>1.5</v>
      </c>
      <c r="I412" s="4">
        <v>110.37</v>
      </c>
      <c r="J412">
        <v>3.3</v>
      </c>
      <c r="K412" t="s">
        <v>30</v>
      </c>
      <c r="L412" t="s">
        <v>26</v>
      </c>
      <c r="O412"/>
    </row>
    <row r="413" spans="1:15" x14ac:dyDescent="0.3">
      <c r="A413" t="s">
        <v>437</v>
      </c>
      <c r="B413" s="1">
        <v>45698</v>
      </c>
      <c r="C413" t="s">
        <v>22</v>
      </c>
      <c r="D413" t="s">
        <v>21</v>
      </c>
      <c r="E413" s="2">
        <v>22.45</v>
      </c>
      <c r="F413" s="3">
        <v>53.49</v>
      </c>
      <c r="G413" s="4">
        <v>362.29</v>
      </c>
      <c r="H413">
        <v>1.5</v>
      </c>
      <c r="I413" s="4">
        <v>543.44000000000005</v>
      </c>
      <c r="J413">
        <v>4.2</v>
      </c>
      <c r="K413" t="s">
        <v>30</v>
      </c>
      <c r="L413" t="s">
        <v>19</v>
      </c>
      <c r="O413"/>
    </row>
    <row r="414" spans="1:15" x14ac:dyDescent="0.3">
      <c r="A414" t="s">
        <v>438</v>
      </c>
      <c r="B414" s="1">
        <v>45807</v>
      </c>
      <c r="C414" t="s">
        <v>22</v>
      </c>
      <c r="D414" t="s">
        <v>13</v>
      </c>
      <c r="E414" s="2">
        <v>22.4</v>
      </c>
      <c r="F414" s="3">
        <v>80.92</v>
      </c>
      <c r="G414" s="4">
        <v>413</v>
      </c>
      <c r="H414">
        <v>1.5</v>
      </c>
      <c r="I414" s="4">
        <v>619.5</v>
      </c>
      <c r="J414">
        <v>4.3</v>
      </c>
      <c r="K414" t="s">
        <v>33</v>
      </c>
      <c r="L414" t="s">
        <v>16</v>
      </c>
      <c r="O414"/>
    </row>
    <row r="415" spans="1:15" x14ac:dyDescent="0.3">
      <c r="A415" t="s">
        <v>439</v>
      </c>
      <c r="B415" s="1">
        <v>45869</v>
      </c>
      <c r="C415" t="s">
        <v>25</v>
      </c>
      <c r="D415" t="s">
        <v>21</v>
      </c>
      <c r="E415" s="2">
        <v>22.44</v>
      </c>
      <c r="F415" s="3">
        <v>49.65</v>
      </c>
      <c r="G415" s="4">
        <v>295.07</v>
      </c>
      <c r="H415">
        <v>2</v>
      </c>
      <c r="I415" s="4">
        <v>590.14</v>
      </c>
      <c r="J415">
        <v>3.1</v>
      </c>
      <c r="K415" t="s">
        <v>18</v>
      </c>
      <c r="L415" t="s">
        <v>16</v>
      </c>
      <c r="O415"/>
    </row>
    <row r="416" spans="1:15" x14ac:dyDescent="0.3">
      <c r="A416" t="s">
        <v>440</v>
      </c>
      <c r="B416" s="1">
        <v>45858</v>
      </c>
      <c r="C416" t="s">
        <v>22</v>
      </c>
      <c r="D416" t="s">
        <v>21</v>
      </c>
      <c r="E416" s="2">
        <v>20</v>
      </c>
      <c r="F416" s="3">
        <v>79.67</v>
      </c>
      <c r="G416" s="4">
        <v>214.53</v>
      </c>
      <c r="H416">
        <v>2</v>
      </c>
      <c r="I416" s="4">
        <v>429.06</v>
      </c>
      <c r="J416">
        <v>4.3</v>
      </c>
      <c r="K416" t="s">
        <v>36</v>
      </c>
      <c r="L416" t="s">
        <v>16</v>
      </c>
      <c r="O416"/>
    </row>
    <row r="417" spans="1:15" x14ac:dyDescent="0.3">
      <c r="A417" t="s">
        <v>441</v>
      </c>
      <c r="B417" s="1">
        <v>45661</v>
      </c>
      <c r="C417" t="s">
        <v>22</v>
      </c>
      <c r="D417" t="s">
        <v>14</v>
      </c>
      <c r="E417" s="2">
        <v>26.13</v>
      </c>
      <c r="F417" s="3">
        <v>63.52</v>
      </c>
      <c r="G417" s="4">
        <v>355.47</v>
      </c>
      <c r="H417">
        <v>1</v>
      </c>
      <c r="I417" s="4">
        <v>355.47</v>
      </c>
      <c r="J417">
        <v>3.1</v>
      </c>
      <c r="K417" t="s">
        <v>30</v>
      </c>
      <c r="L417" t="s">
        <v>26</v>
      </c>
      <c r="O417"/>
    </row>
    <row r="418" spans="1:15" x14ac:dyDescent="0.3">
      <c r="A418" t="s">
        <v>442</v>
      </c>
      <c r="B418" s="1">
        <v>45774</v>
      </c>
      <c r="C418" t="s">
        <v>21</v>
      </c>
      <c r="D418" t="s">
        <v>25</v>
      </c>
      <c r="E418" s="2">
        <v>12.84</v>
      </c>
      <c r="F418" s="3">
        <v>45.18</v>
      </c>
      <c r="G418" s="4">
        <v>244.42</v>
      </c>
      <c r="H418">
        <v>1</v>
      </c>
      <c r="I418" s="4">
        <v>244.42</v>
      </c>
      <c r="J418">
        <v>4.5</v>
      </c>
      <c r="K418" t="s">
        <v>30</v>
      </c>
      <c r="L418" t="s">
        <v>16</v>
      </c>
      <c r="O418"/>
    </row>
    <row r="419" spans="1:15" x14ac:dyDescent="0.3">
      <c r="A419" t="s">
        <v>443</v>
      </c>
      <c r="B419" s="1">
        <v>46012</v>
      </c>
      <c r="C419" t="s">
        <v>13</v>
      </c>
      <c r="D419" t="s">
        <v>21</v>
      </c>
      <c r="E419" s="2">
        <v>2.71</v>
      </c>
      <c r="F419" s="3">
        <v>10.29</v>
      </c>
      <c r="G419" s="4">
        <v>44.74</v>
      </c>
      <c r="H419">
        <v>1.2</v>
      </c>
      <c r="I419" s="4">
        <v>53.69</v>
      </c>
      <c r="J419">
        <v>4.3</v>
      </c>
      <c r="K419" t="s">
        <v>15</v>
      </c>
      <c r="L419" t="s">
        <v>28</v>
      </c>
      <c r="O419"/>
    </row>
    <row r="420" spans="1:15" x14ac:dyDescent="0.3">
      <c r="A420" t="s">
        <v>444</v>
      </c>
      <c r="B420" s="1">
        <v>45748</v>
      </c>
      <c r="C420" t="s">
        <v>22</v>
      </c>
      <c r="D420" t="s">
        <v>14</v>
      </c>
      <c r="E420" s="2">
        <v>12.3</v>
      </c>
      <c r="F420" s="3">
        <v>33.94</v>
      </c>
      <c r="G420" s="4">
        <v>150.88999999999999</v>
      </c>
      <c r="H420">
        <v>1</v>
      </c>
      <c r="I420" s="4">
        <v>150.88999999999999</v>
      </c>
      <c r="J420">
        <v>4.0999999999999996</v>
      </c>
      <c r="K420" t="s">
        <v>30</v>
      </c>
      <c r="L420" t="s">
        <v>28</v>
      </c>
      <c r="O420"/>
    </row>
    <row r="421" spans="1:15" x14ac:dyDescent="0.3">
      <c r="A421" t="s">
        <v>445</v>
      </c>
      <c r="B421" s="1">
        <v>45692</v>
      </c>
      <c r="C421" t="s">
        <v>22</v>
      </c>
      <c r="D421" t="s">
        <v>21</v>
      </c>
      <c r="E421" s="2">
        <v>12.97</v>
      </c>
      <c r="F421" s="3">
        <v>46.75</v>
      </c>
      <c r="G421" s="4">
        <v>191.84</v>
      </c>
      <c r="H421">
        <v>1</v>
      </c>
      <c r="I421" s="4">
        <v>191.84</v>
      </c>
      <c r="J421">
        <v>3.1</v>
      </c>
      <c r="K421" t="s">
        <v>15</v>
      </c>
      <c r="L421" t="s">
        <v>26</v>
      </c>
      <c r="O421"/>
    </row>
    <row r="422" spans="1:15" x14ac:dyDescent="0.3">
      <c r="A422" t="s">
        <v>446</v>
      </c>
      <c r="B422" s="1">
        <v>46001</v>
      </c>
      <c r="C422" t="s">
        <v>22</v>
      </c>
      <c r="D422" t="s">
        <v>22</v>
      </c>
      <c r="E422" s="2">
        <v>1.79</v>
      </c>
      <c r="F422" s="3">
        <v>7.04</v>
      </c>
      <c r="G422" s="4">
        <v>20.18</v>
      </c>
      <c r="H422">
        <v>1</v>
      </c>
      <c r="I422" s="4">
        <v>20.18</v>
      </c>
      <c r="J422">
        <v>3.6</v>
      </c>
      <c r="K422" t="s">
        <v>15</v>
      </c>
      <c r="L422" t="s">
        <v>16</v>
      </c>
      <c r="O422"/>
    </row>
    <row r="423" spans="1:15" x14ac:dyDescent="0.3">
      <c r="A423" t="s">
        <v>447</v>
      </c>
      <c r="B423" s="1">
        <v>45932</v>
      </c>
      <c r="C423" t="s">
        <v>22</v>
      </c>
      <c r="D423" t="s">
        <v>13</v>
      </c>
      <c r="E423" s="2">
        <v>24.34</v>
      </c>
      <c r="F423" s="3">
        <v>49.56</v>
      </c>
      <c r="G423" s="4">
        <v>477.75</v>
      </c>
      <c r="H423">
        <v>1.5</v>
      </c>
      <c r="I423" s="4">
        <v>716.62</v>
      </c>
      <c r="J423">
        <v>4.0999999999999996</v>
      </c>
      <c r="K423" t="s">
        <v>36</v>
      </c>
      <c r="L423" t="s">
        <v>26</v>
      </c>
      <c r="O423"/>
    </row>
    <row r="424" spans="1:15" x14ac:dyDescent="0.3">
      <c r="A424" t="s">
        <v>448</v>
      </c>
      <c r="B424" s="1">
        <v>45781</v>
      </c>
      <c r="C424" t="s">
        <v>14</v>
      </c>
      <c r="D424" t="s">
        <v>22</v>
      </c>
      <c r="E424" s="2">
        <v>25.05</v>
      </c>
      <c r="F424" s="3">
        <v>64.2</v>
      </c>
      <c r="G424" s="4">
        <v>469.12</v>
      </c>
      <c r="H424">
        <v>1.2</v>
      </c>
      <c r="I424" s="4">
        <v>562.94000000000005</v>
      </c>
      <c r="J424">
        <v>3.4</v>
      </c>
      <c r="K424" t="s">
        <v>36</v>
      </c>
      <c r="L424" t="s">
        <v>26</v>
      </c>
      <c r="O424"/>
    </row>
    <row r="425" spans="1:15" x14ac:dyDescent="0.3">
      <c r="A425" t="s">
        <v>449</v>
      </c>
      <c r="B425" s="1">
        <v>45974</v>
      </c>
      <c r="C425" t="s">
        <v>14</v>
      </c>
      <c r="D425" t="s">
        <v>21</v>
      </c>
      <c r="E425" s="2">
        <v>2.98</v>
      </c>
      <c r="F425" s="3">
        <v>7.53</v>
      </c>
      <c r="G425" s="4">
        <v>31.17</v>
      </c>
      <c r="H425">
        <v>1</v>
      </c>
      <c r="I425" s="4">
        <v>31.17</v>
      </c>
      <c r="J425">
        <v>3.9</v>
      </c>
      <c r="K425" t="s">
        <v>36</v>
      </c>
      <c r="L425" t="s">
        <v>16</v>
      </c>
      <c r="O425"/>
    </row>
    <row r="426" spans="1:15" x14ac:dyDescent="0.3">
      <c r="A426" t="s">
        <v>450</v>
      </c>
      <c r="B426" s="1">
        <v>45746</v>
      </c>
      <c r="C426" t="s">
        <v>25</v>
      </c>
      <c r="D426" t="s">
        <v>25</v>
      </c>
      <c r="E426" s="2">
        <v>24.91</v>
      </c>
      <c r="F426" s="3">
        <v>53.52</v>
      </c>
      <c r="G426" s="4">
        <v>305.48</v>
      </c>
      <c r="H426">
        <v>1.2</v>
      </c>
      <c r="I426" s="4">
        <v>366.58</v>
      </c>
      <c r="J426">
        <v>4.5</v>
      </c>
      <c r="K426" t="s">
        <v>15</v>
      </c>
      <c r="L426" t="s">
        <v>26</v>
      </c>
      <c r="O426"/>
    </row>
    <row r="427" spans="1:15" x14ac:dyDescent="0.3">
      <c r="A427" t="s">
        <v>451</v>
      </c>
      <c r="B427" s="1">
        <v>45853</v>
      </c>
      <c r="C427" t="s">
        <v>14</v>
      </c>
      <c r="D427" t="s">
        <v>21</v>
      </c>
      <c r="E427" s="2">
        <v>2.87</v>
      </c>
      <c r="F427" s="3">
        <v>10.78</v>
      </c>
      <c r="G427" s="4">
        <v>53.88</v>
      </c>
      <c r="H427">
        <v>1</v>
      </c>
      <c r="I427" s="4">
        <v>53.88</v>
      </c>
      <c r="J427">
        <v>4.2</v>
      </c>
      <c r="K427" t="s">
        <v>36</v>
      </c>
      <c r="L427" t="s">
        <v>16</v>
      </c>
      <c r="O427"/>
    </row>
    <row r="428" spans="1:15" x14ac:dyDescent="0.3">
      <c r="A428" t="s">
        <v>452</v>
      </c>
      <c r="B428" s="1">
        <v>45777</v>
      </c>
      <c r="C428" t="s">
        <v>14</v>
      </c>
      <c r="D428" t="s">
        <v>21</v>
      </c>
      <c r="E428" s="2">
        <v>6.37</v>
      </c>
      <c r="F428" s="3">
        <v>13.75</v>
      </c>
      <c r="G428" s="4">
        <v>78.959999999999994</v>
      </c>
      <c r="H428">
        <v>1</v>
      </c>
      <c r="I428" s="4">
        <v>78.959999999999994</v>
      </c>
      <c r="J428">
        <v>3.6</v>
      </c>
      <c r="K428" t="s">
        <v>15</v>
      </c>
      <c r="L428" t="s">
        <v>28</v>
      </c>
      <c r="O428"/>
    </row>
    <row r="429" spans="1:15" x14ac:dyDescent="0.3">
      <c r="A429" t="s">
        <v>453</v>
      </c>
      <c r="B429" s="1">
        <v>45925</v>
      </c>
      <c r="C429" t="s">
        <v>25</v>
      </c>
      <c r="D429" t="s">
        <v>14</v>
      </c>
      <c r="E429" s="2">
        <v>17.899999999999999</v>
      </c>
      <c r="F429" s="3">
        <v>71.44</v>
      </c>
      <c r="G429" s="4">
        <v>332.17</v>
      </c>
      <c r="H429">
        <v>1.5</v>
      </c>
      <c r="I429" s="4">
        <v>498.26</v>
      </c>
      <c r="J429">
        <v>4.3</v>
      </c>
      <c r="K429" t="s">
        <v>15</v>
      </c>
      <c r="L429" t="s">
        <v>26</v>
      </c>
      <c r="O429"/>
    </row>
    <row r="430" spans="1:15" x14ac:dyDescent="0.3">
      <c r="A430" t="s">
        <v>454</v>
      </c>
      <c r="B430" s="1">
        <v>45961</v>
      </c>
      <c r="C430" t="s">
        <v>14</v>
      </c>
      <c r="D430" t="s">
        <v>13</v>
      </c>
      <c r="E430" s="2">
        <v>25.11</v>
      </c>
      <c r="F430" s="3">
        <v>80.3</v>
      </c>
      <c r="G430" s="4">
        <v>279.95999999999998</v>
      </c>
      <c r="H430">
        <v>1</v>
      </c>
      <c r="I430" s="4">
        <v>279.95999999999998</v>
      </c>
      <c r="J430">
        <v>4.0999999999999996</v>
      </c>
      <c r="K430" t="s">
        <v>15</v>
      </c>
      <c r="L430" t="s">
        <v>19</v>
      </c>
      <c r="O430"/>
    </row>
    <row r="431" spans="1:15" x14ac:dyDescent="0.3">
      <c r="A431" t="s">
        <v>455</v>
      </c>
      <c r="B431" s="1">
        <v>45981</v>
      </c>
      <c r="C431" t="s">
        <v>22</v>
      </c>
      <c r="D431" t="s">
        <v>22</v>
      </c>
      <c r="E431" s="2">
        <v>26.19</v>
      </c>
      <c r="F431" s="3">
        <v>55.77</v>
      </c>
      <c r="G431" s="4">
        <v>512.23</v>
      </c>
      <c r="H431">
        <v>2</v>
      </c>
      <c r="I431" s="4">
        <v>1024.46</v>
      </c>
      <c r="J431">
        <v>4</v>
      </c>
      <c r="K431" t="s">
        <v>15</v>
      </c>
      <c r="L431" t="s">
        <v>28</v>
      </c>
      <c r="O431"/>
    </row>
    <row r="432" spans="1:15" x14ac:dyDescent="0.3">
      <c r="A432" t="s">
        <v>456</v>
      </c>
      <c r="B432" s="1">
        <v>45989</v>
      </c>
      <c r="C432" t="s">
        <v>13</v>
      </c>
      <c r="D432" t="s">
        <v>21</v>
      </c>
      <c r="E432" s="2">
        <v>27.41</v>
      </c>
      <c r="F432" s="3">
        <v>80.28</v>
      </c>
      <c r="G432" s="4">
        <v>311.8</v>
      </c>
      <c r="H432">
        <v>1.5</v>
      </c>
      <c r="I432" s="4">
        <v>467.7</v>
      </c>
      <c r="J432">
        <v>4.8</v>
      </c>
      <c r="K432" t="s">
        <v>18</v>
      </c>
      <c r="L432" t="s">
        <v>19</v>
      </c>
      <c r="O432"/>
    </row>
    <row r="433" spans="1:15" x14ac:dyDescent="0.3">
      <c r="A433" t="s">
        <v>457</v>
      </c>
      <c r="B433" s="1">
        <v>45750</v>
      </c>
      <c r="C433" t="s">
        <v>22</v>
      </c>
      <c r="D433" t="s">
        <v>14</v>
      </c>
      <c r="E433" s="2">
        <v>5.95</v>
      </c>
      <c r="F433" s="3">
        <v>23.18</v>
      </c>
      <c r="G433" s="4">
        <v>85.99</v>
      </c>
      <c r="H433">
        <v>1</v>
      </c>
      <c r="I433" s="4">
        <v>85.99</v>
      </c>
      <c r="J433">
        <v>4.4000000000000004</v>
      </c>
      <c r="K433" t="s">
        <v>36</v>
      </c>
      <c r="L433" t="s">
        <v>26</v>
      </c>
      <c r="O433"/>
    </row>
    <row r="434" spans="1:15" x14ac:dyDescent="0.3">
      <c r="A434" t="s">
        <v>458</v>
      </c>
      <c r="B434" s="1">
        <v>45789</v>
      </c>
      <c r="C434" t="s">
        <v>13</v>
      </c>
      <c r="D434" t="s">
        <v>21</v>
      </c>
      <c r="E434" s="2">
        <v>20.62</v>
      </c>
      <c r="F434" s="3">
        <v>46.67</v>
      </c>
      <c r="G434" s="4">
        <v>254.49</v>
      </c>
      <c r="H434">
        <v>2</v>
      </c>
      <c r="I434" s="4">
        <v>508.98</v>
      </c>
      <c r="J434">
        <v>4</v>
      </c>
      <c r="K434" t="s">
        <v>15</v>
      </c>
      <c r="L434" t="s">
        <v>28</v>
      </c>
      <c r="O434"/>
    </row>
    <row r="435" spans="1:15" x14ac:dyDescent="0.3">
      <c r="A435" t="s">
        <v>459</v>
      </c>
      <c r="B435" s="1">
        <v>45999</v>
      </c>
      <c r="C435" t="s">
        <v>13</v>
      </c>
      <c r="D435" t="s">
        <v>13</v>
      </c>
      <c r="E435" s="2">
        <v>8.6199999999999992</v>
      </c>
      <c r="F435" s="3">
        <v>21.92</v>
      </c>
      <c r="G435" s="4">
        <v>126.96</v>
      </c>
      <c r="H435">
        <v>1</v>
      </c>
      <c r="I435" s="4">
        <v>126.96</v>
      </c>
      <c r="J435">
        <v>4</v>
      </c>
      <c r="K435" t="s">
        <v>33</v>
      </c>
      <c r="L435" t="s">
        <v>28</v>
      </c>
      <c r="O435"/>
    </row>
    <row r="436" spans="1:15" x14ac:dyDescent="0.3">
      <c r="A436" t="s">
        <v>460</v>
      </c>
      <c r="B436" s="1">
        <v>45744</v>
      </c>
      <c r="C436" t="s">
        <v>25</v>
      </c>
      <c r="D436" t="s">
        <v>21</v>
      </c>
      <c r="E436" s="2">
        <v>12.8</v>
      </c>
      <c r="F436" s="3">
        <v>48.42</v>
      </c>
      <c r="G436" s="4">
        <v>128.37</v>
      </c>
      <c r="H436">
        <v>1</v>
      </c>
      <c r="I436" s="4">
        <v>128.37</v>
      </c>
      <c r="J436">
        <v>3.9</v>
      </c>
      <c r="K436" t="s">
        <v>15</v>
      </c>
      <c r="L436" t="s">
        <v>19</v>
      </c>
      <c r="O436"/>
    </row>
    <row r="437" spans="1:15" x14ac:dyDescent="0.3">
      <c r="A437" t="s">
        <v>461</v>
      </c>
      <c r="B437" s="1">
        <v>45875</v>
      </c>
      <c r="C437" t="s">
        <v>13</v>
      </c>
      <c r="D437" t="s">
        <v>13</v>
      </c>
      <c r="E437" s="2">
        <v>27.31</v>
      </c>
      <c r="F437" s="3">
        <v>67.67</v>
      </c>
      <c r="G437" s="4">
        <v>401.36</v>
      </c>
      <c r="H437">
        <v>1</v>
      </c>
      <c r="I437" s="4">
        <v>401.36</v>
      </c>
      <c r="J437">
        <v>3.7</v>
      </c>
      <c r="K437" t="s">
        <v>18</v>
      </c>
      <c r="L437" t="s">
        <v>19</v>
      </c>
      <c r="O437"/>
    </row>
    <row r="438" spans="1:15" x14ac:dyDescent="0.3">
      <c r="A438" t="s">
        <v>462</v>
      </c>
      <c r="B438" s="1">
        <v>45898</v>
      </c>
      <c r="C438" t="s">
        <v>13</v>
      </c>
      <c r="D438" t="s">
        <v>25</v>
      </c>
      <c r="E438" s="2">
        <v>19.05</v>
      </c>
      <c r="F438" s="3">
        <v>56</v>
      </c>
      <c r="G438" s="4">
        <v>275.74</v>
      </c>
      <c r="H438">
        <v>2</v>
      </c>
      <c r="I438" s="4">
        <v>551.48</v>
      </c>
      <c r="J438">
        <v>3.4</v>
      </c>
      <c r="K438" t="s">
        <v>15</v>
      </c>
      <c r="L438" t="s">
        <v>19</v>
      </c>
      <c r="O438"/>
    </row>
    <row r="439" spans="1:15" x14ac:dyDescent="0.3">
      <c r="A439" t="s">
        <v>463</v>
      </c>
      <c r="B439" s="1">
        <v>45798</v>
      </c>
      <c r="C439" t="s">
        <v>21</v>
      </c>
      <c r="D439" t="s">
        <v>21</v>
      </c>
      <c r="E439" s="2">
        <v>16.57</v>
      </c>
      <c r="F439" s="3">
        <v>61.45</v>
      </c>
      <c r="G439" s="4">
        <v>173.9</v>
      </c>
      <c r="H439">
        <v>2</v>
      </c>
      <c r="I439" s="4">
        <v>347.8</v>
      </c>
      <c r="J439">
        <v>3.1</v>
      </c>
      <c r="K439" t="s">
        <v>33</v>
      </c>
      <c r="L439" t="s">
        <v>28</v>
      </c>
      <c r="O439"/>
    </row>
    <row r="440" spans="1:15" x14ac:dyDescent="0.3">
      <c r="A440" t="s">
        <v>464</v>
      </c>
      <c r="B440" s="1">
        <v>46010</v>
      </c>
      <c r="C440" t="s">
        <v>22</v>
      </c>
      <c r="D440" t="s">
        <v>25</v>
      </c>
      <c r="E440" s="2">
        <v>10.83</v>
      </c>
      <c r="F440" s="3">
        <v>39.04</v>
      </c>
      <c r="G440" s="4">
        <v>170.25</v>
      </c>
      <c r="H440">
        <v>1.2</v>
      </c>
      <c r="I440" s="4">
        <v>204.3</v>
      </c>
      <c r="J440">
        <v>3.8</v>
      </c>
      <c r="K440" t="s">
        <v>30</v>
      </c>
      <c r="L440" t="s">
        <v>28</v>
      </c>
      <c r="O440"/>
    </row>
    <row r="441" spans="1:15" x14ac:dyDescent="0.3">
      <c r="A441" t="s">
        <v>465</v>
      </c>
      <c r="B441" s="1">
        <v>45967</v>
      </c>
      <c r="C441" t="s">
        <v>22</v>
      </c>
      <c r="D441" t="s">
        <v>25</v>
      </c>
      <c r="E441" s="2">
        <v>28.02</v>
      </c>
      <c r="F441" s="3">
        <v>78.290000000000006</v>
      </c>
      <c r="G441" s="4">
        <v>304.60000000000002</v>
      </c>
      <c r="H441">
        <v>1</v>
      </c>
      <c r="I441" s="4">
        <v>304.60000000000002</v>
      </c>
      <c r="J441">
        <v>4.5999999999999996</v>
      </c>
      <c r="K441" t="s">
        <v>36</v>
      </c>
      <c r="L441" t="s">
        <v>16</v>
      </c>
      <c r="O441"/>
    </row>
    <row r="442" spans="1:15" x14ac:dyDescent="0.3">
      <c r="A442" t="s">
        <v>466</v>
      </c>
      <c r="B442" s="1">
        <v>45934</v>
      </c>
      <c r="C442" t="s">
        <v>22</v>
      </c>
      <c r="D442" t="s">
        <v>25</v>
      </c>
      <c r="E442" s="2">
        <v>11.01</v>
      </c>
      <c r="F442" s="3">
        <v>33.19</v>
      </c>
      <c r="G442" s="4">
        <v>206.35</v>
      </c>
      <c r="H442">
        <v>1</v>
      </c>
      <c r="I442" s="4">
        <v>206.35</v>
      </c>
      <c r="J442">
        <v>4.4000000000000004</v>
      </c>
      <c r="K442" t="s">
        <v>30</v>
      </c>
      <c r="L442" t="s">
        <v>19</v>
      </c>
      <c r="O442"/>
    </row>
    <row r="443" spans="1:15" x14ac:dyDescent="0.3">
      <c r="A443" t="s">
        <v>467</v>
      </c>
      <c r="B443" s="1">
        <v>45804</v>
      </c>
      <c r="C443" t="s">
        <v>13</v>
      </c>
      <c r="D443" t="s">
        <v>22</v>
      </c>
      <c r="E443" s="2">
        <v>14.07</v>
      </c>
      <c r="F443" s="3">
        <v>54.29</v>
      </c>
      <c r="G443" s="4">
        <v>163.94</v>
      </c>
      <c r="H443">
        <v>2</v>
      </c>
      <c r="I443" s="4">
        <v>327.88</v>
      </c>
      <c r="J443">
        <v>3.8</v>
      </c>
      <c r="K443" t="s">
        <v>15</v>
      </c>
      <c r="L443" t="s">
        <v>16</v>
      </c>
      <c r="O443"/>
    </row>
    <row r="444" spans="1:15" x14ac:dyDescent="0.3">
      <c r="A444" t="s">
        <v>468</v>
      </c>
      <c r="B444" s="1">
        <v>45989</v>
      </c>
      <c r="C444" t="s">
        <v>14</v>
      </c>
      <c r="D444" t="s">
        <v>22</v>
      </c>
      <c r="E444" s="2">
        <v>26.59</v>
      </c>
      <c r="F444" s="3">
        <v>88.86</v>
      </c>
      <c r="G444" s="4">
        <v>334.55</v>
      </c>
      <c r="H444">
        <v>1</v>
      </c>
      <c r="I444" s="4">
        <v>334.55</v>
      </c>
      <c r="J444">
        <v>3.6</v>
      </c>
      <c r="K444" t="s">
        <v>36</v>
      </c>
      <c r="L444" t="s">
        <v>26</v>
      </c>
      <c r="O444"/>
    </row>
    <row r="445" spans="1:15" x14ac:dyDescent="0.3">
      <c r="A445" t="s">
        <v>469</v>
      </c>
      <c r="B445" s="1">
        <v>45958</v>
      </c>
      <c r="C445" t="s">
        <v>25</v>
      </c>
      <c r="D445" t="s">
        <v>25</v>
      </c>
      <c r="E445" s="2">
        <v>21.83</v>
      </c>
      <c r="F445" s="3">
        <v>85.31</v>
      </c>
      <c r="G445" s="4">
        <v>375.78</v>
      </c>
      <c r="H445">
        <v>1</v>
      </c>
      <c r="I445" s="4">
        <v>375.78</v>
      </c>
      <c r="J445">
        <v>4.3</v>
      </c>
      <c r="K445" t="s">
        <v>18</v>
      </c>
      <c r="L445" t="s">
        <v>28</v>
      </c>
      <c r="O445"/>
    </row>
    <row r="446" spans="1:15" x14ac:dyDescent="0.3">
      <c r="A446" t="s">
        <v>470</v>
      </c>
      <c r="B446" s="1">
        <v>46000</v>
      </c>
      <c r="C446" t="s">
        <v>22</v>
      </c>
      <c r="D446" t="s">
        <v>13</v>
      </c>
      <c r="E446" s="2">
        <v>21.81</v>
      </c>
      <c r="F446" s="3">
        <v>79.81</v>
      </c>
      <c r="G446" s="4">
        <v>226.95</v>
      </c>
      <c r="H446">
        <v>2</v>
      </c>
      <c r="I446" s="4">
        <v>453.9</v>
      </c>
      <c r="J446">
        <v>4.4000000000000004</v>
      </c>
      <c r="K446" t="s">
        <v>18</v>
      </c>
      <c r="L446" t="s">
        <v>26</v>
      </c>
      <c r="O446"/>
    </row>
    <row r="447" spans="1:15" x14ac:dyDescent="0.3">
      <c r="A447" t="s">
        <v>471</v>
      </c>
      <c r="B447" s="1">
        <v>45981</v>
      </c>
      <c r="C447" t="s">
        <v>13</v>
      </c>
      <c r="D447" t="s">
        <v>14</v>
      </c>
      <c r="E447" s="2">
        <v>12.13</v>
      </c>
      <c r="F447" s="3">
        <v>35.33</v>
      </c>
      <c r="G447" s="4">
        <v>166.07</v>
      </c>
      <c r="H447">
        <v>1.5</v>
      </c>
      <c r="I447" s="4">
        <v>249.1</v>
      </c>
      <c r="J447">
        <v>4.2</v>
      </c>
      <c r="K447" t="s">
        <v>33</v>
      </c>
      <c r="L447" t="s">
        <v>26</v>
      </c>
      <c r="O447"/>
    </row>
    <row r="448" spans="1:15" x14ac:dyDescent="0.3">
      <c r="A448" t="s">
        <v>472</v>
      </c>
      <c r="B448" s="1">
        <v>45741</v>
      </c>
      <c r="C448" t="s">
        <v>21</v>
      </c>
      <c r="D448" t="s">
        <v>25</v>
      </c>
      <c r="E448" s="2">
        <v>27.11</v>
      </c>
      <c r="F448" s="3">
        <v>76.14</v>
      </c>
      <c r="G448" s="4">
        <v>358.15</v>
      </c>
      <c r="H448">
        <v>1</v>
      </c>
      <c r="I448" s="4">
        <v>358.15</v>
      </c>
      <c r="J448">
        <v>4.9000000000000004</v>
      </c>
      <c r="K448" t="s">
        <v>30</v>
      </c>
      <c r="L448" t="s">
        <v>19</v>
      </c>
      <c r="O448"/>
    </row>
    <row r="449" spans="1:15" x14ac:dyDescent="0.3">
      <c r="A449" t="s">
        <v>473</v>
      </c>
      <c r="B449" s="1">
        <v>45942</v>
      </c>
      <c r="C449" t="s">
        <v>25</v>
      </c>
      <c r="D449" t="s">
        <v>14</v>
      </c>
      <c r="E449" s="2">
        <v>20.68</v>
      </c>
      <c r="F449" s="3">
        <v>56.33</v>
      </c>
      <c r="G449" s="4">
        <v>329.57</v>
      </c>
      <c r="H449">
        <v>1.2</v>
      </c>
      <c r="I449" s="4">
        <v>395.48</v>
      </c>
      <c r="J449">
        <v>4</v>
      </c>
      <c r="K449" t="s">
        <v>33</v>
      </c>
      <c r="L449" t="s">
        <v>19</v>
      </c>
      <c r="O449"/>
    </row>
    <row r="450" spans="1:15" x14ac:dyDescent="0.3">
      <c r="A450" t="s">
        <v>474</v>
      </c>
      <c r="B450" s="1">
        <v>45708</v>
      </c>
      <c r="C450" t="s">
        <v>14</v>
      </c>
      <c r="D450" t="s">
        <v>13</v>
      </c>
      <c r="E450" s="2">
        <v>27.49</v>
      </c>
      <c r="F450" s="3">
        <v>88.66</v>
      </c>
      <c r="G450" s="4">
        <v>515.08000000000004</v>
      </c>
      <c r="H450">
        <v>2</v>
      </c>
      <c r="I450" s="4">
        <v>1030.1600000000001</v>
      </c>
      <c r="J450">
        <v>4.3</v>
      </c>
      <c r="K450" t="s">
        <v>30</v>
      </c>
      <c r="L450" t="s">
        <v>26</v>
      </c>
      <c r="O450"/>
    </row>
    <row r="451" spans="1:15" x14ac:dyDescent="0.3">
      <c r="A451" t="s">
        <v>475</v>
      </c>
      <c r="B451" s="1">
        <v>45774</v>
      </c>
      <c r="C451" t="s">
        <v>13</v>
      </c>
      <c r="D451" t="s">
        <v>25</v>
      </c>
      <c r="E451" s="2">
        <v>27.17</v>
      </c>
      <c r="F451" s="3">
        <v>57.95</v>
      </c>
      <c r="G451" s="4">
        <v>416.78</v>
      </c>
      <c r="H451">
        <v>2</v>
      </c>
      <c r="I451" s="4">
        <v>833.56</v>
      </c>
      <c r="J451">
        <v>4.5999999999999996</v>
      </c>
      <c r="K451" t="s">
        <v>18</v>
      </c>
      <c r="L451" t="s">
        <v>16</v>
      </c>
      <c r="O451"/>
    </row>
    <row r="452" spans="1:15" x14ac:dyDescent="0.3">
      <c r="A452" t="s">
        <v>476</v>
      </c>
      <c r="B452" s="1">
        <v>45925</v>
      </c>
      <c r="C452" t="s">
        <v>14</v>
      </c>
      <c r="D452" t="s">
        <v>25</v>
      </c>
      <c r="E452" s="2">
        <v>9.56</v>
      </c>
      <c r="F452" s="3">
        <v>28.41</v>
      </c>
      <c r="G452" s="4">
        <v>150.78</v>
      </c>
      <c r="H452">
        <v>1.2</v>
      </c>
      <c r="I452" s="4">
        <v>180.94</v>
      </c>
      <c r="J452">
        <v>4.8</v>
      </c>
      <c r="K452" t="s">
        <v>18</v>
      </c>
      <c r="L452" t="s">
        <v>19</v>
      </c>
      <c r="O452"/>
    </row>
    <row r="453" spans="1:15" x14ac:dyDescent="0.3">
      <c r="A453" t="s">
        <v>477</v>
      </c>
      <c r="B453" s="1">
        <v>45719</v>
      </c>
      <c r="C453" t="s">
        <v>22</v>
      </c>
      <c r="D453" t="s">
        <v>22</v>
      </c>
      <c r="E453" s="2">
        <v>17.2</v>
      </c>
      <c r="F453" s="3">
        <v>46.2</v>
      </c>
      <c r="G453" s="4">
        <v>297.42</v>
      </c>
      <c r="H453">
        <v>1</v>
      </c>
      <c r="I453" s="4">
        <v>297.42</v>
      </c>
      <c r="J453">
        <v>3.1</v>
      </c>
      <c r="K453" t="s">
        <v>33</v>
      </c>
      <c r="L453" t="s">
        <v>19</v>
      </c>
      <c r="O453"/>
    </row>
    <row r="454" spans="1:15" x14ac:dyDescent="0.3">
      <c r="A454" t="s">
        <v>478</v>
      </c>
      <c r="B454" s="1">
        <v>45934</v>
      </c>
      <c r="C454" t="s">
        <v>21</v>
      </c>
      <c r="D454" t="s">
        <v>21</v>
      </c>
      <c r="E454" s="2">
        <v>21.08</v>
      </c>
      <c r="F454" s="3">
        <v>60.29</v>
      </c>
      <c r="G454" s="4">
        <v>352.66</v>
      </c>
      <c r="H454">
        <v>1.5</v>
      </c>
      <c r="I454" s="4">
        <v>528.99</v>
      </c>
      <c r="J454">
        <v>4.0999999999999996</v>
      </c>
      <c r="K454" t="s">
        <v>33</v>
      </c>
      <c r="L454" t="s">
        <v>19</v>
      </c>
      <c r="O454"/>
    </row>
    <row r="455" spans="1:15" x14ac:dyDescent="0.3">
      <c r="A455" t="s">
        <v>479</v>
      </c>
      <c r="B455" s="1">
        <v>45779</v>
      </c>
      <c r="C455" t="s">
        <v>14</v>
      </c>
      <c r="D455" t="s">
        <v>22</v>
      </c>
      <c r="E455" s="2">
        <v>18.12</v>
      </c>
      <c r="F455" s="3">
        <v>44.44</v>
      </c>
      <c r="G455" s="4">
        <v>250.82</v>
      </c>
      <c r="H455">
        <v>1.5</v>
      </c>
      <c r="I455" s="4">
        <v>376.23</v>
      </c>
      <c r="J455">
        <v>4.7</v>
      </c>
      <c r="K455" t="s">
        <v>30</v>
      </c>
      <c r="L455" t="s">
        <v>19</v>
      </c>
      <c r="O455"/>
    </row>
    <row r="456" spans="1:15" x14ac:dyDescent="0.3">
      <c r="A456" t="s">
        <v>480</v>
      </c>
      <c r="B456" s="1">
        <v>45992</v>
      </c>
      <c r="C456" t="s">
        <v>25</v>
      </c>
      <c r="D456" t="s">
        <v>14</v>
      </c>
      <c r="E456" s="2">
        <v>23.02</v>
      </c>
      <c r="F456" s="3">
        <v>50.59</v>
      </c>
      <c r="G456" s="4">
        <v>435</v>
      </c>
      <c r="H456">
        <v>2</v>
      </c>
      <c r="I456" s="4">
        <v>870</v>
      </c>
      <c r="J456">
        <v>3.7</v>
      </c>
      <c r="K456" t="s">
        <v>15</v>
      </c>
      <c r="L456" t="s">
        <v>26</v>
      </c>
      <c r="O456"/>
    </row>
    <row r="457" spans="1:15" x14ac:dyDescent="0.3">
      <c r="A457" t="s">
        <v>481</v>
      </c>
      <c r="B457" s="1">
        <v>45970</v>
      </c>
      <c r="C457" t="s">
        <v>14</v>
      </c>
      <c r="D457" t="s">
        <v>25</v>
      </c>
      <c r="E457" s="2">
        <v>1.8</v>
      </c>
      <c r="F457" s="3">
        <v>5.01</v>
      </c>
      <c r="G457" s="4">
        <v>27.46</v>
      </c>
      <c r="H457">
        <v>1.2</v>
      </c>
      <c r="I457" s="4">
        <v>32.950000000000003</v>
      </c>
      <c r="J457">
        <v>3.3</v>
      </c>
      <c r="K457" t="s">
        <v>15</v>
      </c>
      <c r="L457" t="s">
        <v>26</v>
      </c>
      <c r="O457"/>
    </row>
    <row r="458" spans="1:15" x14ac:dyDescent="0.3">
      <c r="A458" t="s">
        <v>482</v>
      </c>
      <c r="B458" s="1">
        <v>45664</v>
      </c>
      <c r="C458" t="s">
        <v>14</v>
      </c>
      <c r="D458" t="s">
        <v>13</v>
      </c>
      <c r="E458" s="2">
        <v>5.14</v>
      </c>
      <c r="F458" s="3">
        <v>19.43</v>
      </c>
      <c r="G458" s="4">
        <v>69.180000000000007</v>
      </c>
      <c r="H458">
        <v>2</v>
      </c>
      <c r="I458" s="4">
        <v>138.36000000000001</v>
      </c>
      <c r="J458">
        <v>3.7</v>
      </c>
      <c r="K458" t="s">
        <v>15</v>
      </c>
      <c r="L458" t="s">
        <v>19</v>
      </c>
      <c r="O458"/>
    </row>
    <row r="459" spans="1:15" x14ac:dyDescent="0.3">
      <c r="A459" t="s">
        <v>483</v>
      </c>
      <c r="B459" s="1">
        <v>45859</v>
      </c>
      <c r="C459" t="s">
        <v>14</v>
      </c>
      <c r="D459" t="s">
        <v>22</v>
      </c>
      <c r="E459" s="2">
        <v>19.73</v>
      </c>
      <c r="F459" s="3">
        <v>64.59</v>
      </c>
      <c r="G459" s="4">
        <v>264.5</v>
      </c>
      <c r="H459">
        <v>1.5</v>
      </c>
      <c r="I459" s="4">
        <v>396.75</v>
      </c>
      <c r="J459">
        <v>4.5999999999999996</v>
      </c>
      <c r="K459" t="s">
        <v>30</v>
      </c>
      <c r="L459" t="s">
        <v>28</v>
      </c>
      <c r="O459"/>
    </row>
    <row r="460" spans="1:15" x14ac:dyDescent="0.3">
      <c r="A460" t="s">
        <v>484</v>
      </c>
      <c r="B460" s="1">
        <v>45962</v>
      </c>
      <c r="C460" t="s">
        <v>13</v>
      </c>
      <c r="D460" t="s">
        <v>21</v>
      </c>
      <c r="E460" s="2">
        <v>3.94</v>
      </c>
      <c r="F460" s="3">
        <v>14.56</v>
      </c>
      <c r="G460" s="4">
        <v>60.32</v>
      </c>
      <c r="H460">
        <v>2</v>
      </c>
      <c r="I460" s="4">
        <v>120.64</v>
      </c>
      <c r="J460">
        <v>3.4</v>
      </c>
      <c r="K460" t="s">
        <v>30</v>
      </c>
      <c r="L460" t="s">
        <v>28</v>
      </c>
      <c r="O460"/>
    </row>
    <row r="461" spans="1:15" x14ac:dyDescent="0.3">
      <c r="A461" t="s">
        <v>485</v>
      </c>
      <c r="B461" s="1">
        <v>45861</v>
      </c>
      <c r="C461" t="s">
        <v>25</v>
      </c>
      <c r="D461" t="s">
        <v>21</v>
      </c>
      <c r="E461" s="2">
        <v>17.23</v>
      </c>
      <c r="F461" s="3">
        <v>38.090000000000003</v>
      </c>
      <c r="G461" s="4">
        <v>201.14</v>
      </c>
      <c r="H461">
        <v>1.2</v>
      </c>
      <c r="I461" s="4">
        <v>241.37</v>
      </c>
      <c r="J461">
        <v>4</v>
      </c>
      <c r="K461" t="s">
        <v>33</v>
      </c>
      <c r="L461" t="s">
        <v>26</v>
      </c>
      <c r="O461"/>
    </row>
    <row r="462" spans="1:15" x14ac:dyDescent="0.3">
      <c r="A462" t="s">
        <v>486</v>
      </c>
      <c r="B462" s="1">
        <v>46001</v>
      </c>
      <c r="C462" t="s">
        <v>25</v>
      </c>
      <c r="D462" t="s">
        <v>14</v>
      </c>
      <c r="E462" s="2">
        <v>15.66</v>
      </c>
      <c r="F462" s="3">
        <v>61.51</v>
      </c>
      <c r="G462" s="4">
        <v>216.77</v>
      </c>
      <c r="H462">
        <v>1.5</v>
      </c>
      <c r="I462" s="4">
        <v>325.16000000000003</v>
      </c>
      <c r="J462">
        <v>3.4</v>
      </c>
      <c r="K462" t="s">
        <v>30</v>
      </c>
      <c r="L462" t="s">
        <v>16</v>
      </c>
      <c r="O462"/>
    </row>
    <row r="463" spans="1:15" x14ac:dyDescent="0.3">
      <c r="A463" t="s">
        <v>487</v>
      </c>
      <c r="B463" s="1">
        <v>46020</v>
      </c>
      <c r="C463" t="s">
        <v>13</v>
      </c>
      <c r="D463" t="s">
        <v>25</v>
      </c>
      <c r="E463" s="2">
        <v>12.25</v>
      </c>
      <c r="F463" s="3">
        <v>28.42</v>
      </c>
      <c r="G463" s="4">
        <v>125.36</v>
      </c>
      <c r="H463">
        <v>1.5</v>
      </c>
      <c r="I463" s="4">
        <v>188.04</v>
      </c>
      <c r="J463">
        <v>3.3</v>
      </c>
      <c r="K463" t="s">
        <v>30</v>
      </c>
      <c r="L463" t="s">
        <v>28</v>
      </c>
      <c r="O463"/>
    </row>
    <row r="464" spans="1:15" x14ac:dyDescent="0.3">
      <c r="A464" t="s">
        <v>488</v>
      </c>
      <c r="B464" s="1">
        <v>45902</v>
      </c>
      <c r="C464" t="s">
        <v>25</v>
      </c>
      <c r="D464" t="s">
        <v>25</v>
      </c>
      <c r="E464" s="2">
        <v>9.39</v>
      </c>
      <c r="F464" s="3">
        <v>35.68</v>
      </c>
      <c r="G464" s="4">
        <v>104.81</v>
      </c>
      <c r="H464">
        <v>1.2</v>
      </c>
      <c r="I464" s="4">
        <v>125.77</v>
      </c>
      <c r="J464">
        <v>3.7</v>
      </c>
      <c r="K464" t="s">
        <v>30</v>
      </c>
      <c r="L464" t="s">
        <v>19</v>
      </c>
      <c r="O464"/>
    </row>
    <row r="465" spans="1:15" x14ac:dyDescent="0.3">
      <c r="A465" t="s">
        <v>489</v>
      </c>
      <c r="B465" s="1">
        <v>45692</v>
      </c>
      <c r="C465" t="s">
        <v>13</v>
      </c>
      <c r="D465" t="s">
        <v>22</v>
      </c>
      <c r="E465" s="2">
        <v>26.76</v>
      </c>
      <c r="F465" s="3">
        <v>85.79</v>
      </c>
      <c r="G465" s="4">
        <v>488.83</v>
      </c>
      <c r="H465">
        <v>1</v>
      </c>
      <c r="I465" s="4">
        <v>488.83</v>
      </c>
      <c r="J465">
        <v>3.2</v>
      </c>
      <c r="K465" t="s">
        <v>30</v>
      </c>
      <c r="L465" t="s">
        <v>28</v>
      </c>
      <c r="O465"/>
    </row>
    <row r="466" spans="1:15" x14ac:dyDescent="0.3">
      <c r="A466" t="s">
        <v>490</v>
      </c>
      <c r="B466" s="1">
        <v>45716</v>
      </c>
      <c r="C466" t="s">
        <v>14</v>
      </c>
      <c r="D466" t="s">
        <v>13</v>
      </c>
      <c r="E466" s="2">
        <v>28.87</v>
      </c>
      <c r="F466" s="3">
        <v>80.23</v>
      </c>
      <c r="G466" s="4">
        <v>400</v>
      </c>
      <c r="H466">
        <v>2</v>
      </c>
      <c r="I466" s="4">
        <v>800</v>
      </c>
      <c r="J466">
        <v>4.5</v>
      </c>
      <c r="K466" t="s">
        <v>18</v>
      </c>
      <c r="L466" t="s">
        <v>16</v>
      </c>
      <c r="O466"/>
    </row>
    <row r="467" spans="1:15" x14ac:dyDescent="0.3">
      <c r="A467" t="s">
        <v>491</v>
      </c>
      <c r="B467" s="1">
        <v>45726</v>
      </c>
      <c r="C467" t="s">
        <v>22</v>
      </c>
      <c r="D467" t="s">
        <v>22</v>
      </c>
      <c r="E467" s="2">
        <v>5.47</v>
      </c>
      <c r="F467" s="3">
        <v>17</v>
      </c>
      <c r="G467" s="4">
        <v>84.33</v>
      </c>
      <c r="H467">
        <v>1.2</v>
      </c>
      <c r="I467" s="4">
        <v>101.2</v>
      </c>
      <c r="J467">
        <v>3.5</v>
      </c>
      <c r="K467" t="s">
        <v>30</v>
      </c>
      <c r="L467" t="s">
        <v>19</v>
      </c>
      <c r="O467"/>
    </row>
    <row r="468" spans="1:15" x14ac:dyDescent="0.3">
      <c r="A468" t="s">
        <v>492</v>
      </c>
      <c r="B468" s="1">
        <v>46000</v>
      </c>
      <c r="C468" t="s">
        <v>22</v>
      </c>
      <c r="D468" t="s">
        <v>13</v>
      </c>
      <c r="E468" s="2">
        <v>13.77</v>
      </c>
      <c r="F468" s="3">
        <v>35.869999999999997</v>
      </c>
      <c r="G468" s="4">
        <v>173.41</v>
      </c>
      <c r="H468">
        <v>1.5</v>
      </c>
      <c r="I468" s="4">
        <v>260.12</v>
      </c>
      <c r="J468">
        <v>3.4</v>
      </c>
      <c r="K468" t="s">
        <v>36</v>
      </c>
      <c r="L468" t="s">
        <v>28</v>
      </c>
      <c r="O468"/>
    </row>
    <row r="469" spans="1:15" x14ac:dyDescent="0.3">
      <c r="A469" t="s">
        <v>493</v>
      </c>
      <c r="B469" s="1">
        <v>45998</v>
      </c>
      <c r="C469" t="s">
        <v>14</v>
      </c>
      <c r="D469" t="s">
        <v>21</v>
      </c>
      <c r="E469" s="2">
        <v>10.93</v>
      </c>
      <c r="F469" s="3">
        <v>27.77</v>
      </c>
      <c r="G469" s="4">
        <v>214.93</v>
      </c>
      <c r="H469">
        <v>1.5</v>
      </c>
      <c r="I469" s="4">
        <v>322.39999999999998</v>
      </c>
      <c r="J469">
        <v>4.0999999999999996</v>
      </c>
      <c r="K469" t="s">
        <v>18</v>
      </c>
      <c r="L469" t="s">
        <v>28</v>
      </c>
      <c r="O469"/>
    </row>
    <row r="470" spans="1:15" x14ac:dyDescent="0.3">
      <c r="A470" t="s">
        <v>494</v>
      </c>
      <c r="B470" s="1">
        <v>45749</v>
      </c>
      <c r="C470" t="s">
        <v>21</v>
      </c>
      <c r="D470" t="s">
        <v>13</v>
      </c>
      <c r="E470" s="2">
        <v>17.91</v>
      </c>
      <c r="F470" s="3">
        <v>71.63</v>
      </c>
      <c r="G470" s="4">
        <v>206.06</v>
      </c>
      <c r="H470">
        <v>1.2</v>
      </c>
      <c r="I470" s="4">
        <v>247.27</v>
      </c>
      <c r="J470">
        <v>4</v>
      </c>
      <c r="K470" t="s">
        <v>36</v>
      </c>
      <c r="L470" t="s">
        <v>16</v>
      </c>
      <c r="O470"/>
    </row>
    <row r="471" spans="1:15" x14ac:dyDescent="0.3">
      <c r="A471" t="s">
        <v>495</v>
      </c>
      <c r="B471" s="1">
        <v>45930</v>
      </c>
      <c r="C471" t="s">
        <v>25</v>
      </c>
      <c r="D471" t="s">
        <v>13</v>
      </c>
      <c r="E471" s="2">
        <v>22.3</v>
      </c>
      <c r="F471" s="3">
        <v>58</v>
      </c>
      <c r="G471" s="4">
        <v>295.66000000000003</v>
      </c>
      <c r="H471">
        <v>2</v>
      </c>
      <c r="I471" s="4">
        <v>591.32000000000005</v>
      </c>
      <c r="J471">
        <v>4.2</v>
      </c>
      <c r="K471" t="s">
        <v>33</v>
      </c>
      <c r="L471" t="s">
        <v>19</v>
      </c>
      <c r="O471"/>
    </row>
    <row r="472" spans="1:15" x14ac:dyDescent="0.3">
      <c r="A472" t="s">
        <v>496</v>
      </c>
      <c r="B472" s="1">
        <v>45822</v>
      </c>
      <c r="C472" t="s">
        <v>21</v>
      </c>
      <c r="D472" t="s">
        <v>21</v>
      </c>
      <c r="E472" s="2">
        <v>22.19</v>
      </c>
      <c r="F472" s="3">
        <v>50.95</v>
      </c>
      <c r="G472" s="4">
        <v>411.08</v>
      </c>
      <c r="H472">
        <v>1</v>
      </c>
      <c r="I472" s="4">
        <v>411.08</v>
      </c>
      <c r="J472">
        <v>4.0999999999999996</v>
      </c>
      <c r="K472" t="s">
        <v>30</v>
      </c>
      <c r="L472" t="s">
        <v>19</v>
      </c>
      <c r="O472"/>
    </row>
    <row r="473" spans="1:15" x14ac:dyDescent="0.3">
      <c r="A473" t="s">
        <v>497</v>
      </c>
      <c r="B473" s="1">
        <v>45804</v>
      </c>
      <c r="C473" t="s">
        <v>14</v>
      </c>
      <c r="D473" t="s">
        <v>13</v>
      </c>
      <c r="E473" s="2">
        <v>4.84</v>
      </c>
      <c r="F473" s="3">
        <v>15.42</v>
      </c>
      <c r="G473" s="4">
        <v>77.400000000000006</v>
      </c>
      <c r="H473">
        <v>1.2</v>
      </c>
      <c r="I473" s="4">
        <v>92.88</v>
      </c>
      <c r="J473">
        <v>4.0999999999999996</v>
      </c>
      <c r="K473" t="s">
        <v>33</v>
      </c>
      <c r="L473" t="s">
        <v>28</v>
      </c>
      <c r="O473"/>
    </row>
    <row r="474" spans="1:15" x14ac:dyDescent="0.3">
      <c r="A474" t="s">
        <v>498</v>
      </c>
      <c r="B474" s="1">
        <v>45797</v>
      </c>
      <c r="C474" t="s">
        <v>14</v>
      </c>
      <c r="D474" t="s">
        <v>13</v>
      </c>
      <c r="E474" s="2">
        <v>2.1</v>
      </c>
      <c r="F474" s="3">
        <v>7.33</v>
      </c>
      <c r="G474" s="4">
        <v>32.54</v>
      </c>
      <c r="H474">
        <v>1</v>
      </c>
      <c r="I474" s="4">
        <v>32.54</v>
      </c>
      <c r="J474">
        <v>4.5999999999999996</v>
      </c>
      <c r="K474" t="s">
        <v>18</v>
      </c>
      <c r="L474" t="s">
        <v>19</v>
      </c>
      <c r="O474"/>
    </row>
    <row r="475" spans="1:15" x14ac:dyDescent="0.3">
      <c r="A475" t="s">
        <v>499</v>
      </c>
      <c r="B475" s="1">
        <v>45677</v>
      </c>
      <c r="C475" t="s">
        <v>21</v>
      </c>
      <c r="D475" t="s">
        <v>25</v>
      </c>
      <c r="E475" s="2">
        <v>14.54</v>
      </c>
      <c r="F475" s="3">
        <v>30.08</v>
      </c>
      <c r="G475" s="4">
        <v>286.38</v>
      </c>
      <c r="H475">
        <v>1.5</v>
      </c>
      <c r="I475" s="4">
        <v>429.57</v>
      </c>
      <c r="J475">
        <v>3.9</v>
      </c>
      <c r="K475" t="s">
        <v>18</v>
      </c>
      <c r="L475" t="s">
        <v>28</v>
      </c>
      <c r="O475"/>
    </row>
    <row r="476" spans="1:15" x14ac:dyDescent="0.3">
      <c r="A476" t="s">
        <v>500</v>
      </c>
      <c r="B476" s="1">
        <v>45961</v>
      </c>
      <c r="C476" t="s">
        <v>22</v>
      </c>
      <c r="D476" t="s">
        <v>14</v>
      </c>
      <c r="E476" s="2">
        <v>3.72</v>
      </c>
      <c r="F476" s="3">
        <v>13.05</v>
      </c>
      <c r="G476" s="4">
        <v>55.5</v>
      </c>
      <c r="H476">
        <v>1.5</v>
      </c>
      <c r="I476" s="4">
        <v>83.25</v>
      </c>
      <c r="J476">
        <v>3.8</v>
      </c>
      <c r="K476" t="s">
        <v>18</v>
      </c>
      <c r="L476" t="s">
        <v>26</v>
      </c>
      <c r="O476"/>
    </row>
    <row r="477" spans="1:15" x14ac:dyDescent="0.3">
      <c r="A477" t="s">
        <v>501</v>
      </c>
      <c r="B477" s="1">
        <v>45759</v>
      </c>
      <c r="C477" t="s">
        <v>22</v>
      </c>
      <c r="D477" t="s">
        <v>25</v>
      </c>
      <c r="E477" s="2">
        <v>16.149999999999999</v>
      </c>
      <c r="F477" s="3">
        <v>50.48</v>
      </c>
      <c r="G477" s="4">
        <v>232.76</v>
      </c>
      <c r="H477">
        <v>1.5</v>
      </c>
      <c r="I477" s="4">
        <v>349.14</v>
      </c>
      <c r="J477">
        <v>4</v>
      </c>
      <c r="K477" t="s">
        <v>36</v>
      </c>
      <c r="L477" t="s">
        <v>19</v>
      </c>
      <c r="O477"/>
    </row>
    <row r="478" spans="1:15" x14ac:dyDescent="0.3">
      <c r="A478" t="s">
        <v>502</v>
      </c>
      <c r="B478" s="1">
        <v>45906</v>
      </c>
      <c r="C478" t="s">
        <v>14</v>
      </c>
      <c r="D478" t="s">
        <v>14</v>
      </c>
      <c r="E478" s="2">
        <v>11.51</v>
      </c>
      <c r="F478" s="3">
        <v>39.729999999999997</v>
      </c>
      <c r="G478" s="4">
        <v>218.05</v>
      </c>
      <c r="H478">
        <v>1.5</v>
      </c>
      <c r="I478" s="4">
        <v>327.08</v>
      </c>
      <c r="J478">
        <v>3.8</v>
      </c>
      <c r="K478" t="s">
        <v>36</v>
      </c>
      <c r="L478" t="s">
        <v>26</v>
      </c>
      <c r="O478"/>
    </row>
    <row r="479" spans="1:15" x14ac:dyDescent="0.3">
      <c r="A479" t="s">
        <v>503</v>
      </c>
      <c r="B479" s="1">
        <v>45832</v>
      </c>
      <c r="C479" t="s">
        <v>22</v>
      </c>
      <c r="D479" t="s">
        <v>22</v>
      </c>
      <c r="E479" s="2">
        <v>23.17</v>
      </c>
      <c r="F479" s="3">
        <v>72.92</v>
      </c>
      <c r="G479" s="4">
        <v>453.22</v>
      </c>
      <c r="H479">
        <v>2</v>
      </c>
      <c r="I479" s="4">
        <v>906.44</v>
      </c>
      <c r="J479">
        <v>5</v>
      </c>
      <c r="K479" t="s">
        <v>33</v>
      </c>
      <c r="L479" t="s">
        <v>28</v>
      </c>
      <c r="O479"/>
    </row>
    <row r="480" spans="1:15" x14ac:dyDescent="0.3">
      <c r="A480" t="s">
        <v>504</v>
      </c>
      <c r="B480" s="1">
        <v>45985</v>
      </c>
      <c r="C480" t="s">
        <v>14</v>
      </c>
      <c r="D480" t="s">
        <v>14</v>
      </c>
      <c r="E480" s="2">
        <v>25.76</v>
      </c>
      <c r="F480" s="3">
        <v>74.14</v>
      </c>
      <c r="G480" s="4">
        <v>475.78</v>
      </c>
      <c r="H480">
        <v>2</v>
      </c>
      <c r="I480" s="4">
        <v>951.56</v>
      </c>
      <c r="J480">
        <v>3.5</v>
      </c>
      <c r="K480" t="s">
        <v>33</v>
      </c>
      <c r="L480" t="s">
        <v>28</v>
      </c>
      <c r="O480"/>
    </row>
    <row r="481" spans="1:15" x14ac:dyDescent="0.3">
      <c r="A481" t="s">
        <v>505</v>
      </c>
      <c r="B481" s="1">
        <v>45720</v>
      </c>
      <c r="C481" t="s">
        <v>14</v>
      </c>
      <c r="D481" t="s">
        <v>25</v>
      </c>
      <c r="E481" s="2">
        <v>26.62</v>
      </c>
      <c r="F481" s="3">
        <v>77.11</v>
      </c>
      <c r="G481" s="4">
        <v>402.08</v>
      </c>
      <c r="H481">
        <v>1.2</v>
      </c>
      <c r="I481" s="4">
        <v>482.5</v>
      </c>
      <c r="J481">
        <v>3.4</v>
      </c>
      <c r="K481" t="s">
        <v>18</v>
      </c>
      <c r="L481" t="s">
        <v>28</v>
      </c>
      <c r="O481"/>
    </row>
    <row r="482" spans="1:15" x14ac:dyDescent="0.3">
      <c r="A482" t="s">
        <v>506</v>
      </c>
      <c r="B482" s="1">
        <v>45865</v>
      </c>
      <c r="C482" t="s">
        <v>21</v>
      </c>
      <c r="D482" t="s">
        <v>21</v>
      </c>
      <c r="E482" s="2">
        <v>23.12</v>
      </c>
      <c r="F482" s="3">
        <v>89.21</v>
      </c>
      <c r="G482" s="4">
        <v>238.26</v>
      </c>
      <c r="H482">
        <v>1.5</v>
      </c>
      <c r="I482" s="4">
        <v>357.39</v>
      </c>
      <c r="J482">
        <v>4.4000000000000004</v>
      </c>
      <c r="K482" t="s">
        <v>30</v>
      </c>
      <c r="L482" t="s">
        <v>16</v>
      </c>
      <c r="O482"/>
    </row>
    <row r="483" spans="1:15" x14ac:dyDescent="0.3">
      <c r="A483" t="s">
        <v>507</v>
      </c>
      <c r="B483" s="1">
        <v>45955</v>
      </c>
      <c r="C483" t="s">
        <v>21</v>
      </c>
      <c r="D483" t="s">
        <v>25</v>
      </c>
      <c r="E483" s="2">
        <v>19.34</v>
      </c>
      <c r="F483" s="3">
        <v>63.61</v>
      </c>
      <c r="G483" s="4">
        <v>351.95</v>
      </c>
      <c r="H483">
        <v>1</v>
      </c>
      <c r="I483" s="4">
        <v>351.95</v>
      </c>
      <c r="J483">
        <v>3.6</v>
      </c>
      <c r="K483" t="s">
        <v>36</v>
      </c>
      <c r="L483" t="s">
        <v>28</v>
      </c>
      <c r="O483"/>
    </row>
    <row r="484" spans="1:15" x14ac:dyDescent="0.3">
      <c r="A484" t="s">
        <v>508</v>
      </c>
      <c r="B484" s="1">
        <v>45841</v>
      </c>
      <c r="C484" t="s">
        <v>21</v>
      </c>
      <c r="D484" t="s">
        <v>25</v>
      </c>
      <c r="E484" s="2">
        <v>16.329999999999998</v>
      </c>
      <c r="F484" s="3">
        <v>58.57</v>
      </c>
      <c r="G484" s="4">
        <v>325.06</v>
      </c>
      <c r="H484">
        <v>1.2</v>
      </c>
      <c r="I484" s="4">
        <v>390.07</v>
      </c>
      <c r="J484">
        <v>4.4000000000000004</v>
      </c>
      <c r="K484" t="s">
        <v>33</v>
      </c>
      <c r="L484" t="s">
        <v>19</v>
      </c>
      <c r="O484"/>
    </row>
    <row r="485" spans="1:15" x14ac:dyDescent="0.3">
      <c r="A485" t="s">
        <v>509</v>
      </c>
      <c r="B485" s="1">
        <v>45770</v>
      </c>
      <c r="C485" t="s">
        <v>14</v>
      </c>
      <c r="D485" t="s">
        <v>22</v>
      </c>
      <c r="E485" s="2">
        <v>3.6</v>
      </c>
      <c r="F485" s="3">
        <v>7.22</v>
      </c>
      <c r="G485" s="4">
        <v>37.590000000000003</v>
      </c>
      <c r="H485">
        <v>2</v>
      </c>
      <c r="I485" s="4">
        <v>75.180000000000007</v>
      </c>
      <c r="J485">
        <v>4.7</v>
      </c>
      <c r="K485" t="s">
        <v>18</v>
      </c>
      <c r="L485" t="s">
        <v>19</v>
      </c>
      <c r="O485"/>
    </row>
    <row r="486" spans="1:15" x14ac:dyDescent="0.3">
      <c r="A486" t="s">
        <v>510</v>
      </c>
      <c r="B486" s="1">
        <v>45658</v>
      </c>
      <c r="C486" t="s">
        <v>14</v>
      </c>
      <c r="D486" t="s">
        <v>22</v>
      </c>
      <c r="E486" s="2">
        <v>3</v>
      </c>
      <c r="F486" s="3">
        <v>6.03</v>
      </c>
      <c r="G486" s="4">
        <v>58.11</v>
      </c>
      <c r="H486">
        <v>2</v>
      </c>
      <c r="I486" s="4">
        <v>116.22</v>
      </c>
      <c r="J486">
        <v>4.3</v>
      </c>
      <c r="K486" t="s">
        <v>36</v>
      </c>
      <c r="L486" t="s">
        <v>16</v>
      </c>
      <c r="O486"/>
    </row>
    <row r="487" spans="1:15" x14ac:dyDescent="0.3">
      <c r="A487" t="s">
        <v>511</v>
      </c>
      <c r="B487" s="1">
        <v>45784</v>
      </c>
      <c r="C487" t="s">
        <v>21</v>
      </c>
      <c r="D487" t="s">
        <v>14</v>
      </c>
      <c r="E487" s="2">
        <v>26.65</v>
      </c>
      <c r="F487" s="3">
        <v>90.61</v>
      </c>
      <c r="G487" s="4">
        <v>294.32</v>
      </c>
      <c r="H487">
        <v>1.5</v>
      </c>
      <c r="I487" s="4">
        <v>441.48</v>
      </c>
      <c r="J487">
        <v>4</v>
      </c>
      <c r="K487" t="s">
        <v>36</v>
      </c>
      <c r="L487" t="s">
        <v>19</v>
      </c>
      <c r="O487"/>
    </row>
    <row r="488" spans="1:15" x14ac:dyDescent="0.3">
      <c r="A488" t="s">
        <v>512</v>
      </c>
      <c r="B488" s="1">
        <v>45917</v>
      </c>
      <c r="C488" t="s">
        <v>21</v>
      </c>
      <c r="D488" t="s">
        <v>21</v>
      </c>
      <c r="E488" s="2">
        <v>12.81</v>
      </c>
      <c r="F488" s="3">
        <v>27.31</v>
      </c>
      <c r="G488" s="4">
        <v>172.78</v>
      </c>
      <c r="H488">
        <v>1.5</v>
      </c>
      <c r="I488" s="4">
        <v>259.17</v>
      </c>
      <c r="J488">
        <v>4.3</v>
      </c>
      <c r="K488" t="s">
        <v>18</v>
      </c>
      <c r="L488" t="s">
        <v>19</v>
      </c>
      <c r="O488"/>
    </row>
    <row r="489" spans="1:15" x14ac:dyDescent="0.3">
      <c r="A489" t="s">
        <v>513</v>
      </c>
      <c r="B489" s="1">
        <v>45830</v>
      </c>
      <c r="C489" t="s">
        <v>21</v>
      </c>
      <c r="D489" t="s">
        <v>14</v>
      </c>
      <c r="E489" s="2">
        <v>21.23</v>
      </c>
      <c r="F489" s="3">
        <v>42.72</v>
      </c>
      <c r="G489" s="4">
        <v>233.73</v>
      </c>
      <c r="H489">
        <v>1.2</v>
      </c>
      <c r="I489" s="4">
        <v>280.48</v>
      </c>
      <c r="J489">
        <v>3.6</v>
      </c>
      <c r="K489" t="s">
        <v>15</v>
      </c>
      <c r="L489" t="s">
        <v>16</v>
      </c>
      <c r="O489"/>
    </row>
    <row r="490" spans="1:15" x14ac:dyDescent="0.3">
      <c r="A490" t="s">
        <v>514</v>
      </c>
      <c r="B490" s="1">
        <v>45802</v>
      </c>
      <c r="C490" t="s">
        <v>14</v>
      </c>
      <c r="D490" t="s">
        <v>22</v>
      </c>
      <c r="E490" s="2">
        <v>15.52</v>
      </c>
      <c r="F490" s="3">
        <v>55.7</v>
      </c>
      <c r="G490" s="4">
        <v>264.94</v>
      </c>
      <c r="H490">
        <v>2</v>
      </c>
      <c r="I490" s="4">
        <v>529.88</v>
      </c>
      <c r="J490">
        <v>3.3</v>
      </c>
      <c r="K490" t="s">
        <v>36</v>
      </c>
      <c r="L490" t="s">
        <v>16</v>
      </c>
      <c r="O490"/>
    </row>
    <row r="491" spans="1:15" x14ac:dyDescent="0.3">
      <c r="A491" t="s">
        <v>515</v>
      </c>
      <c r="B491" s="1">
        <v>45670</v>
      </c>
      <c r="C491" t="s">
        <v>21</v>
      </c>
      <c r="D491" t="s">
        <v>25</v>
      </c>
      <c r="E491" s="2">
        <v>20.34</v>
      </c>
      <c r="F491" s="3">
        <v>49.27</v>
      </c>
      <c r="G491" s="4">
        <v>379.02</v>
      </c>
      <c r="H491">
        <v>1.5</v>
      </c>
      <c r="I491" s="4">
        <v>568.53</v>
      </c>
      <c r="J491">
        <v>4.5999999999999996</v>
      </c>
      <c r="K491" t="s">
        <v>15</v>
      </c>
      <c r="L491" t="s">
        <v>26</v>
      </c>
      <c r="O491"/>
    </row>
    <row r="492" spans="1:15" x14ac:dyDescent="0.3">
      <c r="A492" t="s">
        <v>516</v>
      </c>
      <c r="B492" s="1">
        <v>45777</v>
      </c>
      <c r="C492" t="s">
        <v>25</v>
      </c>
      <c r="D492" t="s">
        <v>14</v>
      </c>
      <c r="E492" s="2">
        <v>12.75</v>
      </c>
      <c r="F492" s="3">
        <v>48.61</v>
      </c>
      <c r="G492" s="4">
        <v>168.49</v>
      </c>
      <c r="H492">
        <v>1</v>
      </c>
      <c r="I492" s="4">
        <v>168.49</v>
      </c>
      <c r="J492">
        <v>4.7</v>
      </c>
      <c r="K492" t="s">
        <v>18</v>
      </c>
      <c r="L492" t="s">
        <v>19</v>
      </c>
      <c r="O492"/>
    </row>
    <row r="493" spans="1:15" x14ac:dyDescent="0.3">
      <c r="A493" t="s">
        <v>517</v>
      </c>
      <c r="B493" s="1">
        <v>45890</v>
      </c>
      <c r="C493" t="s">
        <v>14</v>
      </c>
      <c r="D493" t="s">
        <v>13</v>
      </c>
      <c r="E493" s="2">
        <v>7.36</v>
      </c>
      <c r="F493" s="3">
        <v>15.22</v>
      </c>
      <c r="G493" s="4">
        <v>89.4</v>
      </c>
      <c r="H493">
        <v>1.5</v>
      </c>
      <c r="I493" s="4">
        <v>134.1</v>
      </c>
      <c r="J493">
        <v>4.3</v>
      </c>
      <c r="K493" t="s">
        <v>30</v>
      </c>
      <c r="L493" t="s">
        <v>28</v>
      </c>
      <c r="O493"/>
    </row>
    <row r="494" spans="1:15" x14ac:dyDescent="0.3">
      <c r="A494" t="s">
        <v>518</v>
      </c>
      <c r="B494" s="1">
        <v>45871</v>
      </c>
      <c r="C494" t="s">
        <v>22</v>
      </c>
      <c r="D494" t="s">
        <v>14</v>
      </c>
      <c r="E494" s="2">
        <v>6.45</v>
      </c>
      <c r="F494" s="3">
        <v>22.19</v>
      </c>
      <c r="G494" s="4">
        <v>120.42</v>
      </c>
      <c r="H494">
        <v>1.2</v>
      </c>
      <c r="I494" s="4">
        <v>144.5</v>
      </c>
      <c r="J494">
        <v>4.2</v>
      </c>
      <c r="K494" t="s">
        <v>33</v>
      </c>
      <c r="L494" t="s">
        <v>26</v>
      </c>
      <c r="O494"/>
    </row>
    <row r="495" spans="1:15" x14ac:dyDescent="0.3">
      <c r="A495" t="s">
        <v>519</v>
      </c>
      <c r="B495" s="1">
        <v>45711</v>
      </c>
      <c r="C495" t="s">
        <v>21</v>
      </c>
      <c r="D495" t="s">
        <v>13</v>
      </c>
      <c r="E495" s="2">
        <v>3.08</v>
      </c>
      <c r="F495" s="3">
        <v>10.36</v>
      </c>
      <c r="G495" s="4">
        <v>38.25</v>
      </c>
      <c r="H495">
        <v>2</v>
      </c>
      <c r="I495" s="4">
        <v>76.5</v>
      </c>
      <c r="J495">
        <v>3.5</v>
      </c>
      <c r="K495" t="s">
        <v>36</v>
      </c>
      <c r="L495" t="s">
        <v>28</v>
      </c>
      <c r="O495"/>
    </row>
    <row r="496" spans="1:15" x14ac:dyDescent="0.3">
      <c r="A496" t="s">
        <v>520</v>
      </c>
      <c r="B496" s="1">
        <v>45710</v>
      </c>
      <c r="C496" t="s">
        <v>13</v>
      </c>
      <c r="D496" t="s">
        <v>13</v>
      </c>
      <c r="E496" s="2">
        <v>24.31</v>
      </c>
      <c r="F496" s="3">
        <v>75.48</v>
      </c>
      <c r="G496" s="4">
        <v>369.55</v>
      </c>
      <c r="H496">
        <v>1</v>
      </c>
      <c r="I496" s="4">
        <v>369.55</v>
      </c>
      <c r="J496">
        <v>4.8</v>
      </c>
      <c r="K496" t="s">
        <v>33</v>
      </c>
      <c r="L496" t="s">
        <v>19</v>
      </c>
      <c r="O496"/>
    </row>
    <row r="497" spans="1:15" x14ac:dyDescent="0.3">
      <c r="A497" t="s">
        <v>521</v>
      </c>
      <c r="B497" s="1">
        <v>45921</v>
      </c>
      <c r="C497" t="s">
        <v>22</v>
      </c>
      <c r="D497" t="s">
        <v>25</v>
      </c>
      <c r="E497" s="2">
        <v>8.8699999999999992</v>
      </c>
      <c r="F497" s="3">
        <v>26.55</v>
      </c>
      <c r="G497" s="4">
        <v>113.92</v>
      </c>
      <c r="H497">
        <v>1.2</v>
      </c>
      <c r="I497" s="4">
        <v>136.69999999999999</v>
      </c>
      <c r="J497">
        <v>4.5999999999999996</v>
      </c>
      <c r="K497" t="s">
        <v>18</v>
      </c>
      <c r="L497" t="s">
        <v>28</v>
      </c>
      <c r="O497"/>
    </row>
    <row r="498" spans="1:15" x14ac:dyDescent="0.3">
      <c r="A498" t="s">
        <v>522</v>
      </c>
      <c r="B498" s="1">
        <v>45784</v>
      </c>
      <c r="C498" t="s">
        <v>22</v>
      </c>
      <c r="D498" t="s">
        <v>14</v>
      </c>
      <c r="E498" s="2">
        <v>2.58</v>
      </c>
      <c r="F498" s="3">
        <v>9.02</v>
      </c>
      <c r="G498" s="4">
        <v>33.99</v>
      </c>
      <c r="H498">
        <v>1.5</v>
      </c>
      <c r="I498" s="4">
        <v>50.98</v>
      </c>
      <c r="J498">
        <v>3.4</v>
      </c>
      <c r="K498" t="s">
        <v>30</v>
      </c>
      <c r="L498" t="s">
        <v>26</v>
      </c>
      <c r="O498"/>
    </row>
    <row r="499" spans="1:15" x14ac:dyDescent="0.3">
      <c r="A499" t="s">
        <v>523</v>
      </c>
      <c r="B499" s="1">
        <v>46006</v>
      </c>
      <c r="C499" t="s">
        <v>13</v>
      </c>
      <c r="D499" t="s">
        <v>13</v>
      </c>
      <c r="E499" s="2">
        <v>2.36</v>
      </c>
      <c r="F499" s="3">
        <v>6.02</v>
      </c>
      <c r="G499" s="4">
        <v>40.28</v>
      </c>
      <c r="H499">
        <v>1.5</v>
      </c>
      <c r="I499" s="4">
        <v>60.42</v>
      </c>
      <c r="J499">
        <v>4.2</v>
      </c>
      <c r="K499" t="s">
        <v>30</v>
      </c>
      <c r="L499" t="s">
        <v>26</v>
      </c>
      <c r="O499"/>
    </row>
    <row r="500" spans="1:15" x14ac:dyDescent="0.3">
      <c r="A500" t="s">
        <v>524</v>
      </c>
      <c r="B500" s="1">
        <v>45921</v>
      </c>
      <c r="C500" t="s">
        <v>25</v>
      </c>
      <c r="D500" t="s">
        <v>25</v>
      </c>
      <c r="E500" s="2">
        <v>1.1100000000000001</v>
      </c>
      <c r="F500" s="3">
        <v>2.77</v>
      </c>
      <c r="G500" s="4">
        <v>19.32</v>
      </c>
      <c r="H500">
        <v>1</v>
      </c>
      <c r="I500" s="4">
        <v>19.32</v>
      </c>
      <c r="J500">
        <v>4.9000000000000004</v>
      </c>
      <c r="K500" t="s">
        <v>36</v>
      </c>
      <c r="L500" t="s">
        <v>28</v>
      </c>
      <c r="O500"/>
    </row>
    <row r="501" spans="1:15" x14ac:dyDescent="0.3">
      <c r="A501" t="s">
        <v>525</v>
      </c>
      <c r="B501" s="1">
        <v>45778</v>
      </c>
      <c r="C501" t="s">
        <v>21</v>
      </c>
      <c r="D501" t="s">
        <v>13</v>
      </c>
      <c r="E501" s="2">
        <v>11.45</v>
      </c>
      <c r="F501" s="3">
        <v>29.09</v>
      </c>
      <c r="G501" s="4">
        <v>210.99</v>
      </c>
      <c r="H501">
        <v>2</v>
      </c>
      <c r="I501" s="4">
        <v>421.98</v>
      </c>
      <c r="J501">
        <v>4.0999999999999996</v>
      </c>
      <c r="K501" t="s">
        <v>33</v>
      </c>
      <c r="L501" t="s">
        <v>19</v>
      </c>
      <c r="O501"/>
    </row>
    <row r="502" spans="1:15" x14ac:dyDescent="0.3">
      <c r="A502" t="s">
        <v>526</v>
      </c>
      <c r="B502" s="1">
        <v>45995</v>
      </c>
      <c r="C502" t="s">
        <v>21</v>
      </c>
      <c r="D502" t="s">
        <v>13</v>
      </c>
      <c r="E502" s="2">
        <v>26.86</v>
      </c>
      <c r="F502" s="3">
        <v>77.02</v>
      </c>
      <c r="G502" s="4">
        <v>513.01</v>
      </c>
      <c r="H502">
        <v>2</v>
      </c>
      <c r="I502" s="4">
        <v>1026.02</v>
      </c>
      <c r="J502">
        <v>4.9000000000000004</v>
      </c>
      <c r="K502" t="s">
        <v>18</v>
      </c>
      <c r="L502" t="s">
        <v>16</v>
      </c>
      <c r="O502"/>
    </row>
    <row r="503" spans="1:15" x14ac:dyDescent="0.3">
      <c r="A503" t="s">
        <v>527</v>
      </c>
      <c r="B503" s="1">
        <v>45836</v>
      </c>
      <c r="C503" t="s">
        <v>13</v>
      </c>
      <c r="D503" t="s">
        <v>22</v>
      </c>
      <c r="E503" s="2">
        <v>3.59</v>
      </c>
      <c r="F503" s="3">
        <v>12.11</v>
      </c>
      <c r="G503" s="4">
        <v>53.63</v>
      </c>
      <c r="H503">
        <v>1</v>
      </c>
      <c r="I503" s="4">
        <v>53.63</v>
      </c>
      <c r="J503">
        <v>4.9000000000000004</v>
      </c>
      <c r="K503" t="s">
        <v>36</v>
      </c>
      <c r="L503" t="s">
        <v>28</v>
      </c>
      <c r="O503"/>
    </row>
    <row r="504" spans="1:15" x14ac:dyDescent="0.3">
      <c r="A504" t="s">
        <v>528</v>
      </c>
      <c r="B504" s="1">
        <v>45874</v>
      </c>
      <c r="C504" t="s">
        <v>22</v>
      </c>
      <c r="D504" t="s">
        <v>14</v>
      </c>
      <c r="E504" s="2">
        <v>21.41</v>
      </c>
      <c r="F504" s="3">
        <v>43.01</v>
      </c>
      <c r="G504" s="4">
        <v>249.84</v>
      </c>
      <c r="H504">
        <v>1</v>
      </c>
      <c r="I504" s="4">
        <v>249.84</v>
      </c>
      <c r="J504">
        <v>4.8</v>
      </c>
      <c r="K504" t="s">
        <v>33</v>
      </c>
      <c r="L504" t="s">
        <v>28</v>
      </c>
      <c r="O504"/>
    </row>
    <row r="505" spans="1:15" x14ac:dyDescent="0.3">
      <c r="A505" t="s">
        <v>529</v>
      </c>
      <c r="B505" s="1">
        <v>45758</v>
      </c>
      <c r="C505" t="s">
        <v>22</v>
      </c>
      <c r="D505" t="s">
        <v>25</v>
      </c>
      <c r="E505" s="2">
        <v>29.02</v>
      </c>
      <c r="F505" s="3">
        <v>102.21</v>
      </c>
      <c r="G505" s="4">
        <v>566.11</v>
      </c>
      <c r="H505">
        <v>1.5</v>
      </c>
      <c r="I505" s="4">
        <v>849.16</v>
      </c>
      <c r="J505">
        <v>4.9000000000000004</v>
      </c>
      <c r="K505" t="s">
        <v>15</v>
      </c>
      <c r="L505" t="s">
        <v>19</v>
      </c>
      <c r="O505"/>
    </row>
    <row r="506" spans="1:15" x14ac:dyDescent="0.3">
      <c r="A506" t="s">
        <v>530</v>
      </c>
      <c r="B506" s="1">
        <v>45858</v>
      </c>
      <c r="C506" t="s">
        <v>25</v>
      </c>
      <c r="D506" t="s">
        <v>14</v>
      </c>
      <c r="E506" s="2">
        <v>4.0599999999999996</v>
      </c>
      <c r="F506" s="3">
        <v>14.47</v>
      </c>
      <c r="G506" s="4">
        <v>66.75</v>
      </c>
      <c r="H506">
        <v>1.2</v>
      </c>
      <c r="I506" s="4">
        <v>80.099999999999994</v>
      </c>
      <c r="J506">
        <v>3.2</v>
      </c>
      <c r="K506" t="s">
        <v>15</v>
      </c>
      <c r="L506" t="s">
        <v>28</v>
      </c>
      <c r="O506"/>
    </row>
    <row r="507" spans="1:15" x14ac:dyDescent="0.3">
      <c r="A507" t="s">
        <v>531</v>
      </c>
      <c r="B507" s="1">
        <v>45961</v>
      </c>
      <c r="C507" t="s">
        <v>14</v>
      </c>
      <c r="D507" t="s">
        <v>25</v>
      </c>
      <c r="E507" s="2">
        <v>12.17</v>
      </c>
      <c r="F507" s="3">
        <v>45.41</v>
      </c>
      <c r="G507" s="4">
        <v>179.63</v>
      </c>
      <c r="H507">
        <v>2</v>
      </c>
      <c r="I507" s="4">
        <v>359.26</v>
      </c>
      <c r="J507">
        <v>3.4</v>
      </c>
      <c r="K507" t="s">
        <v>15</v>
      </c>
      <c r="L507" t="s">
        <v>19</v>
      </c>
      <c r="O507"/>
    </row>
    <row r="508" spans="1:15" x14ac:dyDescent="0.3">
      <c r="A508" t="s">
        <v>532</v>
      </c>
      <c r="B508" s="1">
        <v>45884</v>
      </c>
      <c r="C508" t="s">
        <v>25</v>
      </c>
      <c r="D508" t="s">
        <v>21</v>
      </c>
      <c r="E508" s="2">
        <v>11.72</v>
      </c>
      <c r="F508" s="3">
        <v>24.67</v>
      </c>
      <c r="G508" s="4">
        <v>207.16</v>
      </c>
      <c r="H508">
        <v>1.2</v>
      </c>
      <c r="I508" s="4">
        <v>248.59</v>
      </c>
      <c r="J508">
        <v>4.0999999999999996</v>
      </c>
      <c r="K508" t="s">
        <v>36</v>
      </c>
      <c r="L508" t="s">
        <v>26</v>
      </c>
      <c r="O508"/>
    </row>
    <row r="509" spans="1:15" x14ac:dyDescent="0.3">
      <c r="A509" t="s">
        <v>533</v>
      </c>
      <c r="B509" s="1">
        <v>45757</v>
      </c>
      <c r="C509" t="s">
        <v>22</v>
      </c>
      <c r="D509" t="s">
        <v>22</v>
      </c>
      <c r="E509" s="2">
        <v>25.66</v>
      </c>
      <c r="F509" s="3">
        <v>62.2</v>
      </c>
      <c r="G509" s="4">
        <v>425.28</v>
      </c>
      <c r="H509">
        <v>1.5</v>
      </c>
      <c r="I509" s="4">
        <v>637.91999999999996</v>
      </c>
      <c r="J509">
        <v>4.5</v>
      </c>
      <c r="K509" t="s">
        <v>15</v>
      </c>
      <c r="L509" t="s">
        <v>19</v>
      </c>
      <c r="O509"/>
    </row>
    <row r="510" spans="1:15" x14ac:dyDescent="0.3">
      <c r="A510" t="s">
        <v>534</v>
      </c>
      <c r="B510" s="1">
        <v>45757</v>
      </c>
      <c r="C510" t="s">
        <v>21</v>
      </c>
      <c r="D510" t="s">
        <v>22</v>
      </c>
      <c r="E510" s="2">
        <v>20.66</v>
      </c>
      <c r="F510" s="3">
        <v>66.430000000000007</v>
      </c>
      <c r="G510" s="4">
        <v>267.61</v>
      </c>
      <c r="H510">
        <v>2</v>
      </c>
      <c r="I510" s="4">
        <v>535.22</v>
      </c>
      <c r="J510">
        <v>4.9000000000000004</v>
      </c>
      <c r="K510" t="s">
        <v>30</v>
      </c>
      <c r="L510" t="s">
        <v>19</v>
      </c>
      <c r="O510"/>
    </row>
    <row r="511" spans="1:15" x14ac:dyDescent="0.3">
      <c r="A511" t="s">
        <v>535</v>
      </c>
      <c r="B511" s="1">
        <v>45949</v>
      </c>
      <c r="C511" t="s">
        <v>21</v>
      </c>
      <c r="D511" t="s">
        <v>25</v>
      </c>
      <c r="E511" s="2">
        <v>22.42</v>
      </c>
      <c r="F511" s="3">
        <v>58.99</v>
      </c>
      <c r="G511" s="4">
        <v>368.77</v>
      </c>
      <c r="H511">
        <v>1</v>
      </c>
      <c r="I511" s="4">
        <v>368.77</v>
      </c>
      <c r="J511">
        <v>4.4000000000000004</v>
      </c>
      <c r="K511" t="s">
        <v>36</v>
      </c>
      <c r="L511" t="s">
        <v>16</v>
      </c>
      <c r="O511"/>
    </row>
    <row r="512" spans="1:15" x14ac:dyDescent="0.3">
      <c r="A512" t="s">
        <v>536</v>
      </c>
      <c r="B512" s="1">
        <v>45967</v>
      </c>
      <c r="C512" t="s">
        <v>14</v>
      </c>
      <c r="D512" t="s">
        <v>13</v>
      </c>
      <c r="E512" s="2">
        <v>6.78</v>
      </c>
      <c r="F512" s="3">
        <v>25.63</v>
      </c>
      <c r="G512" s="4">
        <v>87.29</v>
      </c>
      <c r="H512">
        <v>1.5</v>
      </c>
      <c r="I512" s="4">
        <v>130.94</v>
      </c>
      <c r="J512">
        <v>4.3</v>
      </c>
      <c r="K512" t="s">
        <v>18</v>
      </c>
      <c r="L512" t="s">
        <v>26</v>
      </c>
      <c r="O512"/>
    </row>
    <row r="513" spans="1:15" x14ac:dyDescent="0.3">
      <c r="A513" t="s">
        <v>537</v>
      </c>
      <c r="B513" s="1">
        <v>45706</v>
      </c>
      <c r="C513" t="s">
        <v>21</v>
      </c>
      <c r="D513" t="s">
        <v>14</v>
      </c>
      <c r="E513" s="2">
        <v>4.2300000000000004</v>
      </c>
      <c r="F513" s="3">
        <v>12.82</v>
      </c>
      <c r="G513" s="4">
        <v>53.62</v>
      </c>
      <c r="H513">
        <v>1</v>
      </c>
      <c r="I513" s="4">
        <v>53.62</v>
      </c>
      <c r="J513">
        <v>4.4000000000000004</v>
      </c>
      <c r="K513" t="s">
        <v>18</v>
      </c>
      <c r="L513" t="s">
        <v>19</v>
      </c>
      <c r="O513"/>
    </row>
    <row r="514" spans="1:15" x14ac:dyDescent="0.3">
      <c r="A514" t="s">
        <v>538</v>
      </c>
      <c r="B514" s="1">
        <v>45670</v>
      </c>
      <c r="C514" t="s">
        <v>13</v>
      </c>
      <c r="D514" t="s">
        <v>25</v>
      </c>
      <c r="E514" s="2">
        <v>11.99</v>
      </c>
      <c r="F514" s="3">
        <v>32.07</v>
      </c>
      <c r="G514" s="4">
        <v>122.22</v>
      </c>
      <c r="H514">
        <v>2</v>
      </c>
      <c r="I514" s="4">
        <v>244.44</v>
      </c>
      <c r="J514">
        <v>4.9000000000000004</v>
      </c>
      <c r="K514" t="s">
        <v>30</v>
      </c>
      <c r="L514" t="s">
        <v>28</v>
      </c>
      <c r="O514"/>
    </row>
    <row r="515" spans="1:15" x14ac:dyDescent="0.3">
      <c r="A515" t="s">
        <v>539</v>
      </c>
      <c r="B515" s="1">
        <v>45820</v>
      </c>
      <c r="C515" t="s">
        <v>22</v>
      </c>
      <c r="D515" t="s">
        <v>13</v>
      </c>
      <c r="E515" s="2">
        <v>15.29</v>
      </c>
      <c r="F515" s="3">
        <v>42.94</v>
      </c>
      <c r="G515" s="4">
        <v>234.08</v>
      </c>
      <c r="H515">
        <v>1.2</v>
      </c>
      <c r="I515" s="4">
        <v>280.89999999999998</v>
      </c>
      <c r="J515">
        <v>3.5</v>
      </c>
      <c r="K515" t="s">
        <v>36</v>
      </c>
      <c r="L515" t="s">
        <v>16</v>
      </c>
      <c r="O515"/>
    </row>
    <row r="516" spans="1:15" x14ac:dyDescent="0.3">
      <c r="A516" t="s">
        <v>540</v>
      </c>
      <c r="B516" s="1">
        <v>45686</v>
      </c>
      <c r="C516" t="s">
        <v>22</v>
      </c>
      <c r="D516" t="s">
        <v>14</v>
      </c>
      <c r="E516" s="2">
        <v>14.46</v>
      </c>
      <c r="F516" s="3">
        <v>56.78</v>
      </c>
      <c r="G516" s="4">
        <v>219.65</v>
      </c>
      <c r="H516">
        <v>1.2</v>
      </c>
      <c r="I516" s="4">
        <v>263.58</v>
      </c>
      <c r="J516">
        <v>4.5</v>
      </c>
      <c r="K516" t="s">
        <v>15</v>
      </c>
      <c r="L516" t="s">
        <v>26</v>
      </c>
      <c r="O516"/>
    </row>
    <row r="517" spans="1:15" x14ac:dyDescent="0.3">
      <c r="A517" t="s">
        <v>541</v>
      </c>
      <c r="B517" s="1">
        <v>45776</v>
      </c>
      <c r="C517" t="s">
        <v>14</v>
      </c>
      <c r="D517" t="s">
        <v>21</v>
      </c>
      <c r="E517" s="2">
        <v>23.45</v>
      </c>
      <c r="F517" s="3">
        <v>83.15</v>
      </c>
      <c r="G517" s="4">
        <v>356.74</v>
      </c>
      <c r="H517">
        <v>1.2</v>
      </c>
      <c r="I517" s="4">
        <v>428.09</v>
      </c>
      <c r="J517">
        <v>4.7</v>
      </c>
      <c r="K517" t="s">
        <v>30</v>
      </c>
      <c r="L517" t="s">
        <v>26</v>
      </c>
      <c r="O517"/>
    </row>
    <row r="518" spans="1:15" x14ac:dyDescent="0.3">
      <c r="A518" t="s">
        <v>542</v>
      </c>
      <c r="B518" s="1">
        <v>45838</v>
      </c>
      <c r="C518" t="s">
        <v>21</v>
      </c>
      <c r="D518" t="s">
        <v>22</v>
      </c>
      <c r="E518" s="2">
        <v>3.22</v>
      </c>
      <c r="F518" s="3">
        <v>8.9</v>
      </c>
      <c r="G518" s="4">
        <v>44.04</v>
      </c>
      <c r="H518">
        <v>1</v>
      </c>
      <c r="I518" s="4">
        <v>44.04</v>
      </c>
      <c r="J518">
        <v>3.5</v>
      </c>
      <c r="K518" t="s">
        <v>33</v>
      </c>
      <c r="L518" t="s">
        <v>16</v>
      </c>
      <c r="O518"/>
    </row>
    <row r="519" spans="1:15" x14ac:dyDescent="0.3">
      <c r="A519" t="s">
        <v>543</v>
      </c>
      <c r="B519" s="1">
        <v>45881</v>
      </c>
      <c r="C519" t="s">
        <v>25</v>
      </c>
      <c r="D519" t="s">
        <v>13</v>
      </c>
      <c r="E519" s="2">
        <v>9.51</v>
      </c>
      <c r="F519" s="3">
        <v>33.729999999999997</v>
      </c>
      <c r="G519" s="4">
        <v>144.36000000000001</v>
      </c>
      <c r="H519">
        <v>2</v>
      </c>
      <c r="I519" s="4">
        <v>288.72000000000003</v>
      </c>
      <c r="J519">
        <v>4.3</v>
      </c>
      <c r="K519" t="s">
        <v>36</v>
      </c>
      <c r="L519" t="s">
        <v>19</v>
      </c>
      <c r="O519"/>
    </row>
    <row r="520" spans="1:15" x14ac:dyDescent="0.3">
      <c r="A520" t="s">
        <v>544</v>
      </c>
      <c r="B520" s="1">
        <v>45669</v>
      </c>
      <c r="C520" t="s">
        <v>22</v>
      </c>
      <c r="D520" t="s">
        <v>13</v>
      </c>
      <c r="E520" s="2">
        <v>1.04</v>
      </c>
      <c r="F520" s="3">
        <v>2.7</v>
      </c>
      <c r="G520" s="4">
        <v>17.12</v>
      </c>
      <c r="H520">
        <v>1.5</v>
      </c>
      <c r="I520" s="4">
        <v>25.68</v>
      </c>
      <c r="J520">
        <v>4.8</v>
      </c>
      <c r="K520" t="s">
        <v>30</v>
      </c>
      <c r="L520" t="s">
        <v>16</v>
      </c>
      <c r="O520"/>
    </row>
    <row r="521" spans="1:15" x14ac:dyDescent="0.3">
      <c r="A521" t="s">
        <v>545</v>
      </c>
      <c r="B521" s="1">
        <v>45964</v>
      </c>
      <c r="C521" t="s">
        <v>14</v>
      </c>
      <c r="D521" t="s">
        <v>13</v>
      </c>
      <c r="E521" s="2">
        <v>1.68</v>
      </c>
      <c r="F521" s="3">
        <v>6.38</v>
      </c>
      <c r="G521" s="4">
        <v>29.96</v>
      </c>
      <c r="H521">
        <v>1</v>
      </c>
      <c r="I521" s="4">
        <v>29.96</v>
      </c>
      <c r="J521">
        <v>3.6</v>
      </c>
      <c r="K521" t="s">
        <v>30</v>
      </c>
      <c r="L521" t="s">
        <v>26</v>
      </c>
      <c r="O521"/>
    </row>
    <row r="522" spans="1:15" x14ac:dyDescent="0.3">
      <c r="A522" t="s">
        <v>546</v>
      </c>
      <c r="B522" s="1">
        <v>45702</v>
      </c>
      <c r="C522" t="s">
        <v>22</v>
      </c>
      <c r="D522" t="s">
        <v>22</v>
      </c>
      <c r="E522" s="2">
        <v>12.54</v>
      </c>
      <c r="F522" s="3">
        <v>32.68</v>
      </c>
      <c r="G522" s="4">
        <v>133.63999999999999</v>
      </c>
      <c r="H522">
        <v>1</v>
      </c>
      <c r="I522" s="4">
        <v>133.63999999999999</v>
      </c>
      <c r="J522">
        <v>4.9000000000000004</v>
      </c>
      <c r="K522" t="s">
        <v>36</v>
      </c>
      <c r="L522" t="s">
        <v>16</v>
      </c>
      <c r="O522"/>
    </row>
    <row r="523" spans="1:15" x14ac:dyDescent="0.3">
      <c r="A523" t="s">
        <v>547</v>
      </c>
      <c r="B523" s="1">
        <v>45883</v>
      </c>
      <c r="C523" t="s">
        <v>13</v>
      </c>
      <c r="D523" t="s">
        <v>25</v>
      </c>
      <c r="E523" s="2">
        <v>15.04</v>
      </c>
      <c r="F523" s="3">
        <v>52.56</v>
      </c>
      <c r="G523" s="4">
        <v>221.66</v>
      </c>
      <c r="H523">
        <v>1.2</v>
      </c>
      <c r="I523" s="4">
        <v>265.99</v>
      </c>
      <c r="J523">
        <v>4.2</v>
      </c>
      <c r="K523" t="s">
        <v>36</v>
      </c>
      <c r="L523" t="s">
        <v>26</v>
      </c>
      <c r="O523"/>
    </row>
    <row r="524" spans="1:15" x14ac:dyDescent="0.3">
      <c r="A524" t="s">
        <v>548</v>
      </c>
      <c r="B524" s="1">
        <v>45761</v>
      </c>
      <c r="C524" t="s">
        <v>25</v>
      </c>
      <c r="D524" t="s">
        <v>25</v>
      </c>
      <c r="E524" s="2">
        <v>28.34</v>
      </c>
      <c r="F524" s="3">
        <v>101.18</v>
      </c>
      <c r="G524" s="4">
        <v>564.34</v>
      </c>
      <c r="H524">
        <v>1.2</v>
      </c>
      <c r="I524" s="4">
        <v>677.21</v>
      </c>
      <c r="J524">
        <v>4.3</v>
      </c>
      <c r="K524" t="s">
        <v>33</v>
      </c>
      <c r="L524" t="s">
        <v>28</v>
      </c>
      <c r="O524"/>
    </row>
    <row r="525" spans="1:15" x14ac:dyDescent="0.3">
      <c r="A525" t="s">
        <v>549</v>
      </c>
      <c r="B525" s="1">
        <v>45945</v>
      </c>
      <c r="C525" t="s">
        <v>25</v>
      </c>
      <c r="D525" t="s">
        <v>13</v>
      </c>
      <c r="E525" s="2">
        <v>3.19</v>
      </c>
      <c r="F525" s="3">
        <v>8.7100000000000009</v>
      </c>
      <c r="G525" s="4">
        <v>39.090000000000003</v>
      </c>
      <c r="H525">
        <v>2</v>
      </c>
      <c r="I525" s="4">
        <v>78.180000000000007</v>
      </c>
      <c r="J525">
        <v>4.2</v>
      </c>
      <c r="K525" t="s">
        <v>30</v>
      </c>
      <c r="L525" t="s">
        <v>16</v>
      </c>
      <c r="O525"/>
    </row>
    <row r="526" spans="1:15" x14ac:dyDescent="0.3">
      <c r="A526" t="s">
        <v>550</v>
      </c>
      <c r="B526" s="1">
        <v>45683</v>
      </c>
      <c r="C526" t="s">
        <v>13</v>
      </c>
      <c r="D526" t="s">
        <v>13</v>
      </c>
      <c r="E526" s="2">
        <v>25.57</v>
      </c>
      <c r="F526" s="3">
        <v>67.260000000000005</v>
      </c>
      <c r="G526" s="4">
        <v>326.33</v>
      </c>
      <c r="H526">
        <v>1</v>
      </c>
      <c r="I526" s="4">
        <v>326.33</v>
      </c>
      <c r="J526">
        <v>4.5999999999999996</v>
      </c>
      <c r="K526" t="s">
        <v>36</v>
      </c>
      <c r="L526" t="s">
        <v>28</v>
      </c>
      <c r="O526"/>
    </row>
    <row r="527" spans="1:15" x14ac:dyDescent="0.3">
      <c r="A527" t="s">
        <v>551</v>
      </c>
      <c r="B527" s="1">
        <v>46017</v>
      </c>
      <c r="C527" t="s">
        <v>25</v>
      </c>
      <c r="D527" t="s">
        <v>14</v>
      </c>
      <c r="E527" s="2">
        <v>27.29</v>
      </c>
      <c r="F527" s="3">
        <v>63.52</v>
      </c>
      <c r="G527" s="4">
        <v>448.33</v>
      </c>
      <c r="H527">
        <v>1</v>
      </c>
      <c r="I527" s="4">
        <v>448.33</v>
      </c>
      <c r="J527">
        <v>3.7</v>
      </c>
      <c r="K527" t="s">
        <v>18</v>
      </c>
      <c r="L527" t="s">
        <v>19</v>
      </c>
      <c r="O527"/>
    </row>
    <row r="528" spans="1:15" x14ac:dyDescent="0.3">
      <c r="A528" t="s">
        <v>552</v>
      </c>
      <c r="B528" s="1">
        <v>45709</v>
      </c>
      <c r="C528" t="s">
        <v>22</v>
      </c>
      <c r="D528" t="s">
        <v>25</v>
      </c>
      <c r="E528" s="2">
        <v>10.78</v>
      </c>
      <c r="F528" s="3">
        <v>37.19</v>
      </c>
      <c r="G528" s="4">
        <v>165.88</v>
      </c>
      <c r="H528">
        <v>1.5</v>
      </c>
      <c r="I528" s="4">
        <v>248.82</v>
      </c>
      <c r="J528">
        <v>4.4000000000000004</v>
      </c>
      <c r="K528" t="s">
        <v>36</v>
      </c>
      <c r="L528" t="s">
        <v>19</v>
      </c>
      <c r="O528"/>
    </row>
    <row r="529" spans="1:15" x14ac:dyDescent="0.3">
      <c r="A529" t="s">
        <v>553</v>
      </c>
      <c r="B529" s="1">
        <v>45899</v>
      </c>
      <c r="C529" t="s">
        <v>22</v>
      </c>
      <c r="D529" t="s">
        <v>25</v>
      </c>
      <c r="E529" s="2">
        <v>21.01</v>
      </c>
      <c r="F529" s="3">
        <v>81.12</v>
      </c>
      <c r="G529" s="4">
        <v>314.58999999999997</v>
      </c>
      <c r="H529">
        <v>1</v>
      </c>
      <c r="I529" s="4">
        <v>314.58999999999997</v>
      </c>
      <c r="J529">
        <v>3.9</v>
      </c>
      <c r="K529" t="s">
        <v>33</v>
      </c>
      <c r="L529" t="s">
        <v>19</v>
      </c>
      <c r="O529"/>
    </row>
    <row r="530" spans="1:15" x14ac:dyDescent="0.3">
      <c r="A530" t="s">
        <v>554</v>
      </c>
      <c r="B530" s="1">
        <v>45711</v>
      </c>
      <c r="C530" t="s">
        <v>14</v>
      </c>
      <c r="D530" t="s">
        <v>25</v>
      </c>
      <c r="E530" s="2">
        <v>13.05</v>
      </c>
      <c r="F530" s="3">
        <v>33.979999999999997</v>
      </c>
      <c r="G530" s="4">
        <v>229.82</v>
      </c>
      <c r="H530">
        <v>2</v>
      </c>
      <c r="I530" s="4">
        <v>459.64</v>
      </c>
      <c r="J530">
        <v>4</v>
      </c>
      <c r="K530" t="s">
        <v>15</v>
      </c>
      <c r="L530" t="s">
        <v>26</v>
      </c>
      <c r="O530"/>
    </row>
    <row r="531" spans="1:15" x14ac:dyDescent="0.3">
      <c r="A531" t="s">
        <v>555</v>
      </c>
      <c r="B531" s="1">
        <v>45934</v>
      </c>
      <c r="C531" t="s">
        <v>25</v>
      </c>
      <c r="D531" t="s">
        <v>14</v>
      </c>
      <c r="E531" s="2">
        <v>28.91</v>
      </c>
      <c r="F531" s="3">
        <v>93.72</v>
      </c>
      <c r="G531" s="4">
        <v>557.58000000000004</v>
      </c>
      <c r="H531">
        <v>1.2</v>
      </c>
      <c r="I531" s="4">
        <v>669.1</v>
      </c>
      <c r="J531">
        <v>3.9</v>
      </c>
      <c r="K531" t="s">
        <v>15</v>
      </c>
      <c r="L531" t="s">
        <v>19</v>
      </c>
      <c r="O531"/>
    </row>
    <row r="532" spans="1:15" x14ac:dyDescent="0.3">
      <c r="A532" t="s">
        <v>556</v>
      </c>
      <c r="B532" s="1">
        <v>45859</v>
      </c>
      <c r="C532" t="s">
        <v>21</v>
      </c>
      <c r="D532" t="s">
        <v>14</v>
      </c>
      <c r="E532" s="2">
        <v>6.23</v>
      </c>
      <c r="F532" s="3">
        <v>18.170000000000002</v>
      </c>
      <c r="G532" s="4">
        <v>97.24</v>
      </c>
      <c r="H532">
        <v>1.2</v>
      </c>
      <c r="I532" s="4">
        <v>116.69</v>
      </c>
      <c r="J532">
        <v>3.9</v>
      </c>
      <c r="K532" t="s">
        <v>36</v>
      </c>
      <c r="L532" t="s">
        <v>16</v>
      </c>
      <c r="O532"/>
    </row>
    <row r="533" spans="1:15" x14ac:dyDescent="0.3">
      <c r="A533" t="s">
        <v>557</v>
      </c>
      <c r="B533" s="1">
        <v>45892</v>
      </c>
      <c r="C533" t="s">
        <v>14</v>
      </c>
      <c r="D533" t="s">
        <v>22</v>
      </c>
      <c r="E533" s="2">
        <v>20.56</v>
      </c>
      <c r="F533" s="3">
        <v>46.75</v>
      </c>
      <c r="G533" s="4">
        <v>410.17</v>
      </c>
      <c r="H533">
        <v>1.2</v>
      </c>
      <c r="I533" s="4">
        <v>492.2</v>
      </c>
      <c r="J533">
        <v>4.7</v>
      </c>
      <c r="K533" t="s">
        <v>36</v>
      </c>
      <c r="L533" t="s">
        <v>19</v>
      </c>
      <c r="O533"/>
    </row>
    <row r="534" spans="1:15" x14ac:dyDescent="0.3">
      <c r="A534" t="s">
        <v>558</v>
      </c>
      <c r="B534" s="1">
        <v>45813</v>
      </c>
      <c r="C534" t="s">
        <v>22</v>
      </c>
      <c r="D534" t="s">
        <v>14</v>
      </c>
      <c r="E534" s="2">
        <v>20.11</v>
      </c>
      <c r="F534" s="3">
        <v>44.6</v>
      </c>
      <c r="G534" s="4">
        <v>329.11</v>
      </c>
      <c r="H534">
        <v>2</v>
      </c>
      <c r="I534" s="4">
        <v>658.22</v>
      </c>
      <c r="J534">
        <v>5</v>
      </c>
      <c r="K534" t="s">
        <v>15</v>
      </c>
      <c r="L534" t="s">
        <v>19</v>
      </c>
      <c r="O534"/>
    </row>
    <row r="535" spans="1:15" x14ac:dyDescent="0.3">
      <c r="A535" t="s">
        <v>559</v>
      </c>
      <c r="B535" s="1">
        <v>45977</v>
      </c>
      <c r="C535" t="s">
        <v>14</v>
      </c>
      <c r="D535" t="s">
        <v>14</v>
      </c>
      <c r="E535" s="2">
        <v>28.64</v>
      </c>
      <c r="F535" s="3">
        <v>87.21</v>
      </c>
      <c r="G535" s="4">
        <v>349.16</v>
      </c>
      <c r="H535">
        <v>1</v>
      </c>
      <c r="I535" s="4">
        <v>349.16</v>
      </c>
      <c r="J535">
        <v>3.9</v>
      </c>
      <c r="K535" t="s">
        <v>33</v>
      </c>
      <c r="L535" t="s">
        <v>28</v>
      </c>
      <c r="O535"/>
    </row>
    <row r="536" spans="1:15" x14ac:dyDescent="0.3">
      <c r="A536" t="s">
        <v>560</v>
      </c>
      <c r="B536" s="1">
        <v>45676</v>
      </c>
      <c r="C536" t="s">
        <v>25</v>
      </c>
      <c r="D536" t="s">
        <v>13</v>
      </c>
      <c r="E536" s="2">
        <v>6.11</v>
      </c>
      <c r="F536" s="3">
        <v>14.83</v>
      </c>
      <c r="G536" s="4">
        <v>61.9</v>
      </c>
      <c r="H536">
        <v>1.2</v>
      </c>
      <c r="I536" s="4">
        <v>74.28</v>
      </c>
      <c r="J536">
        <v>3.4</v>
      </c>
      <c r="K536" t="s">
        <v>15</v>
      </c>
      <c r="L536" t="s">
        <v>28</v>
      </c>
      <c r="O536"/>
    </row>
    <row r="537" spans="1:15" x14ac:dyDescent="0.3">
      <c r="A537" t="s">
        <v>561</v>
      </c>
      <c r="B537" s="1">
        <v>45942</v>
      </c>
      <c r="C537" t="s">
        <v>14</v>
      </c>
      <c r="D537" t="s">
        <v>14</v>
      </c>
      <c r="E537" s="2">
        <v>27.33</v>
      </c>
      <c r="F537" s="3">
        <v>106.24</v>
      </c>
      <c r="G537" s="4">
        <v>535.71</v>
      </c>
      <c r="H537">
        <v>1</v>
      </c>
      <c r="I537" s="4">
        <v>535.71</v>
      </c>
      <c r="J537">
        <v>4.9000000000000004</v>
      </c>
      <c r="K537" t="s">
        <v>36</v>
      </c>
      <c r="L537" t="s">
        <v>28</v>
      </c>
      <c r="O537"/>
    </row>
    <row r="538" spans="1:15" x14ac:dyDescent="0.3">
      <c r="A538" t="s">
        <v>562</v>
      </c>
      <c r="B538" s="1">
        <v>45904</v>
      </c>
      <c r="C538" t="s">
        <v>22</v>
      </c>
      <c r="D538" t="s">
        <v>21</v>
      </c>
      <c r="E538" s="2">
        <v>12.39</v>
      </c>
      <c r="F538" s="3">
        <v>45.95</v>
      </c>
      <c r="G538" s="4">
        <v>219.69</v>
      </c>
      <c r="H538">
        <v>2</v>
      </c>
      <c r="I538" s="4">
        <v>439.38</v>
      </c>
      <c r="J538">
        <v>3.5</v>
      </c>
      <c r="K538" t="s">
        <v>33</v>
      </c>
      <c r="L538" t="s">
        <v>16</v>
      </c>
      <c r="O538"/>
    </row>
    <row r="539" spans="1:15" x14ac:dyDescent="0.3">
      <c r="A539" t="s">
        <v>563</v>
      </c>
      <c r="B539" s="1">
        <v>45978</v>
      </c>
      <c r="C539" t="s">
        <v>22</v>
      </c>
      <c r="D539" t="s">
        <v>21</v>
      </c>
      <c r="E539" s="2">
        <v>14.29</v>
      </c>
      <c r="F539" s="3">
        <v>50.91</v>
      </c>
      <c r="G539" s="4">
        <v>280.11</v>
      </c>
      <c r="H539">
        <v>1.2</v>
      </c>
      <c r="I539" s="4">
        <v>336.13</v>
      </c>
      <c r="J539">
        <v>4.5</v>
      </c>
      <c r="K539" t="s">
        <v>36</v>
      </c>
      <c r="L539" t="s">
        <v>16</v>
      </c>
      <c r="O539"/>
    </row>
    <row r="540" spans="1:15" x14ac:dyDescent="0.3">
      <c r="A540" t="s">
        <v>564</v>
      </c>
      <c r="B540" s="1">
        <v>45743</v>
      </c>
      <c r="C540" t="s">
        <v>21</v>
      </c>
      <c r="D540" t="s">
        <v>13</v>
      </c>
      <c r="E540" s="2">
        <v>18.489999999999998</v>
      </c>
      <c r="F540" s="3">
        <v>67.87</v>
      </c>
      <c r="G540" s="4">
        <v>329.94</v>
      </c>
      <c r="H540">
        <v>2</v>
      </c>
      <c r="I540" s="4">
        <v>659.88</v>
      </c>
      <c r="J540">
        <v>4.9000000000000004</v>
      </c>
      <c r="K540" t="s">
        <v>33</v>
      </c>
      <c r="L540" t="s">
        <v>26</v>
      </c>
      <c r="O540"/>
    </row>
    <row r="541" spans="1:15" x14ac:dyDescent="0.3">
      <c r="A541" t="s">
        <v>565</v>
      </c>
      <c r="B541" s="1">
        <v>45912</v>
      </c>
      <c r="C541" t="s">
        <v>13</v>
      </c>
      <c r="D541" t="s">
        <v>22</v>
      </c>
      <c r="E541" s="2">
        <v>19.399999999999999</v>
      </c>
      <c r="F541" s="3">
        <v>47.42</v>
      </c>
      <c r="G541" s="4">
        <v>256.39999999999998</v>
      </c>
      <c r="H541">
        <v>1.2</v>
      </c>
      <c r="I541" s="4">
        <v>307.68</v>
      </c>
      <c r="J541">
        <v>4</v>
      </c>
      <c r="K541" t="s">
        <v>18</v>
      </c>
      <c r="L541" t="s">
        <v>28</v>
      </c>
      <c r="O541"/>
    </row>
    <row r="542" spans="1:15" x14ac:dyDescent="0.3">
      <c r="A542" t="s">
        <v>566</v>
      </c>
      <c r="B542" s="1">
        <v>45748</v>
      </c>
      <c r="C542" t="s">
        <v>13</v>
      </c>
      <c r="D542" t="s">
        <v>13</v>
      </c>
      <c r="E542" s="2">
        <v>8.36</v>
      </c>
      <c r="F542" s="3">
        <v>20.83</v>
      </c>
      <c r="G542" s="4">
        <v>117.27</v>
      </c>
      <c r="H542">
        <v>2</v>
      </c>
      <c r="I542" s="4">
        <v>234.54</v>
      </c>
      <c r="J542">
        <v>4.3</v>
      </c>
      <c r="K542" t="s">
        <v>18</v>
      </c>
      <c r="L542" t="s">
        <v>19</v>
      </c>
      <c r="O542"/>
    </row>
    <row r="543" spans="1:15" x14ac:dyDescent="0.3">
      <c r="A543" t="s">
        <v>567</v>
      </c>
      <c r="B543" s="1">
        <v>45667</v>
      </c>
      <c r="C543" t="s">
        <v>25</v>
      </c>
      <c r="D543" t="s">
        <v>14</v>
      </c>
      <c r="E543" s="2">
        <v>27.14</v>
      </c>
      <c r="F543" s="3">
        <v>62.63</v>
      </c>
      <c r="G543" s="4">
        <v>540.11</v>
      </c>
      <c r="H543">
        <v>1.2</v>
      </c>
      <c r="I543" s="4">
        <v>648.13</v>
      </c>
      <c r="J543">
        <v>5</v>
      </c>
      <c r="K543" t="s">
        <v>30</v>
      </c>
      <c r="L543" t="s">
        <v>26</v>
      </c>
      <c r="O543"/>
    </row>
    <row r="544" spans="1:15" x14ac:dyDescent="0.3">
      <c r="A544" t="s">
        <v>568</v>
      </c>
      <c r="B544" s="1">
        <v>45817</v>
      </c>
      <c r="C544" t="s">
        <v>22</v>
      </c>
      <c r="D544" t="s">
        <v>14</v>
      </c>
      <c r="E544" s="2">
        <v>15.87</v>
      </c>
      <c r="F544" s="3">
        <v>47.02</v>
      </c>
      <c r="G544" s="4">
        <v>259.54000000000002</v>
      </c>
      <c r="H544">
        <v>2</v>
      </c>
      <c r="I544" s="4">
        <v>519.08000000000004</v>
      </c>
      <c r="J544">
        <v>4.5</v>
      </c>
      <c r="K544" t="s">
        <v>18</v>
      </c>
      <c r="L544" t="s">
        <v>16</v>
      </c>
      <c r="O544"/>
    </row>
    <row r="545" spans="1:15" x14ac:dyDescent="0.3">
      <c r="A545" t="s">
        <v>569</v>
      </c>
      <c r="B545" s="1">
        <v>45820</v>
      </c>
      <c r="C545" t="s">
        <v>21</v>
      </c>
      <c r="D545" t="s">
        <v>25</v>
      </c>
      <c r="E545" s="2">
        <v>2.67</v>
      </c>
      <c r="F545" s="3">
        <v>7.71</v>
      </c>
      <c r="G545" s="4">
        <v>34.06</v>
      </c>
      <c r="H545">
        <v>1</v>
      </c>
      <c r="I545" s="4">
        <v>34.06</v>
      </c>
      <c r="J545">
        <v>4.5999999999999996</v>
      </c>
      <c r="K545" t="s">
        <v>30</v>
      </c>
      <c r="L545" t="s">
        <v>19</v>
      </c>
      <c r="O545"/>
    </row>
    <row r="546" spans="1:15" x14ac:dyDescent="0.3">
      <c r="A546" t="s">
        <v>570</v>
      </c>
      <c r="B546" s="1">
        <v>45773</v>
      </c>
      <c r="C546" t="s">
        <v>13</v>
      </c>
      <c r="D546" t="s">
        <v>13</v>
      </c>
      <c r="E546" s="2">
        <v>12.2</v>
      </c>
      <c r="F546" s="3">
        <v>38.4</v>
      </c>
      <c r="G546" s="4">
        <v>172.7</v>
      </c>
      <c r="H546">
        <v>1</v>
      </c>
      <c r="I546" s="4">
        <v>172.7</v>
      </c>
      <c r="J546">
        <v>3.5</v>
      </c>
      <c r="K546" t="s">
        <v>30</v>
      </c>
      <c r="L546" t="s">
        <v>26</v>
      </c>
      <c r="O546"/>
    </row>
    <row r="547" spans="1:15" x14ac:dyDescent="0.3">
      <c r="A547" t="s">
        <v>571</v>
      </c>
      <c r="B547" s="1">
        <v>45715</v>
      </c>
      <c r="C547" t="s">
        <v>13</v>
      </c>
      <c r="D547" t="s">
        <v>21</v>
      </c>
      <c r="E547" s="2">
        <v>26.44</v>
      </c>
      <c r="F547" s="3">
        <v>104.4</v>
      </c>
      <c r="G547" s="4">
        <v>271.68</v>
      </c>
      <c r="H547">
        <v>1.5</v>
      </c>
      <c r="I547" s="4">
        <v>407.52</v>
      </c>
      <c r="J547">
        <v>3.4</v>
      </c>
      <c r="K547" t="s">
        <v>15</v>
      </c>
      <c r="L547" t="s">
        <v>19</v>
      </c>
      <c r="O547"/>
    </row>
    <row r="548" spans="1:15" x14ac:dyDescent="0.3">
      <c r="A548" t="s">
        <v>572</v>
      </c>
      <c r="B548" s="1">
        <v>45762</v>
      </c>
      <c r="C548" t="s">
        <v>21</v>
      </c>
      <c r="D548" t="s">
        <v>14</v>
      </c>
      <c r="E548" s="2">
        <v>7.63</v>
      </c>
      <c r="F548" s="3">
        <v>29.85</v>
      </c>
      <c r="G548" s="4">
        <v>87.61</v>
      </c>
      <c r="H548">
        <v>2</v>
      </c>
      <c r="I548" s="4">
        <v>175.22</v>
      </c>
      <c r="J548">
        <v>3.6</v>
      </c>
      <c r="K548" t="s">
        <v>15</v>
      </c>
      <c r="L548" t="s">
        <v>19</v>
      </c>
      <c r="O548"/>
    </row>
    <row r="549" spans="1:15" x14ac:dyDescent="0.3">
      <c r="A549" t="s">
        <v>573</v>
      </c>
      <c r="B549" s="1">
        <v>45878</v>
      </c>
      <c r="C549" t="s">
        <v>14</v>
      </c>
      <c r="D549" t="s">
        <v>21</v>
      </c>
      <c r="E549" s="2">
        <v>13.51</v>
      </c>
      <c r="F549" s="3">
        <v>46.45</v>
      </c>
      <c r="G549" s="4">
        <v>211.21</v>
      </c>
      <c r="H549">
        <v>1</v>
      </c>
      <c r="I549" s="4">
        <v>211.21</v>
      </c>
      <c r="J549">
        <v>4</v>
      </c>
      <c r="K549" t="s">
        <v>15</v>
      </c>
      <c r="L549" t="s">
        <v>16</v>
      </c>
      <c r="O549"/>
    </row>
    <row r="550" spans="1:15" x14ac:dyDescent="0.3">
      <c r="A550" t="s">
        <v>574</v>
      </c>
      <c r="B550" s="1">
        <v>45939</v>
      </c>
      <c r="C550" t="s">
        <v>21</v>
      </c>
      <c r="D550" t="s">
        <v>13</v>
      </c>
      <c r="E550" s="2">
        <v>25.35</v>
      </c>
      <c r="F550" s="3">
        <v>57.99</v>
      </c>
      <c r="G550" s="4">
        <v>362.53</v>
      </c>
      <c r="H550">
        <v>1.5</v>
      </c>
      <c r="I550" s="4">
        <v>543.79</v>
      </c>
      <c r="J550">
        <v>4.9000000000000004</v>
      </c>
      <c r="K550" t="s">
        <v>33</v>
      </c>
      <c r="L550" t="s">
        <v>28</v>
      </c>
      <c r="O550"/>
    </row>
    <row r="551" spans="1:15" x14ac:dyDescent="0.3">
      <c r="A551" t="s">
        <v>575</v>
      </c>
      <c r="B551" s="1">
        <v>45697</v>
      </c>
      <c r="C551" t="s">
        <v>14</v>
      </c>
      <c r="D551" t="s">
        <v>14</v>
      </c>
      <c r="E551" s="2">
        <v>12.63</v>
      </c>
      <c r="F551" s="3">
        <v>44.54</v>
      </c>
      <c r="G551" s="4">
        <v>230.27</v>
      </c>
      <c r="H551">
        <v>2</v>
      </c>
      <c r="I551" s="4">
        <v>460.54</v>
      </c>
      <c r="J551">
        <v>4</v>
      </c>
      <c r="K551" t="s">
        <v>30</v>
      </c>
      <c r="L551" t="s">
        <v>26</v>
      </c>
      <c r="O551"/>
    </row>
    <row r="552" spans="1:15" x14ac:dyDescent="0.3">
      <c r="A552" t="s">
        <v>576</v>
      </c>
      <c r="B552" s="1">
        <v>45773</v>
      </c>
      <c r="C552" t="s">
        <v>21</v>
      </c>
      <c r="D552" t="s">
        <v>14</v>
      </c>
      <c r="E552" s="2">
        <v>6.93</v>
      </c>
      <c r="F552" s="3">
        <v>17.399999999999999</v>
      </c>
      <c r="G552" s="4">
        <v>89.79</v>
      </c>
      <c r="H552">
        <v>2</v>
      </c>
      <c r="I552" s="4">
        <v>179.58</v>
      </c>
      <c r="J552">
        <v>4.7</v>
      </c>
      <c r="K552" t="s">
        <v>18</v>
      </c>
      <c r="L552" t="s">
        <v>28</v>
      </c>
      <c r="O552"/>
    </row>
    <row r="553" spans="1:15" x14ac:dyDescent="0.3">
      <c r="A553" t="s">
        <v>577</v>
      </c>
      <c r="B553" s="1">
        <v>45981</v>
      </c>
      <c r="C553" t="s">
        <v>14</v>
      </c>
      <c r="D553" t="s">
        <v>22</v>
      </c>
      <c r="E553" s="2">
        <v>9.56</v>
      </c>
      <c r="F553" s="3">
        <v>35.94</v>
      </c>
      <c r="G553" s="4">
        <v>139.58000000000001</v>
      </c>
      <c r="H553">
        <v>1.5</v>
      </c>
      <c r="I553" s="4">
        <v>209.37</v>
      </c>
      <c r="J553">
        <v>4.5999999999999996</v>
      </c>
      <c r="K553" t="s">
        <v>15</v>
      </c>
      <c r="L553" t="s">
        <v>28</v>
      </c>
      <c r="O553"/>
    </row>
    <row r="554" spans="1:15" x14ac:dyDescent="0.3">
      <c r="A554" t="s">
        <v>578</v>
      </c>
      <c r="B554" s="1">
        <v>45697</v>
      </c>
      <c r="C554" t="s">
        <v>13</v>
      </c>
      <c r="D554" t="s">
        <v>13</v>
      </c>
      <c r="E554" s="2">
        <v>2.38</v>
      </c>
      <c r="F554" s="3">
        <v>8.2200000000000006</v>
      </c>
      <c r="G554" s="4">
        <v>42.22</v>
      </c>
      <c r="H554">
        <v>2</v>
      </c>
      <c r="I554" s="4">
        <v>84.44</v>
      </c>
      <c r="J554">
        <v>4.3</v>
      </c>
      <c r="K554" t="s">
        <v>18</v>
      </c>
      <c r="L554" t="s">
        <v>28</v>
      </c>
      <c r="O554"/>
    </row>
    <row r="555" spans="1:15" x14ac:dyDescent="0.3">
      <c r="A555" t="s">
        <v>579</v>
      </c>
      <c r="B555" s="1">
        <v>45980</v>
      </c>
      <c r="C555" t="s">
        <v>21</v>
      </c>
      <c r="D555" t="s">
        <v>25</v>
      </c>
      <c r="E555" s="2">
        <v>15.95</v>
      </c>
      <c r="F555" s="3">
        <v>46.68</v>
      </c>
      <c r="G555" s="4">
        <v>166.74</v>
      </c>
      <c r="H555">
        <v>2</v>
      </c>
      <c r="I555" s="4">
        <v>333.48</v>
      </c>
      <c r="J555">
        <v>3.9</v>
      </c>
      <c r="K555" t="s">
        <v>15</v>
      </c>
      <c r="L555" t="s">
        <v>28</v>
      </c>
      <c r="O555"/>
    </row>
    <row r="556" spans="1:15" x14ac:dyDescent="0.3">
      <c r="A556" t="s">
        <v>580</v>
      </c>
      <c r="B556" s="1">
        <v>45726</v>
      </c>
      <c r="C556" t="s">
        <v>13</v>
      </c>
      <c r="D556" t="s">
        <v>22</v>
      </c>
      <c r="E556" s="2">
        <v>12.36</v>
      </c>
      <c r="F556" s="3">
        <v>38.229999999999997</v>
      </c>
      <c r="G556" s="4">
        <v>189.36</v>
      </c>
      <c r="H556">
        <v>1</v>
      </c>
      <c r="I556" s="4">
        <v>189.36</v>
      </c>
      <c r="J556">
        <v>3.8</v>
      </c>
      <c r="K556" t="s">
        <v>36</v>
      </c>
      <c r="L556" t="s">
        <v>16</v>
      </c>
      <c r="O556"/>
    </row>
    <row r="557" spans="1:15" x14ac:dyDescent="0.3">
      <c r="A557" t="s">
        <v>581</v>
      </c>
      <c r="B557" s="1">
        <v>45711</v>
      </c>
      <c r="C557" t="s">
        <v>21</v>
      </c>
      <c r="D557" t="s">
        <v>13</v>
      </c>
      <c r="E557" s="2">
        <v>11.5</v>
      </c>
      <c r="F557" s="3">
        <v>39.630000000000003</v>
      </c>
      <c r="G557" s="4">
        <v>138.06</v>
      </c>
      <c r="H557">
        <v>1.5</v>
      </c>
      <c r="I557" s="4">
        <v>207.09</v>
      </c>
      <c r="J557">
        <v>3.6</v>
      </c>
      <c r="K557" t="s">
        <v>18</v>
      </c>
      <c r="L557" t="s">
        <v>26</v>
      </c>
      <c r="O557"/>
    </row>
    <row r="558" spans="1:15" x14ac:dyDescent="0.3">
      <c r="A558" t="s">
        <v>582</v>
      </c>
      <c r="B558" s="1">
        <v>45974</v>
      </c>
      <c r="C558" t="s">
        <v>22</v>
      </c>
      <c r="D558" t="s">
        <v>14</v>
      </c>
      <c r="E558" s="2">
        <v>13.69</v>
      </c>
      <c r="F558" s="3">
        <v>51.55</v>
      </c>
      <c r="G558" s="4">
        <v>144.01</v>
      </c>
      <c r="H558">
        <v>2</v>
      </c>
      <c r="I558" s="4">
        <v>288.02</v>
      </c>
      <c r="J558">
        <v>4.9000000000000004</v>
      </c>
      <c r="K558" t="s">
        <v>18</v>
      </c>
      <c r="L558" t="s">
        <v>16</v>
      </c>
      <c r="O558"/>
    </row>
    <row r="559" spans="1:15" x14ac:dyDescent="0.3">
      <c r="A559" t="s">
        <v>583</v>
      </c>
      <c r="B559" s="1">
        <v>45695</v>
      </c>
      <c r="C559" t="s">
        <v>21</v>
      </c>
      <c r="D559" t="s">
        <v>25</v>
      </c>
      <c r="E559" s="2">
        <v>22.22</v>
      </c>
      <c r="F559" s="3">
        <v>72.91</v>
      </c>
      <c r="G559" s="4">
        <v>314.62</v>
      </c>
      <c r="H559">
        <v>1</v>
      </c>
      <c r="I559" s="4">
        <v>314.62</v>
      </c>
      <c r="J559">
        <v>3.8</v>
      </c>
      <c r="K559" t="s">
        <v>30</v>
      </c>
      <c r="L559" t="s">
        <v>16</v>
      </c>
      <c r="O559"/>
    </row>
    <row r="560" spans="1:15" x14ac:dyDescent="0.3">
      <c r="A560" t="s">
        <v>584</v>
      </c>
      <c r="B560" s="1">
        <v>45963</v>
      </c>
      <c r="C560" t="s">
        <v>14</v>
      </c>
      <c r="D560" t="s">
        <v>21</v>
      </c>
      <c r="E560" s="2">
        <v>26.99</v>
      </c>
      <c r="F560" s="3">
        <v>98.14</v>
      </c>
      <c r="G560" s="4">
        <v>338.13</v>
      </c>
      <c r="H560">
        <v>1.5</v>
      </c>
      <c r="I560" s="4">
        <v>507.2</v>
      </c>
      <c r="J560">
        <v>3.4</v>
      </c>
      <c r="K560" t="s">
        <v>33</v>
      </c>
      <c r="L560" t="s">
        <v>16</v>
      </c>
      <c r="O560"/>
    </row>
    <row r="561" spans="1:15" x14ac:dyDescent="0.3">
      <c r="A561" t="s">
        <v>585</v>
      </c>
      <c r="B561" s="1">
        <v>45704</v>
      </c>
      <c r="C561" t="s">
        <v>21</v>
      </c>
      <c r="D561" t="s">
        <v>21</v>
      </c>
      <c r="E561" s="2">
        <v>24.39</v>
      </c>
      <c r="F561" s="3">
        <v>96.82</v>
      </c>
      <c r="G561" s="4">
        <v>427.86</v>
      </c>
      <c r="H561">
        <v>1</v>
      </c>
      <c r="I561" s="4">
        <v>427.86</v>
      </c>
      <c r="J561">
        <v>4.0999999999999996</v>
      </c>
      <c r="K561" t="s">
        <v>18</v>
      </c>
      <c r="L561" t="s">
        <v>28</v>
      </c>
      <c r="O561"/>
    </row>
    <row r="562" spans="1:15" x14ac:dyDescent="0.3">
      <c r="A562" t="s">
        <v>586</v>
      </c>
      <c r="B562" s="1">
        <v>45898</v>
      </c>
      <c r="C562" t="s">
        <v>25</v>
      </c>
      <c r="D562" t="s">
        <v>13</v>
      </c>
      <c r="E562" s="2">
        <v>12.04</v>
      </c>
      <c r="F562" s="3">
        <v>34.06</v>
      </c>
      <c r="G562" s="4">
        <v>211.16</v>
      </c>
      <c r="H562">
        <v>2</v>
      </c>
      <c r="I562" s="4">
        <v>422.32</v>
      </c>
      <c r="J562">
        <v>3.3</v>
      </c>
      <c r="K562" t="s">
        <v>15</v>
      </c>
      <c r="L562" t="s">
        <v>28</v>
      </c>
      <c r="O562"/>
    </row>
    <row r="563" spans="1:15" x14ac:dyDescent="0.3">
      <c r="A563" t="s">
        <v>587</v>
      </c>
      <c r="B563" s="1">
        <v>45912</v>
      </c>
      <c r="C563" t="s">
        <v>21</v>
      </c>
      <c r="D563" t="s">
        <v>25</v>
      </c>
      <c r="E563" s="2">
        <v>16.010000000000002</v>
      </c>
      <c r="F563" s="3">
        <v>40.630000000000003</v>
      </c>
      <c r="G563" s="4">
        <v>260.70999999999998</v>
      </c>
      <c r="H563">
        <v>1.2</v>
      </c>
      <c r="I563" s="4">
        <v>312.85000000000002</v>
      </c>
      <c r="J563">
        <v>3.5</v>
      </c>
      <c r="K563" t="s">
        <v>18</v>
      </c>
      <c r="L563" t="s">
        <v>19</v>
      </c>
      <c r="O563"/>
    </row>
    <row r="564" spans="1:15" x14ac:dyDescent="0.3">
      <c r="A564" t="s">
        <v>588</v>
      </c>
      <c r="B564" s="1">
        <v>45981</v>
      </c>
      <c r="C564" t="s">
        <v>13</v>
      </c>
      <c r="D564" t="s">
        <v>22</v>
      </c>
      <c r="E564" s="2">
        <v>28.53</v>
      </c>
      <c r="F564" s="3">
        <v>93.13</v>
      </c>
      <c r="G564" s="4">
        <v>322.37</v>
      </c>
      <c r="H564">
        <v>1</v>
      </c>
      <c r="I564" s="4">
        <v>322.37</v>
      </c>
      <c r="J564">
        <v>3.2</v>
      </c>
      <c r="K564" t="s">
        <v>30</v>
      </c>
      <c r="L564" t="s">
        <v>28</v>
      </c>
      <c r="O564"/>
    </row>
    <row r="565" spans="1:15" x14ac:dyDescent="0.3">
      <c r="A565" t="s">
        <v>589</v>
      </c>
      <c r="B565" s="1">
        <v>45978</v>
      </c>
      <c r="C565" t="s">
        <v>22</v>
      </c>
      <c r="D565" t="s">
        <v>14</v>
      </c>
      <c r="E565" s="2">
        <v>21.55</v>
      </c>
      <c r="F565" s="3">
        <v>50.52</v>
      </c>
      <c r="G565" s="4">
        <v>425.06</v>
      </c>
      <c r="H565">
        <v>1.5</v>
      </c>
      <c r="I565" s="4">
        <v>637.59</v>
      </c>
      <c r="J565">
        <v>4.7</v>
      </c>
      <c r="K565" t="s">
        <v>15</v>
      </c>
      <c r="L565" t="s">
        <v>16</v>
      </c>
      <c r="O565"/>
    </row>
    <row r="566" spans="1:15" x14ac:dyDescent="0.3">
      <c r="A566" t="s">
        <v>590</v>
      </c>
      <c r="B566" s="1">
        <v>45761</v>
      </c>
      <c r="C566" t="s">
        <v>25</v>
      </c>
      <c r="D566" t="s">
        <v>22</v>
      </c>
      <c r="E566" s="2">
        <v>6.23</v>
      </c>
      <c r="F566" s="3">
        <v>13.68</v>
      </c>
      <c r="G566" s="4">
        <v>112.36</v>
      </c>
      <c r="H566">
        <v>1.5</v>
      </c>
      <c r="I566" s="4">
        <v>168.54</v>
      </c>
      <c r="J566">
        <v>4.4000000000000004</v>
      </c>
      <c r="K566" t="s">
        <v>15</v>
      </c>
      <c r="L566" t="s">
        <v>26</v>
      </c>
      <c r="O566"/>
    </row>
    <row r="567" spans="1:15" x14ac:dyDescent="0.3">
      <c r="A567" t="s">
        <v>591</v>
      </c>
      <c r="B567" s="1">
        <v>45824</v>
      </c>
      <c r="C567" t="s">
        <v>25</v>
      </c>
      <c r="D567" t="s">
        <v>22</v>
      </c>
      <c r="E567" s="2">
        <v>25.66</v>
      </c>
      <c r="F567" s="3">
        <v>69.010000000000005</v>
      </c>
      <c r="G567" s="4">
        <v>264.52</v>
      </c>
      <c r="H567">
        <v>1</v>
      </c>
      <c r="I567" s="4">
        <v>264.52</v>
      </c>
      <c r="J567">
        <v>3.4</v>
      </c>
      <c r="K567" t="s">
        <v>18</v>
      </c>
      <c r="L567" t="s">
        <v>26</v>
      </c>
      <c r="O567"/>
    </row>
    <row r="568" spans="1:15" x14ac:dyDescent="0.3">
      <c r="A568" t="s">
        <v>592</v>
      </c>
      <c r="B568" s="1">
        <v>45798</v>
      </c>
      <c r="C568" t="s">
        <v>22</v>
      </c>
      <c r="D568" t="s">
        <v>13</v>
      </c>
      <c r="E568" s="2">
        <v>7.19</v>
      </c>
      <c r="F568" s="3">
        <v>23.94</v>
      </c>
      <c r="G568" s="4">
        <v>83.21</v>
      </c>
      <c r="H568">
        <v>1</v>
      </c>
      <c r="I568" s="4">
        <v>83.21</v>
      </c>
      <c r="J568">
        <v>4.4000000000000004</v>
      </c>
      <c r="K568" t="s">
        <v>36</v>
      </c>
      <c r="L568" t="s">
        <v>19</v>
      </c>
      <c r="O568"/>
    </row>
    <row r="569" spans="1:15" x14ac:dyDescent="0.3">
      <c r="A569" t="s">
        <v>593</v>
      </c>
      <c r="B569" s="1">
        <v>45733</v>
      </c>
      <c r="C569" t="s">
        <v>25</v>
      </c>
      <c r="D569" t="s">
        <v>22</v>
      </c>
      <c r="E569" s="2">
        <v>20.46</v>
      </c>
      <c r="F569" s="3">
        <v>58.73</v>
      </c>
      <c r="G569" s="4">
        <v>316.99</v>
      </c>
      <c r="H569">
        <v>1</v>
      </c>
      <c r="I569" s="4">
        <v>316.99</v>
      </c>
      <c r="J569">
        <v>3.8</v>
      </c>
      <c r="K569" t="s">
        <v>30</v>
      </c>
      <c r="L569" t="s">
        <v>28</v>
      </c>
      <c r="O569"/>
    </row>
    <row r="570" spans="1:15" x14ac:dyDescent="0.3">
      <c r="A570" t="s">
        <v>594</v>
      </c>
      <c r="B570" s="1">
        <v>45928</v>
      </c>
      <c r="C570" t="s">
        <v>25</v>
      </c>
      <c r="D570" t="s">
        <v>21</v>
      </c>
      <c r="E570" s="2">
        <v>15.69</v>
      </c>
      <c r="F570" s="3">
        <v>43.53</v>
      </c>
      <c r="G570" s="4">
        <v>299.14</v>
      </c>
      <c r="H570">
        <v>1</v>
      </c>
      <c r="I570" s="4">
        <v>299.14</v>
      </c>
      <c r="J570">
        <v>3.1</v>
      </c>
      <c r="K570" t="s">
        <v>30</v>
      </c>
      <c r="L570" t="s">
        <v>19</v>
      </c>
      <c r="O570"/>
    </row>
    <row r="571" spans="1:15" x14ac:dyDescent="0.3">
      <c r="A571" t="s">
        <v>595</v>
      </c>
      <c r="B571" s="1">
        <v>45735</v>
      </c>
      <c r="C571" t="s">
        <v>21</v>
      </c>
      <c r="D571" t="s">
        <v>13</v>
      </c>
      <c r="E571" s="2">
        <v>21.41</v>
      </c>
      <c r="F571" s="3">
        <v>84.37</v>
      </c>
      <c r="G571" s="4">
        <v>307.8</v>
      </c>
      <c r="H571">
        <v>2</v>
      </c>
      <c r="I571" s="4">
        <v>615.6</v>
      </c>
      <c r="J571">
        <v>4.0999999999999996</v>
      </c>
      <c r="K571" t="s">
        <v>36</v>
      </c>
      <c r="L571" t="s">
        <v>19</v>
      </c>
      <c r="O571"/>
    </row>
    <row r="572" spans="1:15" x14ac:dyDescent="0.3">
      <c r="A572" t="s">
        <v>596</v>
      </c>
      <c r="B572" s="1">
        <v>45996</v>
      </c>
      <c r="C572" t="s">
        <v>13</v>
      </c>
      <c r="D572" t="s">
        <v>25</v>
      </c>
      <c r="E572" s="2">
        <v>21.48</v>
      </c>
      <c r="F572" s="3">
        <v>65.91</v>
      </c>
      <c r="G572" s="4">
        <v>330.95</v>
      </c>
      <c r="H572">
        <v>1</v>
      </c>
      <c r="I572" s="4">
        <v>330.95</v>
      </c>
      <c r="J572">
        <v>4</v>
      </c>
      <c r="K572" t="s">
        <v>18</v>
      </c>
      <c r="L572" t="s">
        <v>16</v>
      </c>
      <c r="O572"/>
    </row>
    <row r="573" spans="1:15" x14ac:dyDescent="0.3">
      <c r="A573" t="s">
        <v>597</v>
      </c>
      <c r="B573" s="1">
        <v>45940</v>
      </c>
      <c r="C573" t="s">
        <v>25</v>
      </c>
      <c r="D573" t="s">
        <v>25</v>
      </c>
      <c r="E573" s="2">
        <v>14.99</v>
      </c>
      <c r="F573" s="3">
        <v>33.53</v>
      </c>
      <c r="G573" s="4">
        <v>294.02999999999997</v>
      </c>
      <c r="H573">
        <v>1.2</v>
      </c>
      <c r="I573" s="4">
        <v>352.84</v>
      </c>
      <c r="J573">
        <v>4.0999999999999996</v>
      </c>
      <c r="K573" t="s">
        <v>36</v>
      </c>
      <c r="L573" t="s">
        <v>26</v>
      </c>
      <c r="O573"/>
    </row>
    <row r="574" spans="1:15" x14ac:dyDescent="0.3">
      <c r="A574" t="s">
        <v>598</v>
      </c>
      <c r="B574" s="1">
        <v>45861</v>
      </c>
      <c r="C574" t="s">
        <v>14</v>
      </c>
      <c r="D574" t="s">
        <v>21</v>
      </c>
      <c r="E574" s="2">
        <v>7.58</v>
      </c>
      <c r="F574" s="3">
        <v>28.49</v>
      </c>
      <c r="G574" s="4">
        <v>137.11000000000001</v>
      </c>
      <c r="H574">
        <v>1.5</v>
      </c>
      <c r="I574" s="4">
        <v>205.67</v>
      </c>
      <c r="J574">
        <v>3.6</v>
      </c>
      <c r="K574" t="s">
        <v>30</v>
      </c>
      <c r="L574" t="s">
        <v>26</v>
      </c>
      <c r="O574"/>
    </row>
    <row r="575" spans="1:15" x14ac:dyDescent="0.3">
      <c r="A575" t="s">
        <v>599</v>
      </c>
      <c r="B575" s="1">
        <v>45808</v>
      </c>
      <c r="C575" t="s">
        <v>14</v>
      </c>
      <c r="D575" t="s">
        <v>14</v>
      </c>
      <c r="E575" s="2">
        <v>10.18</v>
      </c>
      <c r="F575" s="3">
        <v>36.979999999999997</v>
      </c>
      <c r="G575" s="4">
        <v>152.85</v>
      </c>
      <c r="H575">
        <v>2</v>
      </c>
      <c r="I575" s="4">
        <v>305.7</v>
      </c>
      <c r="J575">
        <v>3.5</v>
      </c>
      <c r="K575" t="s">
        <v>36</v>
      </c>
      <c r="L575" t="s">
        <v>16</v>
      </c>
      <c r="O575"/>
    </row>
    <row r="576" spans="1:15" x14ac:dyDescent="0.3">
      <c r="A576" t="s">
        <v>600</v>
      </c>
      <c r="B576" s="1">
        <v>45771</v>
      </c>
      <c r="C576" t="s">
        <v>25</v>
      </c>
      <c r="D576" t="s">
        <v>22</v>
      </c>
      <c r="E576" s="2">
        <v>25.15</v>
      </c>
      <c r="F576" s="3">
        <v>95.88</v>
      </c>
      <c r="G576" s="4">
        <v>254.56</v>
      </c>
      <c r="H576">
        <v>2</v>
      </c>
      <c r="I576" s="4">
        <v>509.12</v>
      </c>
      <c r="J576">
        <v>3.3</v>
      </c>
      <c r="K576" t="s">
        <v>18</v>
      </c>
      <c r="L576" t="s">
        <v>26</v>
      </c>
      <c r="O576"/>
    </row>
    <row r="577" spans="1:15" x14ac:dyDescent="0.3">
      <c r="A577" t="s">
        <v>601</v>
      </c>
      <c r="B577" s="1">
        <v>45770</v>
      </c>
      <c r="C577" t="s">
        <v>13</v>
      </c>
      <c r="D577" t="s">
        <v>21</v>
      </c>
      <c r="E577" s="2">
        <v>1.57</v>
      </c>
      <c r="F577" s="3">
        <v>4.37</v>
      </c>
      <c r="G577" s="4">
        <v>18.71</v>
      </c>
      <c r="H577">
        <v>2</v>
      </c>
      <c r="I577" s="4">
        <v>37.42</v>
      </c>
      <c r="J577">
        <v>4.2</v>
      </c>
      <c r="K577" t="s">
        <v>33</v>
      </c>
      <c r="L577" t="s">
        <v>16</v>
      </c>
      <c r="O577"/>
    </row>
    <row r="578" spans="1:15" x14ac:dyDescent="0.3">
      <c r="A578" t="s">
        <v>602</v>
      </c>
      <c r="B578" s="1">
        <v>45754</v>
      </c>
      <c r="C578" t="s">
        <v>25</v>
      </c>
      <c r="D578" t="s">
        <v>21</v>
      </c>
      <c r="E578" s="2">
        <v>13.49</v>
      </c>
      <c r="F578" s="3">
        <v>50.67</v>
      </c>
      <c r="G578" s="4">
        <v>216.58</v>
      </c>
      <c r="H578">
        <v>2</v>
      </c>
      <c r="I578" s="4">
        <v>433.16</v>
      </c>
      <c r="J578">
        <v>4.5999999999999996</v>
      </c>
      <c r="K578" t="s">
        <v>33</v>
      </c>
      <c r="L578" t="s">
        <v>16</v>
      </c>
      <c r="O578"/>
    </row>
    <row r="579" spans="1:15" x14ac:dyDescent="0.3">
      <c r="A579" t="s">
        <v>603</v>
      </c>
      <c r="B579" s="1">
        <v>45975</v>
      </c>
      <c r="C579" t="s">
        <v>25</v>
      </c>
      <c r="D579" t="s">
        <v>13</v>
      </c>
      <c r="E579" s="2">
        <v>3.43</v>
      </c>
      <c r="F579" s="3">
        <v>9.15</v>
      </c>
      <c r="G579" s="4">
        <v>57.54</v>
      </c>
      <c r="H579">
        <v>1.5</v>
      </c>
      <c r="I579" s="4">
        <v>86.31</v>
      </c>
      <c r="J579">
        <v>3.1</v>
      </c>
      <c r="K579" t="s">
        <v>30</v>
      </c>
      <c r="L579" t="s">
        <v>19</v>
      </c>
      <c r="O579"/>
    </row>
    <row r="580" spans="1:15" x14ac:dyDescent="0.3">
      <c r="A580" t="s">
        <v>604</v>
      </c>
      <c r="B580" s="1">
        <v>45704</v>
      </c>
      <c r="C580" t="s">
        <v>14</v>
      </c>
      <c r="D580" t="s">
        <v>21</v>
      </c>
      <c r="E580" s="2">
        <v>12.06</v>
      </c>
      <c r="F580" s="3">
        <v>47.81</v>
      </c>
      <c r="G580" s="4">
        <v>215.25</v>
      </c>
      <c r="H580">
        <v>1.5</v>
      </c>
      <c r="I580" s="4">
        <v>322.88</v>
      </c>
      <c r="J580">
        <v>4.3</v>
      </c>
      <c r="K580" t="s">
        <v>18</v>
      </c>
      <c r="L580" t="s">
        <v>26</v>
      </c>
      <c r="O580"/>
    </row>
    <row r="581" spans="1:15" x14ac:dyDescent="0.3">
      <c r="A581" t="s">
        <v>605</v>
      </c>
      <c r="B581" s="1">
        <v>45671</v>
      </c>
      <c r="C581" t="s">
        <v>22</v>
      </c>
      <c r="D581" t="s">
        <v>22</v>
      </c>
      <c r="E581" s="2">
        <v>23.65</v>
      </c>
      <c r="F581" s="3">
        <v>84.44</v>
      </c>
      <c r="G581" s="4">
        <v>378.66</v>
      </c>
      <c r="H581">
        <v>2</v>
      </c>
      <c r="I581" s="4">
        <v>757.32</v>
      </c>
      <c r="J581">
        <v>3.6</v>
      </c>
      <c r="K581" t="s">
        <v>33</v>
      </c>
      <c r="L581" t="s">
        <v>28</v>
      </c>
      <c r="O581"/>
    </row>
    <row r="582" spans="1:15" x14ac:dyDescent="0.3">
      <c r="A582" t="s">
        <v>606</v>
      </c>
      <c r="B582" s="1">
        <v>45995</v>
      </c>
      <c r="C582" t="s">
        <v>14</v>
      </c>
      <c r="D582" t="s">
        <v>25</v>
      </c>
      <c r="E582" s="2">
        <v>28.3</v>
      </c>
      <c r="F582" s="3">
        <v>108.37</v>
      </c>
      <c r="G582" s="4">
        <v>286.25</v>
      </c>
      <c r="H582">
        <v>1.2</v>
      </c>
      <c r="I582" s="4">
        <v>343.5</v>
      </c>
      <c r="J582">
        <v>4</v>
      </c>
      <c r="K582" t="s">
        <v>18</v>
      </c>
      <c r="L582" t="s">
        <v>19</v>
      </c>
      <c r="O582"/>
    </row>
    <row r="583" spans="1:15" x14ac:dyDescent="0.3">
      <c r="A583" t="s">
        <v>607</v>
      </c>
      <c r="B583" s="1">
        <v>45674</v>
      </c>
      <c r="C583" t="s">
        <v>21</v>
      </c>
      <c r="D583" t="s">
        <v>14</v>
      </c>
      <c r="E583" s="2">
        <v>3.99</v>
      </c>
      <c r="F583" s="3">
        <v>12.35</v>
      </c>
      <c r="G583" s="4">
        <v>78.959999999999994</v>
      </c>
      <c r="H583">
        <v>1</v>
      </c>
      <c r="I583" s="4">
        <v>78.959999999999994</v>
      </c>
      <c r="J583">
        <v>4.5</v>
      </c>
      <c r="K583" t="s">
        <v>18</v>
      </c>
      <c r="L583" t="s">
        <v>26</v>
      </c>
      <c r="O583"/>
    </row>
    <row r="584" spans="1:15" x14ac:dyDescent="0.3">
      <c r="A584" t="s">
        <v>608</v>
      </c>
      <c r="B584" s="1">
        <v>45876</v>
      </c>
      <c r="C584" t="s">
        <v>25</v>
      </c>
      <c r="D584" t="s">
        <v>14</v>
      </c>
      <c r="E584" s="2">
        <v>16.07</v>
      </c>
      <c r="F584" s="3">
        <v>34.520000000000003</v>
      </c>
      <c r="G584" s="4">
        <v>258</v>
      </c>
      <c r="H584">
        <v>1.2</v>
      </c>
      <c r="I584" s="4">
        <v>309.60000000000002</v>
      </c>
      <c r="J584">
        <v>4</v>
      </c>
      <c r="K584" t="s">
        <v>30</v>
      </c>
      <c r="L584" t="s">
        <v>16</v>
      </c>
      <c r="O584"/>
    </row>
    <row r="585" spans="1:15" x14ac:dyDescent="0.3">
      <c r="A585" t="s">
        <v>609</v>
      </c>
      <c r="B585" s="1">
        <v>45865</v>
      </c>
      <c r="C585" t="s">
        <v>22</v>
      </c>
      <c r="D585" t="s">
        <v>13</v>
      </c>
      <c r="E585" s="2">
        <v>19.29</v>
      </c>
      <c r="F585" s="3">
        <v>59.78</v>
      </c>
      <c r="G585" s="4">
        <v>325.95999999999998</v>
      </c>
      <c r="H585">
        <v>1.2</v>
      </c>
      <c r="I585" s="4">
        <v>391.15</v>
      </c>
      <c r="J585">
        <v>4.2</v>
      </c>
      <c r="K585" t="s">
        <v>15</v>
      </c>
      <c r="L585" t="s">
        <v>26</v>
      </c>
      <c r="O585"/>
    </row>
    <row r="586" spans="1:15" x14ac:dyDescent="0.3">
      <c r="A586" t="s">
        <v>610</v>
      </c>
      <c r="B586" s="1">
        <v>45952</v>
      </c>
      <c r="C586" t="s">
        <v>13</v>
      </c>
      <c r="D586" t="s">
        <v>21</v>
      </c>
      <c r="E586" s="2">
        <v>5.99</v>
      </c>
      <c r="F586" s="3">
        <v>23.07</v>
      </c>
      <c r="G586" s="4">
        <v>63.99</v>
      </c>
      <c r="H586">
        <v>1</v>
      </c>
      <c r="I586" s="4">
        <v>63.99</v>
      </c>
      <c r="J586">
        <v>3.2</v>
      </c>
      <c r="K586" t="s">
        <v>36</v>
      </c>
      <c r="L586" t="s">
        <v>28</v>
      </c>
      <c r="O586"/>
    </row>
    <row r="587" spans="1:15" x14ac:dyDescent="0.3">
      <c r="A587" t="s">
        <v>611</v>
      </c>
      <c r="B587" s="1">
        <v>45765</v>
      </c>
      <c r="C587" t="s">
        <v>14</v>
      </c>
      <c r="D587" t="s">
        <v>14</v>
      </c>
      <c r="E587" s="2">
        <v>14.28</v>
      </c>
      <c r="F587" s="3">
        <v>31.19</v>
      </c>
      <c r="G587" s="4">
        <v>221.82</v>
      </c>
      <c r="H587">
        <v>1</v>
      </c>
      <c r="I587" s="4">
        <v>221.82</v>
      </c>
      <c r="J587">
        <v>3</v>
      </c>
      <c r="K587" t="s">
        <v>15</v>
      </c>
      <c r="L587" t="s">
        <v>26</v>
      </c>
      <c r="O587"/>
    </row>
    <row r="588" spans="1:15" x14ac:dyDescent="0.3">
      <c r="A588" t="s">
        <v>612</v>
      </c>
      <c r="B588" s="1">
        <v>45980</v>
      </c>
      <c r="C588" t="s">
        <v>21</v>
      </c>
      <c r="D588" t="s">
        <v>22</v>
      </c>
      <c r="E588" s="2">
        <v>11.82</v>
      </c>
      <c r="F588" s="3">
        <v>36.96</v>
      </c>
      <c r="G588" s="4">
        <v>171.47</v>
      </c>
      <c r="H588">
        <v>2</v>
      </c>
      <c r="I588" s="4">
        <v>342.94</v>
      </c>
      <c r="J588">
        <v>4.2</v>
      </c>
      <c r="K588" t="s">
        <v>36</v>
      </c>
      <c r="L588" t="s">
        <v>28</v>
      </c>
      <c r="O588"/>
    </row>
    <row r="589" spans="1:15" x14ac:dyDescent="0.3">
      <c r="A589" t="s">
        <v>613</v>
      </c>
      <c r="B589" s="1">
        <v>45890</v>
      </c>
      <c r="C589" t="s">
        <v>25</v>
      </c>
      <c r="D589" t="s">
        <v>22</v>
      </c>
      <c r="E589" s="2">
        <v>16.25</v>
      </c>
      <c r="F589" s="3">
        <v>40.61</v>
      </c>
      <c r="G589" s="4">
        <v>162.83000000000001</v>
      </c>
      <c r="H589">
        <v>2</v>
      </c>
      <c r="I589" s="4">
        <v>325.66000000000003</v>
      </c>
      <c r="J589">
        <v>4.9000000000000004</v>
      </c>
      <c r="K589" t="s">
        <v>18</v>
      </c>
      <c r="L589" t="s">
        <v>28</v>
      </c>
      <c r="O589"/>
    </row>
    <row r="590" spans="1:15" x14ac:dyDescent="0.3">
      <c r="A590" t="s">
        <v>614</v>
      </c>
      <c r="B590" s="1">
        <v>45811</v>
      </c>
      <c r="C590" t="s">
        <v>14</v>
      </c>
      <c r="D590" t="s">
        <v>22</v>
      </c>
      <c r="E590" s="2">
        <v>14.02</v>
      </c>
      <c r="F590" s="3">
        <v>45.21</v>
      </c>
      <c r="G590" s="4">
        <v>170.07</v>
      </c>
      <c r="H590">
        <v>1.5</v>
      </c>
      <c r="I590" s="4">
        <v>255.1</v>
      </c>
      <c r="J590">
        <v>4.8</v>
      </c>
      <c r="K590" t="s">
        <v>18</v>
      </c>
      <c r="L590" t="s">
        <v>26</v>
      </c>
      <c r="O590"/>
    </row>
    <row r="591" spans="1:15" x14ac:dyDescent="0.3">
      <c r="A591" t="s">
        <v>615</v>
      </c>
      <c r="B591" s="1">
        <v>45905</v>
      </c>
      <c r="C591" t="s">
        <v>25</v>
      </c>
      <c r="D591" t="s">
        <v>13</v>
      </c>
      <c r="E591" s="2">
        <v>18.04</v>
      </c>
      <c r="F591" s="3">
        <v>61.38</v>
      </c>
      <c r="G591" s="4">
        <v>303.08999999999997</v>
      </c>
      <c r="H591">
        <v>2</v>
      </c>
      <c r="I591" s="4">
        <v>606.17999999999995</v>
      </c>
      <c r="J591">
        <v>4.3</v>
      </c>
      <c r="K591" t="s">
        <v>36</v>
      </c>
      <c r="L591" t="s">
        <v>28</v>
      </c>
      <c r="O591"/>
    </row>
    <row r="592" spans="1:15" x14ac:dyDescent="0.3">
      <c r="A592" t="s">
        <v>616</v>
      </c>
      <c r="B592" s="1">
        <v>45958</v>
      </c>
      <c r="C592" t="s">
        <v>22</v>
      </c>
      <c r="D592" t="s">
        <v>22</v>
      </c>
      <c r="E592" s="2">
        <v>17.899999999999999</v>
      </c>
      <c r="F592" s="3">
        <v>44.86</v>
      </c>
      <c r="G592" s="4">
        <v>259.60000000000002</v>
      </c>
      <c r="H592">
        <v>1</v>
      </c>
      <c r="I592" s="4">
        <v>259.60000000000002</v>
      </c>
      <c r="J592">
        <v>3.4</v>
      </c>
      <c r="K592" t="s">
        <v>36</v>
      </c>
      <c r="L592" t="s">
        <v>28</v>
      </c>
      <c r="O592"/>
    </row>
    <row r="593" spans="1:15" x14ac:dyDescent="0.3">
      <c r="A593" t="s">
        <v>617</v>
      </c>
      <c r="B593" s="1">
        <v>45730</v>
      </c>
      <c r="C593" t="s">
        <v>14</v>
      </c>
      <c r="D593" t="s">
        <v>25</v>
      </c>
      <c r="E593" s="2">
        <v>25.35</v>
      </c>
      <c r="F593" s="3">
        <v>60.26</v>
      </c>
      <c r="G593" s="4">
        <v>423.97</v>
      </c>
      <c r="H593">
        <v>2</v>
      </c>
      <c r="I593" s="4">
        <v>847.94</v>
      </c>
      <c r="J593">
        <v>4.3</v>
      </c>
      <c r="K593" t="s">
        <v>18</v>
      </c>
      <c r="L593" t="s">
        <v>28</v>
      </c>
      <c r="O593"/>
    </row>
    <row r="594" spans="1:15" x14ac:dyDescent="0.3">
      <c r="A594" t="s">
        <v>618</v>
      </c>
      <c r="B594" s="1">
        <v>45987</v>
      </c>
      <c r="C594" t="s">
        <v>21</v>
      </c>
      <c r="D594" t="s">
        <v>22</v>
      </c>
      <c r="E594" s="2">
        <v>1.24</v>
      </c>
      <c r="F594" s="3">
        <v>3.56</v>
      </c>
      <c r="G594" s="4">
        <v>13.55</v>
      </c>
      <c r="H594">
        <v>1.5</v>
      </c>
      <c r="I594" s="4">
        <v>20.329999999999998</v>
      </c>
      <c r="J594">
        <v>3.2</v>
      </c>
      <c r="K594" t="s">
        <v>30</v>
      </c>
      <c r="L594" t="s">
        <v>26</v>
      </c>
      <c r="O594"/>
    </row>
    <row r="595" spans="1:15" x14ac:dyDescent="0.3">
      <c r="A595" t="s">
        <v>619</v>
      </c>
      <c r="B595" s="1">
        <v>45928</v>
      </c>
      <c r="C595" t="s">
        <v>25</v>
      </c>
      <c r="D595" t="s">
        <v>14</v>
      </c>
      <c r="E595" s="2">
        <v>24.7</v>
      </c>
      <c r="F595" s="3">
        <v>74.73</v>
      </c>
      <c r="G595" s="4">
        <v>355.28</v>
      </c>
      <c r="H595">
        <v>1.5</v>
      </c>
      <c r="I595" s="4">
        <v>532.91999999999996</v>
      </c>
      <c r="J595">
        <v>4.2</v>
      </c>
      <c r="K595" t="s">
        <v>36</v>
      </c>
      <c r="L595" t="s">
        <v>16</v>
      </c>
      <c r="O595"/>
    </row>
    <row r="596" spans="1:15" x14ac:dyDescent="0.3">
      <c r="A596" t="s">
        <v>620</v>
      </c>
      <c r="B596" s="1">
        <v>45930</v>
      </c>
      <c r="C596" t="s">
        <v>14</v>
      </c>
      <c r="D596" t="s">
        <v>13</v>
      </c>
      <c r="E596" s="2">
        <v>16.86</v>
      </c>
      <c r="F596" s="3">
        <v>56.34</v>
      </c>
      <c r="G596" s="4">
        <v>286.77</v>
      </c>
      <c r="H596">
        <v>1</v>
      </c>
      <c r="I596" s="4">
        <v>286.77</v>
      </c>
      <c r="J596">
        <v>3.2</v>
      </c>
      <c r="K596" t="s">
        <v>30</v>
      </c>
      <c r="L596" t="s">
        <v>28</v>
      </c>
      <c r="O596"/>
    </row>
    <row r="597" spans="1:15" x14ac:dyDescent="0.3">
      <c r="A597" t="s">
        <v>621</v>
      </c>
      <c r="B597" s="1">
        <v>45902</v>
      </c>
      <c r="C597" t="s">
        <v>13</v>
      </c>
      <c r="D597" t="s">
        <v>21</v>
      </c>
      <c r="E597" s="2">
        <v>26.45</v>
      </c>
      <c r="F597" s="3">
        <v>91.98</v>
      </c>
      <c r="G597" s="4">
        <v>268.14</v>
      </c>
      <c r="H597">
        <v>1.5</v>
      </c>
      <c r="I597" s="4">
        <v>402.21</v>
      </c>
      <c r="J597">
        <v>3.7</v>
      </c>
      <c r="K597" t="s">
        <v>33</v>
      </c>
      <c r="L597" t="s">
        <v>28</v>
      </c>
      <c r="O597"/>
    </row>
    <row r="598" spans="1:15" x14ac:dyDescent="0.3">
      <c r="A598" t="s">
        <v>622</v>
      </c>
      <c r="B598" s="1">
        <v>45726</v>
      </c>
      <c r="C598" t="s">
        <v>13</v>
      </c>
      <c r="D598" t="s">
        <v>22</v>
      </c>
      <c r="E598" s="2">
        <v>3.24</v>
      </c>
      <c r="F598" s="3">
        <v>12.38</v>
      </c>
      <c r="G598" s="4">
        <v>43.9</v>
      </c>
      <c r="H598">
        <v>1.2</v>
      </c>
      <c r="I598" s="4">
        <v>52.68</v>
      </c>
      <c r="J598">
        <v>4.5</v>
      </c>
      <c r="K598" t="s">
        <v>33</v>
      </c>
      <c r="L598" t="s">
        <v>19</v>
      </c>
      <c r="O598"/>
    </row>
    <row r="599" spans="1:15" x14ac:dyDescent="0.3">
      <c r="A599" t="s">
        <v>623</v>
      </c>
      <c r="B599" s="1">
        <v>45971</v>
      </c>
      <c r="C599" t="s">
        <v>21</v>
      </c>
      <c r="D599" t="s">
        <v>25</v>
      </c>
      <c r="E599" s="2">
        <v>18.32</v>
      </c>
      <c r="F599" s="3">
        <v>58.43</v>
      </c>
      <c r="G599" s="4">
        <v>251.39</v>
      </c>
      <c r="H599">
        <v>1.5</v>
      </c>
      <c r="I599" s="4">
        <v>377.08</v>
      </c>
      <c r="J599">
        <v>4.7</v>
      </c>
      <c r="K599" t="s">
        <v>30</v>
      </c>
      <c r="L599" t="s">
        <v>16</v>
      </c>
      <c r="O599"/>
    </row>
    <row r="600" spans="1:15" x14ac:dyDescent="0.3">
      <c r="A600" t="s">
        <v>624</v>
      </c>
      <c r="B600" s="1">
        <v>45695</v>
      </c>
      <c r="C600" t="s">
        <v>25</v>
      </c>
      <c r="D600" t="s">
        <v>21</v>
      </c>
      <c r="E600" s="2">
        <v>12.12</v>
      </c>
      <c r="F600" s="3">
        <v>36.200000000000003</v>
      </c>
      <c r="G600" s="4">
        <v>155.54</v>
      </c>
      <c r="H600">
        <v>2</v>
      </c>
      <c r="I600" s="4">
        <v>311.08</v>
      </c>
      <c r="J600">
        <v>3.4</v>
      </c>
      <c r="K600" t="s">
        <v>30</v>
      </c>
      <c r="L600" t="s">
        <v>19</v>
      </c>
      <c r="O600"/>
    </row>
    <row r="601" spans="1:15" x14ac:dyDescent="0.3">
      <c r="A601" t="s">
        <v>625</v>
      </c>
      <c r="B601" s="1">
        <v>46015</v>
      </c>
      <c r="C601" t="s">
        <v>21</v>
      </c>
      <c r="D601" t="s">
        <v>13</v>
      </c>
      <c r="E601" s="2">
        <v>22.54</v>
      </c>
      <c r="F601" s="3">
        <v>78.349999999999994</v>
      </c>
      <c r="G601" s="4">
        <v>342.93</v>
      </c>
      <c r="H601">
        <v>1.5</v>
      </c>
      <c r="I601" s="4">
        <v>514.4</v>
      </c>
      <c r="J601">
        <v>4.5</v>
      </c>
      <c r="K601" t="s">
        <v>15</v>
      </c>
      <c r="L601" t="s">
        <v>28</v>
      </c>
      <c r="O601"/>
    </row>
    <row r="602" spans="1:15" x14ac:dyDescent="0.3">
      <c r="A602" t="s">
        <v>626</v>
      </c>
      <c r="B602" s="1">
        <v>45866</v>
      </c>
      <c r="C602" t="s">
        <v>13</v>
      </c>
      <c r="D602" t="s">
        <v>13</v>
      </c>
      <c r="E602" s="2">
        <v>27.7</v>
      </c>
      <c r="F602" s="3">
        <v>87.78</v>
      </c>
      <c r="G602" s="4">
        <v>426.12</v>
      </c>
      <c r="H602">
        <v>1</v>
      </c>
      <c r="I602" s="4">
        <v>426.12</v>
      </c>
      <c r="J602">
        <v>4.7</v>
      </c>
      <c r="K602" t="s">
        <v>15</v>
      </c>
      <c r="L602" t="s">
        <v>26</v>
      </c>
      <c r="O602"/>
    </row>
    <row r="603" spans="1:15" x14ac:dyDescent="0.3">
      <c r="A603" t="s">
        <v>627</v>
      </c>
      <c r="B603" s="1">
        <v>46010</v>
      </c>
      <c r="C603" t="s">
        <v>13</v>
      </c>
      <c r="D603" t="s">
        <v>22</v>
      </c>
      <c r="E603" s="2">
        <v>26.97</v>
      </c>
      <c r="F603" s="3">
        <v>89.89</v>
      </c>
      <c r="G603" s="4">
        <v>482.06</v>
      </c>
      <c r="H603">
        <v>1</v>
      </c>
      <c r="I603" s="4">
        <v>482.06</v>
      </c>
      <c r="J603">
        <v>3.8</v>
      </c>
      <c r="K603" t="s">
        <v>15</v>
      </c>
      <c r="L603" t="s">
        <v>16</v>
      </c>
      <c r="O603"/>
    </row>
    <row r="604" spans="1:15" x14ac:dyDescent="0.3">
      <c r="A604" t="s">
        <v>628</v>
      </c>
      <c r="B604" s="1">
        <v>45715</v>
      </c>
      <c r="C604" t="s">
        <v>22</v>
      </c>
      <c r="D604" t="s">
        <v>21</v>
      </c>
      <c r="E604" s="2">
        <v>8.1999999999999993</v>
      </c>
      <c r="F604" s="3">
        <v>27.97</v>
      </c>
      <c r="G604" s="4">
        <v>117.06</v>
      </c>
      <c r="H604">
        <v>2</v>
      </c>
      <c r="I604" s="4">
        <v>234.12</v>
      </c>
      <c r="J604">
        <v>4.0999999999999996</v>
      </c>
      <c r="K604" t="s">
        <v>18</v>
      </c>
      <c r="L604" t="s">
        <v>16</v>
      </c>
      <c r="O604"/>
    </row>
    <row r="605" spans="1:15" x14ac:dyDescent="0.3">
      <c r="A605" t="s">
        <v>629</v>
      </c>
      <c r="B605" s="1">
        <v>45764</v>
      </c>
      <c r="C605" t="s">
        <v>14</v>
      </c>
      <c r="D605" t="s">
        <v>14</v>
      </c>
      <c r="E605" s="2">
        <v>28.15</v>
      </c>
      <c r="F605" s="3">
        <v>59.9</v>
      </c>
      <c r="G605" s="4">
        <v>513.66999999999996</v>
      </c>
      <c r="H605">
        <v>1.2</v>
      </c>
      <c r="I605" s="4">
        <v>616.4</v>
      </c>
      <c r="J605">
        <v>4.5999999999999996</v>
      </c>
      <c r="K605" t="s">
        <v>36</v>
      </c>
      <c r="L605" t="s">
        <v>16</v>
      </c>
      <c r="O605"/>
    </row>
    <row r="606" spans="1:15" x14ac:dyDescent="0.3">
      <c r="A606" t="s">
        <v>630</v>
      </c>
      <c r="B606" s="1">
        <v>45843</v>
      </c>
      <c r="C606" t="s">
        <v>14</v>
      </c>
      <c r="D606" t="s">
        <v>22</v>
      </c>
      <c r="E606" s="2">
        <v>1.64</v>
      </c>
      <c r="F606" s="3">
        <v>4.2699999999999996</v>
      </c>
      <c r="G606" s="4">
        <v>24.64</v>
      </c>
      <c r="H606">
        <v>1</v>
      </c>
      <c r="I606" s="4">
        <v>24.64</v>
      </c>
      <c r="J606">
        <v>3.9</v>
      </c>
      <c r="K606" t="s">
        <v>18</v>
      </c>
      <c r="L606" t="s">
        <v>16</v>
      </c>
      <c r="O606"/>
    </row>
    <row r="607" spans="1:15" x14ac:dyDescent="0.3">
      <c r="A607" t="s">
        <v>631</v>
      </c>
      <c r="B607" s="1">
        <v>45745</v>
      </c>
      <c r="C607" t="s">
        <v>21</v>
      </c>
      <c r="D607" t="s">
        <v>21</v>
      </c>
      <c r="E607" s="2">
        <v>27.89</v>
      </c>
      <c r="F607" s="3">
        <v>61.66</v>
      </c>
      <c r="G607" s="4">
        <v>492.1</v>
      </c>
      <c r="H607">
        <v>1.2</v>
      </c>
      <c r="I607" s="4">
        <v>590.52</v>
      </c>
      <c r="J607">
        <v>3</v>
      </c>
      <c r="K607" t="s">
        <v>36</v>
      </c>
      <c r="L607" t="s">
        <v>28</v>
      </c>
      <c r="O607"/>
    </row>
    <row r="608" spans="1:15" x14ac:dyDescent="0.3">
      <c r="A608" t="s">
        <v>632</v>
      </c>
      <c r="B608" s="1">
        <v>45778</v>
      </c>
      <c r="C608" t="s">
        <v>13</v>
      </c>
      <c r="D608" t="s">
        <v>13</v>
      </c>
      <c r="E608" s="2">
        <v>8.5500000000000007</v>
      </c>
      <c r="F608" s="3">
        <v>19.829999999999998</v>
      </c>
      <c r="G608" s="4">
        <v>99.22</v>
      </c>
      <c r="H608">
        <v>1</v>
      </c>
      <c r="I608" s="4">
        <v>99.22</v>
      </c>
      <c r="J608">
        <v>4.5999999999999996</v>
      </c>
      <c r="K608" t="s">
        <v>15</v>
      </c>
      <c r="L608" t="s">
        <v>28</v>
      </c>
      <c r="O608"/>
    </row>
    <row r="609" spans="1:15" x14ac:dyDescent="0.3">
      <c r="A609" t="s">
        <v>633</v>
      </c>
      <c r="B609" s="1">
        <v>46005</v>
      </c>
      <c r="C609" t="s">
        <v>13</v>
      </c>
      <c r="D609" t="s">
        <v>13</v>
      </c>
      <c r="E609" s="2">
        <v>20.260000000000002</v>
      </c>
      <c r="F609" s="3">
        <v>76.25</v>
      </c>
      <c r="G609" s="4">
        <v>367.54</v>
      </c>
      <c r="H609">
        <v>2</v>
      </c>
      <c r="I609" s="4">
        <v>735.08</v>
      </c>
      <c r="J609">
        <v>3.9</v>
      </c>
      <c r="K609" t="s">
        <v>36</v>
      </c>
      <c r="L609" t="s">
        <v>28</v>
      </c>
      <c r="O609"/>
    </row>
    <row r="610" spans="1:15" x14ac:dyDescent="0.3">
      <c r="A610" t="s">
        <v>634</v>
      </c>
      <c r="B610" s="1">
        <v>45726</v>
      </c>
      <c r="C610" t="s">
        <v>21</v>
      </c>
      <c r="D610" t="s">
        <v>25</v>
      </c>
      <c r="E610" s="2">
        <v>1.23</v>
      </c>
      <c r="F610" s="3">
        <v>4.7300000000000004</v>
      </c>
      <c r="G610" s="4">
        <v>17.75</v>
      </c>
      <c r="H610">
        <v>1.2</v>
      </c>
      <c r="I610" s="4">
        <v>21.3</v>
      </c>
      <c r="J610">
        <v>4.0999999999999996</v>
      </c>
      <c r="K610" t="s">
        <v>18</v>
      </c>
      <c r="L610" t="s">
        <v>16</v>
      </c>
      <c r="O610"/>
    </row>
    <row r="611" spans="1:15" x14ac:dyDescent="0.3">
      <c r="A611" t="s">
        <v>635</v>
      </c>
      <c r="B611" s="1">
        <v>45934</v>
      </c>
      <c r="C611" t="s">
        <v>22</v>
      </c>
      <c r="D611" t="s">
        <v>25</v>
      </c>
      <c r="E611" s="2">
        <v>22.53</v>
      </c>
      <c r="F611" s="3">
        <v>48.51</v>
      </c>
      <c r="G611" s="4">
        <v>421.9</v>
      </c>
      <c r="H611">
        <v>1</v>
      </c>
      <c r="I611" s="4">
        <v>421.9</v>
      </c>
      <c r="J611">
        <v>3.6</v>
      </c>
      <c r="K611" t="s">
        <v>33</v>
      </c>
      <c r="L611" t="s">
        <v>28</v>
      </c>
      <c r="O611"/>
    </row>
    <row r="612" spans="1:15" x14ac:dyDescent="0.3">
      <c r="A612" t="s">
        <v>636</v>
      </c>
      <c r="B612" s="1">
        <v>45689</v>
      </c>
      <c r="C612" t="s">
        <v>21</v>
      </c>
      <c r="D612" t="s">
        <v>13</v>
      </c>
      <c r="E612" s="2">
        <v>24.47</v>
      </c>
      <c r="F612" s="3">
        <v>87.42</v>
      </c>
      <c r="G612" s="4">
        <v>399.4</v>
      </c>
      <c r="H612">
        <v>1</v>
      </c>
      <c r="I612" s="4">
        <v>399.4</v>
      </c>
      <c r="J612">
        <v>4</v>
      </c>
      <c r="K612" t="s">
        <v>18</v>
      </c>
      <c r="L612" t="s">
        <v>16</v>
      </c>
      <c r="O612"/>
    </row>
    <row r="613" spans="1:15" x14ac:dyDescent="0.3">
      <c r="A613" t="s">
        <v>637</v>
      </c>
      <c r="B613" s="1">
        <v>45952</v>
      </c>
      <c r="C613" t="s">
        <v>22</v>
      </c>
      <c r="D613" t="s">
        <v>21</v>
      </c>
      <c r="E613" s="2">
        <v>7.72</v>
      </c>
      <c r="F613" s="3">
        <v>20.36</v>
      </c>
      <c r="G613" s="4">
        <v>146.94999999999999</v>
      </c>
      <c r="H613">
        <v>1.2</v>
      </c>
      <c r="I613" s="4">
        <v>176.34</v>
      </c>
      <c r="J613">
        <v>4.0999999999999996</v>
      </c>
      <c r="K613" t="s">
        <v>15</v>
      </c>
      <c r="L613" t="s">
        <v>16</v>
      </c>
      <c r="O613"/>
    </row>
    <row r="614" spans="1:15" x14ac:dyDescent="0.3">
      <c r="A614" t="s">
        <v>638</v>
      </c>
      <c r="B614" s="1">
        <v>45692</v>
      </c>
      <c r="C614" t="s">
        <v>14</v>
      </c>
      <c r="D614" t="s">
        <v>22</v>
      </c>
      <c r="E614" s="2">
        <v>11.12</v>
      </c>
      <c r="F614" s="3">
        <v>33.840000000000003</v>
      </c>
      <c r="G614" s="4">
        <v>199.55</v>
      </c>
      <c r="H614">
        <v>1.5</v>
      </c>
      <c r="I614" s="4">
        <v>299.33</v>
      </c>
      <c r="J614">
        <v>4.7</v>
      </c>
      <c r="K614" t="s">
        <v>30</v>
      </c>
      <c r="L614" t="s">
        <v>26</v>
      </c>
      <c r="O614"/>
    </row>
    <row r="615" spans="1:15" x14ac:dyDescent="0.3">
      <c r="A615" t="s">
        <v>639</v>
      </c>
      <c r="B615" s="1">
        <v>45970</v>
      </c>
      <c r="C615" t="s">
        <v>13</v>
      </c>
      <c r="D615" t="s">
        <v>13</v>
      </c>
      <c r="E615" s="2">
        <v>1.38</v>
      </c>
      <c r="F615" s="3">
        <v>3.58</v>
      </c>
      <c r="G615" s="4">
        <v>20.14</v>
      </c>
      <c r="H615">
        <v>1.5</v>
      </c>
      <c r="I615" s="4">
        <v>30.21</v>
      </c>
      <c r="J615">
        <v>3.4</v>
      </c>
      <c r="K615" t="s">
        <v>33</v>
      </c>
      <c r="L615" t="s">
        <v>26</v>
      </c>
      <c r="O615"/>
    </row>
    <row r="616" spans="1:15" x14ac:dyDescent="0.3">
      <c r="A616" t="s">
        <v>640</v>
      </c>
      <c r="B616" s="1">
        <v>45703</v>
      </c>
      <c r="C616" t="s">
        <v>21</v>
      </c>
      <c r="D616" t="s">
        <v>14</v>
      </c>
      <c r="E616" s="2">
        <v>12.16</v>
      </c>
      <c r="F616" s="3">
        <v>36.22</v>
      </c>
      <c r="G616" s="4">
        <v>173.84</v>
      </c>
      <c r="H616">
        <v>1.5</v>
      </c>
      <c r="I616" s="4">
        <v>260.76</v>
      </c>
      <c r="J616">
        <v>3</v>
      </c>
      <c r="K616" t="s">
        <v>36</v>
      </c>
      <c r="L616" t="s">
        <v>28</v>
      </c>
      <c r="O616"/>
    </row>
    <row r="617" spans="1:15" x14ac:dyDescent="0.3">
      <c r="A617" t="s">
        <v>641</v>
      </c>
      <c r="B617" s="1">
        <v>45791</v>
      </c>
      <c r="C617" t="s">
        <v>22</v>
      </c>
      <c r="D617" t="s">
        <v>13</v>
      </c>
      <c r="E617" s="2">
        <v>23.89</v>
      </c>
      <c r="F617" s="3">
        <v>61.96</v>
      </c>
      <c r="G617" s="4">
        <v>368.23</v>
      </c>
      <c r="H617">
        <v>1.2</v>
      </c>
      <c r="I617" s="4">
        <v>441.88</v>
      </c>
      <c r="J617">
        <v>3</v>
      </c>
      <c r="K617" t="s">
        <v>33</v>
      </c>
      <c r="L617" t="s">
        <v>16</v>
      </c>
      <c r="O617"/>
    </row>
    <row r="618" spans="1:15" x14ac:dyDescent="0.3">
      <c r="A618" t="s">
        <v>642</v>
      </c>
      <c r="B618" s="1">
        <v>45892</v>
      </c>
      <c r="C618" t="s">
        <v>25</v>
      </c>
      <c r="D618" t="s">
        <v>22</v>
      </c>
      <c r="E618" s="2">
        <v>22.24</v>
      </c>
      <c r="F618" s="3">
        <v>83.7</v>
      </c>
      <c r="G618" s="4">
        <v>249.42</v>
      </c>
      <c r="H618">
        <v>1.5</v>
      </c>
      <c r="I618" s="4">
        <v>374.13</v>
      </c>
      <c r="J618">
        <v>3.2</v>
      </c>
      <c r="K618" t="s">
        <v>30</v>
      </c>
      <c r="L618" t="s">
        <v>16</v>
      </c>
      <c r="O618"/>
    </row>
    <row r="619" spans="1:15" x14ac:dyDescent="0.3">
      <c r="A619" t="s">
        <v>643</v>
      </c>
      <c r="B619" s="1">
        <v>45819</v>
      </c>
      <c r="C619" t="s">
        <v>22</v>
      </c>
      <c r="D619" t="s">
        <v>22</v>
      </c>
      <c r="E619" s="2">
        <v>16.059999999999999</v>
      </c>
      <c r="F619" s="3">
        <v>51.64</v>
      </c>
      <c r="G619" s="4">
        <v>200</v>
      </c>
      <c r="H619">
        <v>1.5</v>
      </c>
      <c r="I619" s="4">
        <v>300</v>
      </c>
      <c r="J619">
        <v>3.5</v>
      </c>
      <c r="K619" t="s">
        <v>33</v>
      </c>
      <c r="L619" t="s">
        <v>16</v>
      </c>
      <c r="O619"/>
    </row>
    <row r="620" spans="1:15" x14ac:dyDescent="0.3">
      <c r="A620" t="s">
        <v>644</v>
      </c>
      <c r="B620" s="1">
        <v>45784</v>
      </c>
      <c r="C620" t="s">
        <v>21</v>
      </c>
      <c r="D620" t="s">
        <v>21</v>
      </c>
      <c r="E620" s="2">
        <v>7.79</v>
      </c>
      <c r="F620" s="3">
        <v>19</v>
      </c>
      <c r="G620" s="4">
        <v>152.66999999999999</v>
      </c>
      <c r="H620">
        <v>2</v>
      </c>
      <c r="I620" s="4">
        <v>305.33999999999997</v>
      </c>
      <c r="J620">
        <v>5</v>
      </c>
      <c r="K620" t="s">
        <v>18</v>
      </c>
      <c r="L620" t="s">
        <v>16</v>
      </c>
      <c r="O620"/>
    </row>
    <row r="621" spans="1:15" x14ac:dyDescent="0.3">
      <c r="A621" t="s">
        <v>645</v>
      </c>
      <c r="B621" s="1">
        <v>45794</v>
      </c>
      <c r="C621" t="s">
        <v>13</v>
      </c>
      <c r="D621" t="s">
        <v>13</v>
      </c>
      <c r="E621" s="2">
        <v>13.06</v>
      </c>
      <c r="F621" s="3">
        <v>37.32</v>
      </c>
      <c r="G621" s="4">
        <v>201.24</v>
      </c>
      <c r="H621">
        <v>1.2</v>
      </c>
      <c r="I621" s="4">
        <v>241.49</v>
      </c>
      <c r="J621">
        <v>3.8</v>
      </c>
      <c r="K621" t="s">
        <v>15</v>
      </c>
      <c r="L621" t="s">
        <v>26</v>
      </c>
      <c r="O621"/>
    </row>
    <row r="622" spans="1:15" x14ac:dyDescent="0.3">
      <c r="A622" t="s">
        <v>646</v>
      </c>
      <c r="B622" s="1">
        <v>46011</v>
      </c>
      <c r="C622" t="s">
        <v>13</v>
      </c>
      <c r="D622" t="s">
        <v>14</v>
      </c>
      <c r="E622" s="2">
        <v>12.95</v>
      </c>
      <c r="F622" s="3">
        <v>48.45</v>
      </c>
      <c r="G622" s="4">
        <v>211.27</v>
      </c>
      <c r="H622">
        <v>2</v>
      </c>
      <c r="I622" s="4">
        <v>422.54</v>
      </c>
      <c r="J622">
        <v>4.9000000000000004</v>
      </c>
      <c r="K622" t="s">
        <v>36</v>
      </c>
      <c r="L622" t="s">
        <v>16</v>
      </c>
      <c r="O622"/>
    </row>
    <row r="623" spans="1:15" x14ac:dyDescent="0.3">
      <c r="A623" t="s">
        <v>647</v>
      </c>
      <c r="B623" s="1">
        <v>45705</v>
      </c>
      <c r="C623" t="s">
        <v>22</v>
      </c>
      <c r="D623" t="s">
        <v>14</v>
      </c>
      <c r="E623" s="2">
        <v>18.559999999999999</v>
      </c>
      <c r="F623" s="3">
        <v>41.47</v>
      </c>
      <c r="G623" s="4">
        <v>248.19</v>
      </c>
      <c r="H623">
        <v>2</v>
      </c>
      <c r="I623" s="4">
        <v>496.38</v>
      </c>
      <c r="J623">
        <v>5</v>
      </c>
      <c r="K623" t="s">
        <v>36</v>
      </c>
      <c r="L623" t="s">
        <v>26</v>
      </c>
      <c r="O623"/>
    </row>
    <row r="624" spans="1:15" x14ac:dyDescent="0.3">
      <c r="A624" t="s">
        <v>648</v>
      </c>
      <c r="B624" s="1">
        <v>45674</v>
      </c>
      <c r="C624" t="s">
        <v>21</v>
      </c>
      <c r="D624" t="s">
        <v>25</v>
      </c>
      <c r="E624" s="2">
        <v>6.98</v>
      </c>
      <c r="F624" s="3">
        <v>19.43</v>
      </c>
      <c r="G624" s="4">
        <v>132.32</v>
      </c>
      <c r="H624">
        <v>1.5</v>
      </c>
      <c r="I624" s="4">
        <v>198.48</v>
      </c>
      <c r="J624">
        <v>4.5</v>
      </c>
      <c r="K624" t="s">
        <v>36</v>
      </c>
      <c r="L624" t="s">
        <v>16</v>
      </c>
      <c r="O624"/>
    </row>
    <row r="625" spans="1:15" x14ac:dyDescent="0.3">
      <c r="A625" t="s">
        <v>649</v>
      </c>
      <c r="B625" s="1">
        <v>45760</v>
      </c>
      <c r="C625" t="s">
        <v>13</v>
      </c>
      <c r="D625" t="s">
        <v>13</v>
      </c>
      <c r="E625" s="2">
        <v>13.16</v>
      </c>
      <c r="F625" s="3">
        <v>26.8</v>
      </c>
      <c r="G625" s="4">
        <v>235.93</v>
      </c>
      <c r="H625">
        <v>1</v>
      </c>
      <c r="I625" s="4">
        <v>235.93</v>
      </c>
      <c r="J625">
        <v>4.3</v>
      </c>
      <c r="K625" t="s">
        <v>18</v>
      </c>
      <c r="L625" t="s">
        <v>16</v>
      </c>
      <c r="O625"/>
    </row>
    <row r="626" spans="1:15" x14ac:dyDescent="0.3">
      <c r="A626" t="s">
        <v>650</v>
      </c>
      <c r="B626" s="1">
        <v>45864</v>
      </c>
      <c r="C626" t="s">
        <v>21</v>
      </c>
      <c r="D626" t="s">
        <v>13</v>
      </c>
      <c r="E626" s="2">
        <v>26.68</v>
      </c>
      <c r="F626" s="3">
        <v>65.2</v>
      </c>
      <c r="G626" s="4">
        <v>457.47</v>
      </c>
      <c r="H626">
        <v>2</v>
      </c>
      <c r="I626" s="4">
        <v>914.94</v>
      </c>
      <c r="J626">
        <v>3</v>
      </c>
      <c r="K626" t="s">
        <v>36</v>
      </c>
      <c r="L626" t="s">
        <v>16</v>
      </c>
      <c r="O626"/>
    </row>
    <row r="627" spans="1:15" x14ac:dyDescent="0.3">
      <c r="A627" t="s">
        <v>651</v>
      </c>
      <c r="B627" s="1">
        <v>45813</v>
      </c>
      <c r="C627" t="s">
        <v>25</v>
      </c>
      <c r="D627" t="s">
        <v>22</v>
      </c>
      <c r="E627" s="2">
        <v>21.22</v>
      </c>
      <c r="F627" s="3">
        <v>74.38</v>
      </c>
      <c r="G627" s="4">
        <v>310.88</v>
      </c>
      <c r="H627">
        <v>1.2</v>
      </c>
      <c r="I627" s="4">
        <v>373.06</v>
      </c>
      <c r="J627">
        <v>4.7</v>
      </c>
      <c r="K627" t="s">
        <v>15</v>
      </c>
      <c r="L627" t="s">
        <v>28</v>
      </c>
      <c r="O627"/>
    </row>
    <row r="628" spans="1:15" x14ac:dyDescent="0.3">
      <c r="A628" t="s">
        <v>652</v>
      </c>
      <c r="B628" s="1">
        <v>46021</v>
      </c>
      <c r="C628" t="s">
        <v>21</v>
      </c>
      <c r="D628" t="s">
        <v>13</v>
      </c>
      <c r="E628" s="2">
        <v>10.68</v>
      </c>
      <c r="F628" s="3">
        <v>38.270000000000003</v>
      </c>
      <c r="G628" s="4">
        <v>155</v>
      </c>
      <c r="H628">
        <v>1.5</v>
      </c>
      <c r="I628" s="4">
        <v>232.5</v>
      </c>
      <c r="J628">
        <v>4.5999999999999996</v>
      </c>
      <c r="K628" t="s">
        <v>18</v>
      </c>
      <c r="L628" t="s">
        <v>19</v>
      </c>
      <c r="O628"/>
    </row>
    <row r="629" spans="1:15" x14ac:dyDescent="0.3">
      <c r="A629" t="s">
        <v>653</v>
      </c>
      <c r="B629" s="1">
        <v>45928</v>
      </c>
      <c r="C629" t="s">
        <v>22</v>
      </c>
      <c r="D629" t="s">
        <v>14</v>
      </c>
      <c r="E629" s="2">
        <v>14.52</v>
      </c>
      <c r="F629" s="3">
        <v>31.24</v>
      </c>
      <c r="G629" s="4">
        <v>201.51</v>
      </c>
      <c r="H629">
        <v>2</v>
      </c>
      <c r="I629" s="4">
        <v>403.02</v>
      </c>
      <c r="J629">
        <v>3</v>
      </c>
      <c r="K629" t="s">
        <v>15</v>
      </c>
      <c r="L629" t="s">
        <v>26</v>
      </c>
      <c r="O629"/>
    </row>
    <row r="630" spans="1:15" x14ac:dyDescent="0.3">
      <c r="A630" t="s">
        <v>654</v>
      </c>
      <c r="B630" s="1">
        <v>45705</v>
      </c>
      <c r="C630" t="s">
        <v>21</v>
      </c>
      <c r="D630" t="s">
        <v>22</v>
      </c>
      <c r="E630" s="2">
        <v>7.03</v>
      </c>
      <c r="F630" s="3">
        <v>14.65</v>
      </c>
      <c r="G630" s="4">
        <v>103.99</v>
      </c>
      <c r="H630">
        <v>1.5</v>
      </c>
      <c r="I630" s="4">
        <v>155.97999999999999</v>
      </c>
      <c r="J630">
        <v>4.0999999999999996</v>
      </c>
      <c r="K630" t="s">
        <v>30</v>
      </c>
      <c r="L630" t="s">
        <v>16</v>
      </c>
      <c r="O630"/>
    </row>
    <row r="631" spans="1:15" x14ac:dyDescent="0.3">
      <c r="A631" t="s">
        <v>655</v>
      </c>
      <c r="B631" s="1">
        <v>45949</v>
      </c>
      <c r="C631" t="s">
        <v>14</v>
      </c>
      <c r="D631" t="s">
        <v>13</v>
      </c>
      <c r="E631" s="2">
        <v>25.59</v>
      </c>
      <c r="F631" s="3">
        <v>79.099999999999994</v>
      </c>
      <c r="G631" s="4">
        <v>507.12</v>
      </c>
      <c r="H631">
        <v>1.2</v>
      </c>
      <c r="I631" s="4">
        <v>608.54</v>
      </c>
      <c r="J631">
        <v>3.8</v>
      </c>
      <c r="K631" t="s">
        <v>30</v>
      </c>
      <c r="L631" t="s">
        <v>19</v>
      </c>
      <c r="O631"/>
    </row>
    <row r="632" spans="1:15" x14ac:dyDescent="0.3">
      <c r="A632" t="s">
        <v>656</v>
      </c>
      <c r="B632" s="1">
        <v>45702</v>
      </c>
      <c r="C632" t="s">
        <v>14</v>
      </c>
      <c r="D632" t="s">
        <v>25</v>
      </c>
      <c r="E632" s="2">
        <v>29.69</v>
      </c>
      <c r="F632" s="3">
        <v>73.13</v>
      </c>
      <c r="G632" s="4">
        <v>576.74</v>
      </c>
      <c r="H632">
        <v>1.2</v>
      </c>
      <c r="I632" s="4">
        <v>692.09</v>
      </c>
      <c r="J632">
        <v>3.6</v>
      </c>
      <c r="K632" t="s">
        <v>15</v>
      </c>
      <c r="L632" t="s">
        <v>28</v>
      </c>
      <c r="O632"/>
    </row>
    <row r="633" spans="1:15" x14ac:dyDescent="0.3">
      <c r="A633" t="s">
        <v>657</v>
      </c>
      <c r="B633" s="1">
        <v>45996</v>
      </c>
      <c r="C633" t="s">
        <v>14</v>
      </c>
      <c r="D633" t="s">
        <v>25</v>
      </c>
      <c r="E633" s="2">
        <v>3.03</v>
      </c>
      <c r="F633" s="3">
        <v>10.48</v>
      </c>
      <c r="G633" s="4">
        <v>48.73</v>
      </c>
      <c r="H633">
        <v>1.5</v>
      </c>
      <c r="I633" s="4">
        <v>73.099999999999994</v>
      </c>
      <c r="J633">
        <v>3.7</v>
      </c>
      <c r="K633" t="s">
        <v>36</v>
      </c>
      <c r="L633" t="s">
        <v>16</v>
      </c>
      <c r="O633"/>
    </row>
    <row r="634" spans="1:15" x14ac:dyDescent="0.3">
      <c r="A634" t="s">
        <v>658</v>
      </c>
      <c r="B634" s="1">
        <v>45717</v>
      </c>
      <c r="C634" t="s">
        <v>21</v>
      </c>
      <c r="D634" t="s">
        <v>13</v>
      </c>
      <c r="E634" s="2">
        <v>21.96</v>
      </c>
      <c r="F634" s="3">
        <v>72.760000000000005</v>
      </c>
      <c r="G634" s="4">
        <v>375.24</v>
      </c>
      <c r="H634">
        <v>1.5</v>
      </c>
      <c r="I634" s="4">
        <v>562.86</v>
      </c>
      <c r="J634">
        <v>3.8</v>
      </c>
      <c r="K634" t="s">
        <v>30</v>
      </c>
      <c r="L634" t="s">
        <v>26</v>
      </c>
      <c r="O634"/>
    </row>
    <row r="635" spans="1:15" x14ac:dyDescent="0.3">
      <c r="A635" t="s">
        <v>659</v>
      </c>
      <c r="B635" s="1">
        <v>45719</v>
      </c>
      <c r="C635" t="s">
        <v>25</v>
      </c>
      <c r="D635" t="s">
        <v>25</v>
      </c>
      <c r="E635" s="2">
        <v>25.43</v>
      </c>
      <c r="F635" s="3">
        <v>69.84</v>
      </c>
      <c r="G635" s="4">
        <v>415.01</v>
      </c>
      <c r="H635">
        <v>1.2</v>
      </c>
      <c r="I635" s="4">
        <v>498.01</v>
      </c>
      <c r="J635">
        <v>4.5</v>
      </c>
      <c r="K635" t="s">
        <v>15</v>
      </c>
      <c r="L635" t="s">
        <v>19</v>
      </c>
      <c r="O635"/>
    </row>
    <row r="636" spans="1:15" x14ac:dyDescent="0.3">
      <c r="A636" t="s">
        <v>660</v>
      </c>
      <c r="B636" s="1">
        <v>45864</v>
      </c>
      <c r="C636" t="s">
        <v>13</v>
      </c>
      <c r="D636" t="s">
        <v>13</v>
      </c>
      <c r="E636" s="2">
        <v>2.41</v>
      </c>
      <c r="F636" s="3">
        <v>7.62</v>
      </c>
      <c r="G636" s="4">
        <v>34.369999999999997</v>
      </c>
      <c r="H636">
        <v>1.2</v>
      </c>
      <c r="I636" s="4">
        <v>41.24</v>
      </c>
      <c r="J636">
        <v>4.5999999999999996</v>
      </c>
      <c r="K636" t="s">
        <v>33</v>
      </c>
      <c r="L636" t="s">
        <v>16</v>
      </c>
      <c r="O636"/>
    </row>
    <row r="637" spans="1:15" x14ac:dyDescent="0.3">
      <c r="A637" t="s">
        <v>661</v>
      </c>
      <c r="B637" s="1">
        <v>45975</v>
      </c>
      <c r="C637" t="s">
        <v>13</v>
      </c>
      <c r="D637" t="s">
        <v>14</v>
      </c>
      <c r="E637" s="2">
        <v>24.29</v>
      </c>
      <c r="F637" s="3">
        <v>73.739999999999995</v>
      </c>
      <c r="G637" s="4">
        <v>276.98</v>
      </c>
      <c r="H637">
        <v>1</v>
      </c>
      <c r="I637" s="4">
        <v>276.98</v>
      </c>
      <c r="J637">
        <v>3.4</v>
      </c>
      <c r="K637" t="s">
        <v>15</v>
      </c>
      <c r="L637" t="s">
        <v>26</v>
      </c>
      <c r="O637"/>
    </row>
    <row r="638" spans="1:15" x14ac:dyDescent="0.3">
      <c r="A638" t="s">
        <v>662</v>
      </c>
      <c r="B638" s="1">
        <v>45701</v>
      </c>
      <c r="C638" t="s">
        <v>22</v>
      </c>
      <c r="D638" t="s">
        <v>25</v>
      </c>
      <c r="E638" s="2">
        <v>22.53</v>
      </c>
      <c r="F638" s="3">
        <v>52.71</v>
      </c>
      <c r="G638" s="4">
        <v>269.23</v>
      </c>
      <c r="H638">
        <v>2</v>
      </c>
      <c r="I638" s="4">
        <v>538.46</v>
      </c>
      <c r="J638">
        <v>3.8</v>
      </c>
      <c r="K638" t="s">
        <v>36</v>
      </c>
      <c r="L638" t="s">
        <v>26</v>
      </c>
      <c r="O638"/>
    </row>
    <row r="639" spans="1:15" x14ac:dyDescent="0.3">
      <c r="A639" t="s">
        <v>663</v>
      </c>
      <c r="B639" s="1">
        <v>45872</v>
      </c>
      <c r="C639" t="s">
        <v>22</v>
      </c>
      <c r="D639" t="s">
        <v>22</v>
      </c>
      <c r="E639" s="2">
        <v>18.559999999999999</v>
      </c>
      <c r="F639" s="3">
        <v>53.2</v>
      </c>
      <c r="G639" s="4">
        <v>329.31</v>
      </c>
      <c r="H639">
        <v>1.2</v>
      </c>
      <c r="I639" s="4">
        <v>395.17</v>
      </c>
      <c r="J639">
        <v>4.2</v>
      </c>
      <c r="K639" t="s">
        <v>33</v>
      </c>
      <c r="L639" t="s">
        <v>16</v>
      </c>
      <c r="O639"/>
    </row>
    <row r="640" spans="1:15" x14ac:dyDescent="0.3">
      <c r="A640" t="s">
        <v>664</v>
      </c>
      <c r="B640" s="1">
        <v>45719</v>
      </c>
      <c r="C640" t="s">
        <v>14</v>
      </c>
      <c r="D640" t="s">
        <v>13</v>
      </c>
      <c r="E640" s="2">
        <v>5.54</v>
      </c>
      <c r="F640" s="3">
        <v>16.329999999999998</v>
      </c>
      <c r="G640" s="4">
        <v>95.09</v>
      </c>
      <c r="H640">
        <v>1.2</v>
      </c>
      <c r="I640" s="4">
        <v>114.11</v>
      </c>
      <c r="J640">
        <v>3.8</v>
      </c>
      <c r="K640" t="s">
        <v>33</v>
      </c>
      <c r="L640" t="s">
        <v>19</v>
      </c>
      <c r="O640"/>
    </row>
    <row r="641" spans="1:15" x14ac:dyDescent="0.3">
      <c r="A641" t="s">
        <v>665</v>
      </c>
      <c r="B641" s="1">
        <v>45761</v>
      </c>
      <c r="C641" t="s">
        <v>14</v>
      </c>
      <c r="D641" t="s">
        <v>13</v>
      </c>
      <c r="E641" s="2">
        <v>10.1</v>
      </c>
      <c r="F641" s="3">
        <v>25.08</v>
      </c>
      <c r="G641" s="4">
        <v>122.71</v>
      </c>
      <c r="H641">
        <v>1.2</v>
      </c>
      <c r="I641" s="4">
        <v>147.25</v>
      </c>
      <c r="J641">
        <v>4.7</v>
      </c>
      <c r="K641" t="s">
        <v>18</v>
      </c>
      <c r="L641" t="s">
        <v>16</v>
      </c>
      <c r="O641"/>
    </row>
    <row r="642" spans="1:15" x14ac:dyDescent="0.3">
      <c r="A642" t="s">
        <v>666</v>
      </c>
      <c r="B642" s="1">
        <v>45795</v>
      </c>
      <c r="C642" t="s">
        <v>22</v>
      </c>
      <c r="D642" t="s">
        <v>14</v>
      </c>
      <c r="E642" s="2">
        <v>15.7</v>
      </c>
      <c r="F642" s="3">
        <v>37.299999999999997</v>
      </c>
      <c r="G642" s="4">
        <v>169.08</v>
      </c>
      <c r="H642">
        <v>1.2</v>
      </c>
      <c r="I642" s="4">
        <v>202.9</v>
      </c>
      <c r="J642">
        <v>3.3</v>
      </c>
      <c r="K642" t="s">
        <v>33</v>
      </c>
      <c r="L642" t="s">
        <v>28</v>
      </c>
      <c r="O642"/>
    </row>
    <row r="643" spans="1:15" x14ac:dyDescent="0.3">
      <c r="A643" t="s">
        <v>667</v>
      </c>
      <c r="B643" s="1">
        <v>46003</v>
      </c>
      <c r="C643" t="s">
        <v>25</v>
      </c>
      <c r="D643" t="s">
        <v>22</v>
      </c>
      <c r="E643" s="2">
        <v>14.07</v>
      </c>
      <c r="F643" s="3">
        <v>55.11</v>
      </c>
      <c r="G643" s="4">
        <v>201.35</v>
      </c>
      <c r="H643">
        <v>1.2</v>
      </c>
      <c r="I643" s="4">
        <v>241.62</v>
      </c>
      <c r="J643">
        <v>4.4000000000000004</v>
      </c>
      <c r="K643" t="s">
        <v>18</v>
      </c>
      <c r="L643" t="s">
        <v>19</v>
      </c>
      <c r="O643"/>
    </row>
    <row r="644" spans="1:15" x14ac:dyDescent="0.3">
      <c r="A644" t="s">
        <v>668</v>
      </c>
      <c r="B644" s="1">
        <v>45896</v>
      </c>
      <c r="C644" t="s">
        <v>13</v>
      </c>
      <c r="D644" t="s">
        <v>25</v>
      </c>
      <c r="E644" s="2">
        <v>19.47</v>
      </c>
      <c r="F644" s="3">
        <v>68.08</v>
      </c>
      <c r="G644" s="4">
        <v>238.52</v>
      </c>
      <c r="H644">
        <v>1.2</v>
      </c>
      <c r="I644" s="4">
        <v>286.22000000000003</v>
      </c>
      <c r="J644">
        <v>3.5</v>
      </c>
      <c r="K644" t="s">
        <v>15</v>
      </c>
      <c r="L644" t="s">
        <v>16</v>
      </c>
      <c r="O644"/>
    </row>
    <row r="645" spans="1:15" x14ac:dyDescent="0.3">
      <c r="A645" t="s">
        <v>669</v>
      </c>
      <c r="B645" s="1">
        <v>45813</v>
      </c>
      <c r="C645" t="s">
        <v>22</v>
      </c>
      <c r="D645" t="s">
        <v>22</v>
      </c>
      <c r="E645" s="2">
        <v>14.43</v>
      </c>
      <c r="F645" s="3">
        <v>36.9</v>
      </c>
      <c r="G645" s="4">
        <v>238.77</v>
      </c>
      <c r="H645">
        <v>1.5</v>
      </c>
      <c r="I645" s="4">
        <v>358.16</v>
      </c>
      <c r="J645">
        <v>3.5</v>
      </c>
      <c r="K645" t="s">
        <v>36</v>
      </c>
      <c r="L645" t="s">
        <v>26</v>
      </c>
      <c r="O645"/>
    </row>
    <row r="646" spans="1:15" x14ac:dyDescent="0.3">
      <c r="A646" t="s">
        <v>670</v>
      </c>
      <c r="B646" s="1">
        <v>45864</v>
      </c>
      <c r="C646" t="s">
        <v>21</v>
      </c>
      <c r="D646" t="s">
        <v>13</v>
      </c>
      <c r="E646" s="2">
        <v>23.56</v>
      </c>
      <c r="F646" s="3">
        <v>82.97</v>
      </c>
      <c r="G646" s="4">
        <v>279.83</v>
      </c>
      <c r="H646">
        <v>2</v>
      </c>
      <c r="I646" s="4">
        <v>559.66</v>
      </c>
      <c r="J646">
        <v>4.5</v>
      </c>
      <c r="K646" t="s">
        <v>18</v>
      </c>
      <c r="L646" t="s">
        <v>19</v>
      </c>
      <c r="O646"/>
    </row>
    <row r="647" spans="1:15" x14ac:dyDescent="0.3">
      <c r="A647" t="s">
        <v>671</v>
      </c>
      <c r="B647" s="1">
        <v>45997</v>
      </c>
      <c r="C647" t="s">
        <v>22</v>
      </c>
      <c r="D647" t="s">
        <v>14</v>
      </c>
      <c r="E647" s="2">
        <v>11.68</v>
      </c>
      <c r="F647" s="3">
        <v>33.46</v>
      </c>
      <c r="G647" s="4">
        <v>120.44</v>
      </c>
      <c r="H647">
        <v>1.5</v>
      </c>
      <c r="I647" s="4">
        <v>180.66</v>
      </c>
      <c r="J647">
        <v>3.5</v>
      </c>
      <c r="K647" t="s">
        <v>15</v>
      </c>
      <c r="L647" t="s">
        <v>16</v>
      </c>
      <c r="O647"/>
    </row>
    <row r="648" spans="1:15" x14ac:dyDescent="0.3">
      <c r="A648" t="s">
        <v>672</v>
      </c>
      <c r="B648" s="1">
        <v>45753</v>
      </c>
      <c r="C648" t="s">
        <v>21</v>
      </c>
      <c r="D648" t="s">
        <v>14</v>
      </c>
      <c r="E648" s="2">
        <v>8.06</v>
      </c>
      <c r="F648" s="3">
        <v>25.1</v>
      </c>
      <c r="G648" s="4">
        <v>83.74</v>
      </c>
      <c r="H648">
        <v>1.2</v>
      </c>
      <c r="I648" s="4">
        <v>100.49</v>
      </c>
      <c r="J648">
        <v>4.5999999999999996</v>
      </c>
      <c r="K648" t="s">
        <v>15</v>
      </c>
      <c r="L648" t="s">
        <v>16</v>
      </c>
      <c r="O648"/>
    </row>
    <row r="649" spans="1:15" x14ac:dyDescent="0.3">
      <c r="A649" t="s">
        <v>673</v>
      </c>
      <c r="B649" s="1">
        <v>45874</v>
      </c>
      <c r="C649" t="s">
        <v>21</v>
      </c>
      <c r="D649" t="s">
        <v>22</v>
      </c>
      <c r="E649" s="2">
        <v>27.04</v>
      </c>
      <c r="F649" s="3">
        <v>102.11</v>
      </c>
      <c r="G649" s="4">
        <v>358.36</v>
      </c>
      <c r="H649">
        <v>1</v>
      </c>
      <c r="I649" s="4">
        <v>358.36</v>
      </c>
      <c r="J649">
        <v>3.9</v>
      </c>
      <c r="K649" t="s">
        <v>30</v>
      </c>
      <c r="L649" t="s">
        <v>28</v>
      </c>
      <c r="O649"/>
    </row>
    <row r="650" spans="1:15" x14ac:dyDescent="0.3">
      <c r="A650" t="s">
        <v>674</v>
      </c>
      <c r="B650" s="1">
        <v>45734</v>
      </c>
      <c r="C650" t="s">
        <v>14</v>
      </c>
      <c r="D650" t="s">
        <v>21</v>
      </c>
      <c r="E650" s="2">
        <v>24.94</v>
      </c>
      <c r="F650" s="3">
        <v>92.02</v>
      </c>
      <c r="G650" s="4">
        <v>311.5</v>
      </c>
      <c r="H650">
        <v>1.2</v>
      </c>
      <c r="I650" s="4">
        <v>373.8</v>
      </c>
      <c r="J650">
        <v>4.4000000000000004</v>
      </c>
      <c r="K650" t="s">
        <v>18</v>
      </c>
      <c r="L650" t="s">
        <v>28</v>
      </c>
      <c r="O650"/>
    </row>
    <row r="651" spans="1:15" x14ac:dyDescent="0.3">
      <c r="A651" t="s">
        <v>675</v>
      </c>
      <c r="B651" s="1">
        <v>45695</v>
      </c>
      <c r="C651" t="s">
        <v>22</v>
      </c>
      <c r="D651" t="s">
        <v>14</v>
      </c>
      <c r="E651" s="2">
        <v>3.75</v>
      </c>
      <c r="F651" s="3">
        <v>14.99</v>
      </c>
      <c r="G651" s="4">
        <v>49.75</v>
      </c>
      <c r="H651">
        <v>1.5</v>
      </c>
      <c r="I651" s="4">
        <v>74.62</v>
      </c>
      <c r="J651">
        <v>4.5999999999999996</v>
      </c>
      <c r="K651" t="s">
        <v>18</v>
      </c>
      <c r="L651" t="s">
        <v>28</v>
      </c>
      <c r="O651"/>
    </row>
    <row r="652" spans="1:15" x14ac:dyDescent="0.3">
      <c r="A652" t="s">
        <v>676</v>
      </c>
      <c r="B652" s="1">
        <v>45718</v>
      </c>
      <c r="C652" t="s">
        <v>21</v>
      </c>
      <c r="D652" t="s">
        <v>22</v>
      </c>
      <c r="E652" s="2">
        <v>25.88</v>
      </c>
      <c r="F652" s="3">
        <v>103.4</v>
      </c>
      <c r="G652" s="4">
        <v>321.3</v>
      </c>
      <c r="H652">
        <v>1.5</v>
      </c>
      <c r="I652" s="4">
        <v>481.95</v>
      </c>
      <c r="J652">
        <v>3.6</v>
      </c>
      <c r="K652" t="s">
        <v>36</v>
      </c>
      <c r="L652" t="s">
        <v>16</v>
      </c>
      <c r="O652"/>
    </row>
    <row r="653" spans="1:15" x14ac:dyDescent="0.3">
      <c r="A653" t="s">
        <v>677</v>
      </c>
      <c r="B653" s="1">
        <v>45926</v>
      </c>
      <c r="C653" t="s">
        <v>25</v>
      </c>
      <c r="D653" t="s">
        <v>14</v>
      </c>
      <c r="E653" s="2">
        <v>4.7699999999999996</v>
      </c>
      <c r="F653" s="3">
        <v>9.75</v>
      </c>
      <c r="G653" s="4">
        <v>64.89</v>
      </c>
      <c r="H653">
        <v>1.5</v>
      </c>
      <c r="I653" s="4">
        <v>97.34</v>
      </c>
      <c r="J653">
        <v>3.8</v>
      </c>
      <c r="K653" t="s">
        <v>18</v>
      </c>
      <c r="L653" t="s">
        <v>16</v>
      </c>
      <c r="O653"/>
    </row>
    <row r="654" spans="1:15" x14ac:dyDescent="0.3">
      <c r="A654" t="s">
        <v>678</v>
      </c>
      <c r="B654" s="1">
        <v>45961</v>
      </c>
      <c r="C654" t="s">
        <v>25</v>
      </c>
      <c r="D654" t="s">
        <v>21</v>
      </c>
      <c r="E654" s="2">
        <v>10.050000000000001</v>
      </c>
      <c r="F654" s="3">
        <v>20.420000000000002</v>
      </c>
      <c r="G654" s="4">
        <v>102.22</v>
      </c>
      <c r="H654">
        <v>2</v>
      </c>
      <c r="I654" s="4">
        <v>204.44</v>
      </c>
      <c r="J654">
        <v>4.2</v>
      </c>
      <c r="K654" t="s">
        <v>30</v>
      </c>
      <c r="L654" t="s">
        <v>16</v>
      </c>
      <c r="O654"/>
    </row>
    <row r="655" spans="1:15" x14ac:dyDescent="0.3">
      <c r="A655" t="s">
        <v>679</v>
      </c>
      <c r="B655" s="1">
        <v>46013</v>
      </c>
      <c r="C655" t="s">
        <v>13</v>
      </c>
      <c r="D655" t="s">
        <v>21</v>
      </c>
      <c r="E655" s="2">
        <v>2.13</v>
      </c>
      <c r="F655" s="3">
        <v>7.83</v>
      </c>
      <c r="G655" s="4">
        <v>34.5</v>
      </c>
      <c r="H655">
        <v>1.5</v>
      </c>
      <c r="I655" s="4">
        <v>51.75</v>
      </c>
      <c r="J655">
        <v>4.9000000000000004</v>
      </c>
      <c r="K655" t="s">
        <v>15</v>
      </c>
      <c r="L655" t="s">
        <v>26</v>
      </c>
      <c r="O655"/>
    </row>
    <row r="656" spans="1:15" x14ac:dyDescent="0.3">
      <c r="A656" t="s">
        <v>680</v>
      </c>
      <c r="B656" s="1">
        <v>45854</v>
      </c>
      <c r="C656" t="s">
        <v>14</v>
      </c>
      <c r="D656" t="s">
        <v>14</v>
      </c>
      <c r="E656" s="2">
        <v>26.07</v>
      </c>
      <c r="F656" s="3">
        <v>82.74</v>
      </c>
      <c r="G656" s="4">
        <v>412.15</v>
      </c>
      <c r="H656">
        <v>1</v>
      </c>
      <c r="I656" s="4">
        <v>412.15</v>
      </c>
      <c r="J656">
        <v>4.3</v>
      </c>
      <c r="K656" t="s">
        <v>36</v>
      </c>
      <c r="L656" t="s">
        <v>16</v>
      </c>
      <c r="O656"/>
    </row>
    <row r="657" spans="1:15" x14ac:dyDescent="0.3">
      <c r="A657" t="s">
        <v>681</v>
      </c>
      <c r="B657" s="1">
        <v>45676</v>
      </c>
      <c r="C657" t="s">
        <v>13</v>
      </c>
      <c r="D657" t="s">
        <v>14</v>
      </c>
      <c r="E657" s="2">
        <v>13.83</v>
      </c>
      <c r="F657" s="3">
        <v>47.23</v>
      </c>
      <c r="G657" s="4">
        <v>192.13</v>
      </c>
      <c r="H657">
        <v>2</v>
      </c>
      <c r="I657" s="4">
        <v>384.26</v>
      </c>
      <c r="J657">
        <v>4.0999999999999996</v>
      </c>
      <c r="K657" t="s">
        <v>15</v>
      </c>
      <c r="L657" t="s">
        <v>19</v>
      </c>
      <c r="O657"/>
    </row>
    <row r="658" spans="1:15" x14ac:dyDescent="0.3">
      <c r="A658" t="s">
        <v>682</v>
      </c>
      <c r="B658" s="1">
        <v>46000</v>
      </c>
      <c r="C658" t="s">
        <v>22</v>
      </c>
      <c r="D658" t="s">
        <v>25</v>
      </c>
      <c r="E658" s="2">
        <v>27.92</v>
      </c>
      <c r="F658" s="3">
        <v>107.72</v>
      </c>
      <c r="G658" s="4">
        <v>374.66</v>
      </c>
      <c r="H658">
        <v>1</v>
      </c>
      <c r="I658" s="4">
        <v>374.66</v>
      </c>
      <c r="J658">
        <v>4.3</v>
      </c>
      <c r="K658" t="s">
        <v>15</v>
      </c>
      <c r="L658" t="s">
        <v>16</v>
      </c>
      <c r="O658"/>
    </row>
    <row r="659" spans="1:15" x14ac:dyDescent="0.3">
      <c r="A659" t="s">
        <v>683</v>
      </c>
      <c r="B659" s="1">
        <v>45708</v>
      </c>
      <c r="C659" t="s">
        <v>14</v>
      </c>
      <c r="D659" t="s">
        <v>13</v>
      </c>
      <c r="E659" s="2">
        <v>13.85</v>
      </c>
      <c r="F659" s="3">
        <v>41.39</v>
      </c>
      <c r="G659" s="4">
        <v>257.75</v>
      </c>
      <c r="H659">
        <v>1.2</v>
      </c>
      <c r="I659" s="4">
        <v>309.3</v>
      </c>
      <c r="J659">
        <v>4.4000000000000004</v>
      </c>
      <c r="K659" t="s">
        <v>36</v>
      </c>
      <c r="L659" t="s">
        <v>28</v>
      </c>
      <c r="O659"/>
    </row>
    <row r="660" spans="1:15" x14ac:dyDescent="0.3">
      <c r="A660" t="s">
        <v>684</v>
      </c>
      <c r="B660" s="1">
        <v>45671</v>
      </c>
      <c r="C660" t="s">
        <v>13</v>
      </c>
      <c r="D660" t="s">
        <v>22</v>
      </c>
      <c r="E660" s="2">
        <v>2.5499999999999998</v>
      </c>
      <c r="F660" s="3">
        <v>7.42</v>
      </c>
      <c r="G660" s="4">
        <v>42.71</v>
      </c>
      <c r="H660">
        <v>1.5</v>
      </c>
      <c r="I660" s="4">
        <v>64.06</v>
      </c>
      <c r="J660">
        <v>4.7</v>
      </c>
      <c r="K660" t="s">
        <v>30</v>
      </c>
      <c r="L660" t="s">
        <v>26</v>
      </c>
      <c r="O660"/>
    </row>
    <row r="661" spans="1:15" x14ac:dyDescent="0.3">
      <c r="A661" t="s">
        <v>685</v>
      </c>
      <c r="B661" s="1">
        <v>45732</v>
      </c>
      <c r="C661" t="s">
        <v>13</v>
      </c>
      <c r="D661" t="s">
        <v>21</v>
      </c>
      <c r="E661" s="2">
        <v>5.85</v>
      </c>
      <c r="F661" s="3">
        <v>17.55</v>
      </c>
      <c r="G661" s="4">
        <v>98.92</v>
      </c>
      <c r="H661">
        <v>1.5</v>
      </c>
      <c r="I661" s="4">
        <v>148.38</v>
      </c>
      <c r="J661">
        <v>4.9000000000000004</v>
      </c>
      <c r="K661" t="s">
        <v>30</v>
      </c>
      <c r="L661" t="s">
        <v>26</v>
      </c>
      <c r="O661"/>
    </row>
    <row r="662" spans="1:15" x14ac:dyDescent="0.3">
      <c r="A662" t="s">
        <v>686</v>
      </c>
      <c r="B662" s="1">
        <v>45839</v>
      </c>
      <c r="C662" t="s">
        <v>22</v>
      </c>
      <c r="D662" t="s">
        <v>13</v>
      </c>
      <c r="E662" s="2">
        <v>8.98</v>
      </c>
      <c r="F662" s="3">
        <v>20.77</v>
      </c>
      <c r="G662" s="4">
        <v>146.91</v>
      </c>
      <c r="H662">
        <v>2</v>
      </c>
      <c r="I662" s="4">
        <v>293.82</v>
      </c>
      <c r="J662">
        <v>3.8</v>
      </c>
      <c r="K662" t="s">
        <v>15</v>
      </c>
      <c r="L662" t="s">
        <v>28</v>
      </c>
      <c r="O662"/>
    </row>
    <row r="663" spans="1:15" x14ac:dyDescent="0.3">
      <c r="A663" t="s">
        <v>687</v>
      </c>
      <c r="B663" s="1">
        <v>45761</v>
      </c>
      <c r="C663" t="s">
        <v>21</v>
      </c>
      <c r="D663" t="s">
        <v>14</v>
      </c>
      <c r="E663" s="2">
        <v>21.45</v>
      </c>
      <c r="F663" s="3">
        <v>62.43</v>
      </c>
      <c r="G663" s="4">
        <v>357.73</v>
      </c>
      <c r="H663">
        <v>1</v>
      </c>
      <c r="I663" s="4">
        <v>357.73</v>
      </c>
      <c r="J663">
        <v>4.9000000000000004</v>
      </c>
      <c r="K663" t="s">
        <v>30</v>
      </c>
      <c r="L663" t="s">
        <v>26</v>
      </c>
      <c r="O663"/>
    </row>
    <row r="664" spans="1:15" x14ac:dyDescent="0.3">
      <c r="A664" t="s">
        <v>688</v>
      </c>
      <c r="B664" s="1">
        <v>45769</v>
      </c>
      <c r="C664" t="s">
        <v>14</v>
      </c>
      <c r="D664" t="s">
        <v>22</v>
      </c>
      <c r="E664" s="2">
        <v>1.72</v>
      </c>
      <c r="F664" s="3">
        <v>4.03</v>
      </c>
      <c r="G664" s="4">
        <v>25</v>
      </c>
      <c r="H664">
        <v>2</v>
      </c>
      <c r="I664" s="4">
        <v>50</v>
      </c>
      <c r="J664">
        <v>4.5999999999999996</v>
      </c>
      <c r="K664" t="s">
        <v>18</v>
      </c>
      <c r="L664" t="s">
        <v>28</v>
      </c>
      <c r="O664"/>
    </row>
    <row r="665" spans="1:15" x14ac:dyDescent="0.3">
      <c r="A665" t="s">
        <v>689</v>
      </c>
      <c r="B665" s="1">
        <v>45879</v>
      </c>
      <c r="C665" t="s">
        <v>25</v>
      </c>
      <c r="D665" t="s">
        <v>22</v>
      </c>
      <c r="E665" s="2">
        <v>27.4</v>
      </c>
      <c r="F665" s="3">
        <v>89.82</v>
      </c>
      <c r="G665" s="4">
        <v>535.27</v>
      </c>
      <c r="H665">
        <v>1</v>
      </c>
      <c r="I665" s="4">
        <v>535.27</v>
      </c>
      <c r="J665">
        <v>3.3</v>
      </c>
      <c r="K665" t="s">
        <v>33</v>
      </c>
      <c r="L665" t="s">
        <v>16</v>
      </c>
      <c r="O665"/>
    </row>
    <row r="666" spans="1:15" x14ac:dyDescent="0.3">
      <c r="A666" t="s">
        <v>690</v>
      </c>
      <c r="B666" s="1">
        <v>45950</v>
      </c>
      <c r="C666" t="s">
        <v>14</v>
      </c>
      <c r="D666" t="s">
        <v>13</v>
      </c>
      <c r="E666" s="2">
        <v>25.18</v>
      </c>
      <c r="F666" s="3">
        <v>82.72</v>
      </c>
      <c r="G666" s="4">
        <v>271.58</v>
      </c>
      <c r="H666">
        <v>1.5</v>
      </c>
      <c r="I666" s="4">
        <v>407.37</v>
      </c>
      <c r="J666">
        <v>4.2</v>
      </c>
      <c r="K666" t="s">
        <v>18</v>
      </c>
      <c r="L666" t="s">
        <v>28</v>
      </c>
      <c r="O666"/>
    </row>
    <row r="667" spans="1:15" x14ac:dyDescent="0.3">
      <c r="A667" t="s">
        <v>691</v>
      </c>
      <c r="B667" s="1">
        <v>45956</v>
      </c>
      <c r="C667" t="s">
        <v>21</v>
      </c>
      <c r="D667" t="s">
        <v>14</v>
      </c>
      <c r="E667" s="2">
        <v>2.5099999999999998</v>
      </c>
      <c r="F667" s="3">
        <v>5.18</v>
      </c>
      <c r="G667" s="4">
        <v>35.729999999999997</v>
      </c>
      <c r="H667">
        <v>1.2</v>
      </c>
      <c r="I667" s="4">
        <v>42.88</v>
      </c>
      <c r="J667">
        <v>4.8</v>
      </c>
      <c r="K667" t="s">
        <v>36</v>
      </c>
      <c r="L667" t="s">
        <v>19</v>
      </c>
      <c r="O667"/>
    </row>
    <row r="668" spans="1:15" x14ac:dyDescent="0.3">
      <c r="A668" t="s">
        <v>692</v>
      </c>
      <c r="B668" s="1">
        <v>45997</v>
      </c>
      <c r="C668" t="s">
        <v>25</v>
      </c>
      <c r="D668" t="s">
        <v>21</v>
      </c>
      <c r="E668" s="2">
        <v>26.55</v>
      </c>
      <c r="F668" s="3">
        <v>99.98</v>
      </c>
      <c r="G668" s="4">
        <v>440.48</v>
      </c>
      <c r="H668">
        <v>1.5</v>
      </c>
      <c r="I668" s="4">
        <v>660.72</v>
      </c>
      <c r="J668">
        <v>4</v>
      </c>
      <c r="K668" t="s">
        <v>18</v>
      </c>
      <c r="L668" t="s">
        <v>26</v>
      </c>
      <c r="O668"/>
    </row>
    <row r="669" spans="1:15" x14ac:dyDescent="0.3">
      <c r="A669" t="s">
        <v>693</v>
      </c>
      <c r="B669" s="1">
        <v>45896</v>
      </c>
      <c r="C669" t="s">
        <v>22</v>
      </c>
      <c r="D669" t="s">
        <v>13</v>
      </c>
      <c r="E669" s="2">
        <v>20.82</v>
      </c>
      <c r="F669" s="3">
        <v>57.27</v>
      </c>
      <c r="G669" s="4">
        <v>374.78</v>
      </c>
      <c r="H669">
        <v>2</v>
      </c>
      <c r="I669" s="4">
        <v>749.56</v>
      </c>
      <c r="J669">
        <v>4.5999999999999996</v>
      </c>
      <c r="K669" t="s">
        <v>36</v>
      </c>
      <c r="L669" t="s">
        <v>16</v>
      </c>
      <c r="O669"/>
    </row>
    <row r="670" spans="1:15" x14ac:dyDescent="0.3">
      <c r="A670" t="s">
        <v>694</v>
      </c>
      <c r="B670" s="1">
        <v>45836</v>
      </c>
      <c r="C670" t="s">
        <v>14</v>
      </c>
      <c r="D670" t="s">
        <v>25</v>
      </c>
      <c r="E670" s="2">
        <v>1.87</v>
      </c>
      <c r="F670" s="3">
        <v>7.1</v>
      </c>
      <c r="G670" s="4">
        <v>30.34</v>
      </c>
      <c r="H670">
        <v>1.5</v>
      </c>
      <c r="I670" s="4">
        <v>45.51</v>
      </c>
      <c r="J670">
        <v>4.2</v>
      </c>
      <c r="K670" t="s">
        <v>33</v>
      </c>
      <c r="L670" t="s">
        <v>16</v>
      </c>
      <c r="O670"/>
    </row>
    <row r="671" spans="1:15" x14ac:dyDescent="0.3">
      <c r="A671" t="s">
        <v>695</v>
      </c>
      <c r="B671" s="1">
        <v>45864</v>
      </c>
      <c r="C671" t="s">
        <v>13</v>
      </c>
      <c r="D671" t="s">
        <v>25</v>
      </c>
      <c r="E671" s="2">
        <v>25.57</v>
      </c>
      <c r="F671" s="3">
        <v>54.33</v>
      </c>
      <c r="G671" s="4">
        <v>341.43</v>
      </c>
      <c r="H671">
        <v>1.5</v>
      </c>
      <c r="I671" s="4">
        <v>512.14</v>
      </c>
      <c r="J671">
        <v>3.9</v>
      </c>
      <c r="K671" t="s">
        <v>15</v>
      </c>
      <c r="L671" t="s">
        <v>28</v>
      </c>
      <c r="O671"/>
    </row>
    <row r="672" spans="1:15" x14ac:dyDescent="0.3">
      <c r="A672" t="s">
        <v>696</v>
      </c>
      <c r="B672" s="1">
        <v>45925</v>
      </c>
      <c r="C672" t="s">
        <v>21</v>
      </c>
      <c r="D672" t="s">
        <v>21</v>
      </c>
      <c r="E672" s="2">
        <v>24.69</v>
      </c>
      <c r="F672" s="3">
        <v>91.48</v>
      </c>
      <c r="G672" s="4">
        <v>478.48</v>
      </c>
      <c r="H672">
        <v>1.5</v>
      </c>
      <c r="I672" s="4">
        <v>717.72</v>
      </c>
      <c r="J672">
        <v>4.0999999999999996</v>
      </c>
      <c r="K672" t="s">
        <v>18</v>
      </c>
      <c r="L672" t="s">
        <v>16</v>
      </c>
      <c r="O672"/>
    </row>
    <row r="673" spans="1:15" x14ac:dyDescent="0.3">
      <c r="A673" t="s">
        <v>697</v>
      </c>
      <c r="B673" s="1">
        <v>45755</v>
      </c>
      <c r="C673" t="s">
        <v>14</v>
      </c>
      <c r="D673" t="s">
        <v>21</v>
      </c>
      <c r="E673" s="2">
        <v>3.06</v>
      </c>
      <c r="F673" s="3">
        <v>7.41</v>
      </c>
      <c r="G673" s="4">
        <v>37.619999999999997</v>
      </c>
      <c r="H673">
        <v>2</v>
      </c>
      <c r="I673" s="4">
        <v>75.239999999999995</v>
      </c>
      <c r="J673">
        <v>3.1</v>
      </c>
      <c r="K673" t="s">
        <v>15</v>
      </c>
      <c r="L673" t="s">
        <v>28</v>
      </c>
      <c r="O673"/>
    </row>
    <row r="674" spans="1:15" x14ac:dyDescent="0.3">
      <c r="A674" t="s">
        <v>698</v>
      </c>
      <c r="B674" s="1">
        <v>45873</v>
      </c>
      <c r="C674" t="s">
        <v>22</v>
      </c>
      <c r="D674" t="s">
        <v>22</v>
      </c>
      <c r="E674" s="2">
        <v>3.93</v>
      </c>
      <c r="F674" s="3">
        <v>9.18</v>
      </c>
      <c r="G674" s="4">
        <v>45.09</v>
      </c>
      <c r="H674">
        <v>1.5</v>
      </c>
      <c r="I674" s="4">
        <v>67.64</v>
      </c>
      <c r="J674">
        <v>5</v>
      </c>
      <c r="K674" t="s">
        <v>33</v>
      </c>
      <c r="L674" t="s">
        <v>16</v>
      </c>
      <c r="O674"/>
    </row>
    <row r="675" spans="1:15" x14ac:dyDescent="0.3">
      <c r="A675" t="s">
        <v>699</v>
      </c>
      <c r="B675" s="1">
        <v>45953</v>
      </c>
      <c r="C675" t="s">
        <v>13</v>
      </c>
      <c r="D675" t="s">
        <v>22</v>
      </c>
      <c r="E675" s="2">
        <v>4.32</v>
      </c>
      <c r="F675" s="3">
        <v>8.7200000000000006</v>
      </c>
      <c r="G675" s="4">
        <v>49.92</v>
      </c>
      <c r="H675">
        <v>1.5</v>
      </c>
      <c r="I675" s="4">
        <v>74.88</v>
      </c>
      <c r="J675">
        <v>3.7</v>
      </c>
      <c r="K675" t="s">
        <v>30</v>
      </c>
      <c r="L675" t="s">
        <v>26</v>
      </c>
      <c r="O675"/>
    </row>
    <row r="676" spans="1:15" x14ac:dyDescent="0.3">
      <c r="A676" t="s">
        <v>700</v>
      </c>
      <c r="B676" s="1">
        <v>45750</v>
      </c>
      <c r="C676" t="s">
        <v>13</v>
      </c>
      <c r="D676" t="s">
        <v>13</v>
      </c>
      <c r="E676" s="2">
        <v>7.74</v>
      </c>
      <c r="F676" s="3">
        <v>17.489999999999998</v>
      </c>
      <c r="G676" s="4">
        <v>97.25</v>
      </c>
      <c r="H676">
        <v>1</v>
      </c>
      <c r="I676" s="4">
        <v>97.25</v>
      </c>
      <c r="J676">
        <v>3.7</v>
      </c>
      <c r="K676" t="s">
        <v>33</v>
      </c>
      <c r="L676" t="s">
        <v>19</v>
      </c>
      <c r="O676"/>
    </row>
    <row r="677" spans="1:15" x14ac:dyDescent="0.3">
      <c r="A677" t="s">
        <v>701</v>
      </c>
      <c r="B677" s="1">
        <v>45670</v>
      </c>
      <c r="C677" t="s">
        <v>25</v>
      </c>
      <c r="D677" t="s">
        <v>25</v>
      </c>
      <c r="E677" s="2">
        <v>2.81</v>
      </c>
      <c r="F677" s="3">
        <v>6.8</v>
      </c>
      <c r="G677" s="4">
        <v>50.83</v>
      </c>
      <c r="H677">
        <v>1.5</v>
      </c>
      <c r="I677" s="4">
        <v>76.239999999999995</v>
      </c>
      <c r="J677">
        <v>4.5999999999999996</v>
      </c>
      <c r="K677" t="s">
        <v>18</v>
      </c>
      <c r="L677" t="s">
        <v>16</v>
      </c>
      <c r="O677"/>
    </row>
    <row r="678" spans="1:15" x14ac:dyDescent="0.3">
      <c r="A678" t="s">
        <v>702</v>
      </c>
      <c r="B678" s="1">
        <v>45823</v>
      </c>
      <c r="C678" t="s">
        <v>21</v>
      </c>
      <c r="D678" t="s">
        <v>21</v>
      </c>
      <c r="E678" s="2">
        <v>26.08</v>
      </c>
      <c r="F678" s="3">
        <v>60.24</v>
      </c>
      <c r="G678" s="4">
        <v>282.38</v>
      </c>
      <c r="H678">
        <v>1.2</v>
      </c>
      <c r="I678" s="4">
        <v>338.86</v>
      </c>
      <c r="J678">
        <v>4.7</v>
      </c>
      <c r="K678" t="s">
        <v>15</v>
      </c>
      <c r="L678" t="s">
        <v>28</v>
      </c>
      <c r="O678"/>
    </row>
    <row r="679" spans="1:15" x14ac:dyDescent="0.3">
      <c r="A679" t="s">
        <v>703</v>
      </c>
      <c r="B679" s="1">
        <v>45668</v>
      </c>
      <c r="C679" t="s">
        <v>21</v>
      </c>
      <c r="D679" t="s">
        <v>14</v>
      </c>
      <c r="E679" s="2">
        <v>17.34</v>
      </c>
      <c r="F679" s="3">
        <v>62.56</v>
      </c>
      <c r="G679" s="4">
        <v>197.18</v>
      </c>
      <c r="H679">
        <v>1.2</v>
      </c>
      <c r="I679" s="4">
        <v>236.62</v>
      </c>
      <c r="J679">
        <v>4.5999999999999996</v>
      </c>
      <c r="K679" t="s">
        <v>33</v>
      </c>
      <c r="L679" t="s">
        <v>16</v>
      </c>
      <c r="O679"/>
    </row>
    <row r="680" spans="1:15" x14ac:dyDescent="0.3">
      <c r="A680" t="s">
        <v>704</v>
      </c>
      <c r="B680" s="1">
        <v>45785</v>
      </c>
      <c r="C680" t="s">
        <v>21</v>
      </c>
      <c r="D680" t="s">
        <v>21</v>
      </c>
      <c r="E680" s="2">
        <v>5.18</v>
      </c>
      <c r="F680" s="3">
        <v>16.82</v>
      </c>
      <c r="G680" s="4">
        <v>65.97</v>
      </c>
      <c r="H680">
        <v>1.2</v>
      </c>
      <c r="I680" s="4">
        <v>79.16</v>
      </c>
      <c r="J680">
        <v>4.8</v>
      </c>
      <c r="K680" t="s">
        <v>15</v>
      </c>
      <c r="L680" t="s">
        <v>26</v>
      </c>
      <c r="O680"/>
    </row>
    <row r="681" spans="1:15" x14ac:dyDescent="0.3">
      <c r="A681" t="s">
        <v>705</v>
      </c>
      <c r="B681" s="1">
        <v>45722</v>
      </c>
      <c r="C681" t="s">
        <v>13</v>
      </c>
      <c r="D681" t="s">
        <v>13</v>
      </c>
      <c r="E681" s="2">
        <v>14.33</v>
      </c>
      <c r="F681" s="3">
        <v>37.44</v>
      </c>
      <c r="G681" s="4">
        <v>261.14999999999998</v>
      </c>
      <c r="H681">
        <v>1.2</v>
      </c>
      <c r="I681" s="4">
        <v>313.38</v>
      </c>
      <c r="J681">
        <v>3.6</v>
      </c>
      <c r="K681" t="s">
        <v>36</v>
      </c>
      <c r="L681" t="s">
        <v>16</v>
      </c>
      <c r="O681"/>
    </row>
    <row r="682" spans="1:15" x14ac:dyDescent="0.3">
      <c r="A682" t="s">
        <v>706</v>
      </c>
      <c r="B682" s="1">
        <v>45883</v>
      </c>
      <c r="C682" t="s">
        <v>22</v>
      </c>
      <c r="D682" t="s">
        <v>22</v>
      </c>
      <c r="E682" s="2">
        <v>14.29</v>
      </c>
      <c r="F682" s="3">
        <v>49.3</v>
      </c>
      <c r="G682" s="4">
        <v>224.97</v>
      </c>
      <c r="H682">
        <v>1.5</v>
      </c>
      <c r="I682" s="4">
        <v>337.46</v>
      </c>
      <c r="J682">
        <v>5</v>
      </c>
      <c r="K682" t="s">
        <v>30</v>
      </c>
      <c r="L682" t="s">
        <v>28</v>
      </c>
      <c r="O682"/>
    </row>
    <row r="683" spans="1:15" x14ac:dyDescent="0.3">
      <c r="A683" t="s">
        <v>707</v>
      </c>
      <c r="B683" s="1">
        <v>45763</v>
      </c>
      <c r="C683" t="s">
        <v>22</v>
      </c>
      <c r="D683" t="s">
        <v>25</v>
      </c>
      <c r="E683" s="2">
        <v>10.1</v>
      </c>
      <c r="F683" s="3">
        <v>31.07</v>
      </c>
      <c r="G683" s="4">
        <v>185.85</v>
      </c>
      <c r="H683">
        <v>1</v>
      </c>
      <c r="I683" s="4">
        <v>185.85</v>
      </c>
      <c r="J683">
        <v>4.5</v>
      </c>
      <c r="K683" t="s">
        <v>15</v>
      </c>
      <c r="L683" t="s">
        <v>28</v>
      </c>
      <c r="O683"/>
    </row>
    <row r="684" spans="1:15" x14ac:dyDescent="0.3">
      <c r="A684" t="s">
        <v>708</v>
      </c>
      <c r="B684" s="1">
        <v>45697</v>
      </c>
      <c r="C684" t="s">
        <v>13</v>
      </c>
      <c r="D684" t="s">
        <v>22</v>
      </c>
      <c r="E684" s="2">
        <v>11.77</v>
      </c>
      <c r="F684" s="3">
        <v>28.13</v>
      </c>
      <c r="G684" s="4">
        <v>175.3</v>
      </c>
      <c r="H684">
        <v>2</v>
      </c>
      <c r="I684" s="4">
        <v>350.6</v>
      </c>
      <c r="J684">
        <v>4.3</v>
      </c>
      <c r="K684" t="s">
        <v>30</v>
      </c>
      <c r="L684" t="s">
        <v>19</v>
      </c>
      <c r="O684"/>
    </row>
    <row r="685" spans="1:15" x14ac:dyDescent="0.3">
      <c r="A685" t="s">
        <v>709</v>
      </c>
      <c r="B685" s="1">
        <v>45989</v>
      </c>
      <c r="C685" t="s">
        <v>25</v>
      </c>
      <c r="D685" t="s">
        <v>14</v>
      </c>
      <c r="E685" s="2">
        <v>15.01</v>
      </c>
      <c r="F685" s="3">
        <v>55.18</v>
      </c>
      <c r="G685" s="4">
        <v>204.35</v>
      </c>
      <c r="H685">
        <v>1.5</v>
      </c>
      <c r="I685" s="4">
        <v>306.52</v>
      </c>
      <c r="J685">
        <v>4.5999999999999996</v>
      </c>
      <c r="K685" t="s">
        <v>36</v>
      </c>
      <c r="L685" t="s">
        <v>19</v>
      </c>
      <c r="O685"/>
    </row>
    <row r="686" spans="1:15" x14ac:dyDescent="0.3">
      <c r="A686" t="s">
        <v>710</v>
      </c>
      <c r="B686" s="1">
        <v>45952</v>
      </c>
      <c r="C686" t="s">
        <v>22</v>
      </c>
      <c r="D686" t="s">
        <v>13</v>
      </c>
      <c r="E686" s="2">
        <v>14.17</v>
      </c>
      <c r="F686" s="3">
        <v>49.95</v>
      </c>
      <c r="G686" s="4">
        <v>159.55000000000001</v>
      </c>
      <c r="H686">
        <v>1</v>
      </c>
      <c r="I686" s="4">
        <v>159.55000000000001</v>
      </c>
      <c r="J686">
        <v>4.8</v>
      </c>
      <c r="K686" t="s">
        <v>15</v>
      </c>
      <c r="L686" t="s">
        <v>26</v>
      </c>
      <c r="O686"/>
    </row>
    <row r="687" spans="1:15" x14ac:dyDescent="0.3">
      <c r="A687" t="s">
        <v>711</v>
      </c>
      <c r="B687" s="1">
        <v>45886</v>
      </c>
      <c r="C687" t="s">
        <v>25</v>
      </c>
      <c r="D687" t="s">
        <v>25</v>
      </c>
      <c r="E687" s="2">
        <v>15.79</v>
      </c>
      <c r="F687" s="3">
        <v>54.83</v>
      </c>
      <c r="G687" s="4">
        <v>238.89</v>
      </c>
      <c r="H687">
        <v>1.2</v>
      </c>
      <c r="I687" s="4">
        <v>286.67</v>
      </c>
      <c r="J687">
        <v>4.3</v>
      </c>
      <c r="K687" t="s">
        <v>33</v>
      </c>
      <c r="L687" t="s">
        <v>16</v>
      </c>
      <c r="O687"/>
    </row>
    <row r="688" spans="1:15" x14ac:dyDescent="0.3">
      <c r="A688" t="s">
        <v>712</v>
      </c>
      <c r="B688" s="1">
        <v>45789</v>
      </c>
      <c r="C688" t="s">
        <v>22</v>
      </c>
      <c r="D688" t="s">
        <v>13</v>
      </c>
      <c r="E688" s="2">
        <v>29.14</v>
      </c>
      <c r="F688" s="3">
        <v>112.62</v>
      </c>
      <c r="G688" s="4">
        <v>507.5</v>
      </c>
      <c r="H688">
        <v>1.5</v>
      </c>
      <c r="I688" s="4">
        <v>761.25</v>
      </c>
      <c r="J688">
        <v>3.3</v>
      </c>
      <c r="K688" t="s">
        <v>15</v>
      </c>
      <c r="L688" t="s">
        <v>26</v>
      </c>
      <c r="O688"/>
    </row>
    <row r="689" spans="1:15" x14ac:dyDescent="0.3">
      <c r="A689" t="s">
        <v>713</v>
      </c>
      <c r="B689" s="1">
        <v>45777</v>
      </c>
      <c r="C689" t="s">
        <v>13</v>
      </c>
      <c r="D689" t="s">
        <v>13</v>
      </c>
      <c r="E689" s="2">
        <v>6.37</v>
      </c>
      <c r="F689" s="3">
        <v>16.29</v>
      </c>
      <c r="G689" s="4">
        <v>77.63</v>
      </c>
      <c r="H689">
        <v>1</v>
      </c>
      <c r="I689" s="4">
        <v>77.63</v>
      </c>
      <c r="J689">
        <v>3.8</v>
      </c>
      <c r="K689" t="s">
        <v>33</v>
      </c>
      <c r="L689" t="s">
        <v>28</v>
      </c>
      <c r="O689"/>
    </row>
    <row r="690" spans="1:15" x14ac:dyDescent="0.3">
      <c r="A690" t="s">
        <v>714</v>
      </c>
      <c r="B690" s="1">
        <v>45865</v>
      </c>
      <c r="C690" t="s">
        <v>14</v>
      </c>
      <c r="D690" t="s">
        <v>14</v>
      </c>
      <c r="E690" s="2">
        <v>9.2899999999999991</v>
      </c>
      <c r="F690" s="3">
        <v>35.81</v>
      </c>
      <c r="G690" s="4">
        <v>183.01</v>
      </c>
      <c r="H690">
        <v>2</v>
      </c>
      <c r="I690" s="4">
        <v>366.02</v>
      </c>
      <c r="J690">
        <v>3.7</v>
      </c>
      <c r="K690" t="s">
        <v>18</v>
      </c>
      <c r="L690" t="s">
        <v>19</v>
      </c>
      <c r="O690"/>
    </row>
    <row r="691" spans="1:15" x14ac:dyDescent="0.3">
      <c r="A691" t="s">
        <v>715</v>
      </c>
      <c r="B691" s="1">
        <v>45663</v>
      </c>
      <c r="C691" t="s">
        <v>21</v>
      </c>
      <c r="D691" t="s">
        <v>13</v>
      </c>
      <c r="E691" s="2">
        <v>11.86</v>
      </c>
      <c r="F691" s="3">
        <v>42.64</v>
      </c>
      <c r="G691" s="4">
        <v>162.16999999999999</v>
      </c>
      <c r="H691">
        <v>1.5</v>
      </c>
      <c r="I691" s="4">
        <v>243.26</v>
      </c>
      <c r="J691">
        <v>3.7</v>
      </c>
      <c r="K691" t="s">
        <v>33</v>
      </c>
      <c r="L691" t="s">
        <v>16</v>
      </c>
      <c r="O691"/>
    </row>
    <row r="692" spans="1:15" x14ac:dyDescent="0.3">
      <c r="A692" t="s">
        <v>716</v>
      </c>
      <c r="B692" s="1">
        <v>45972</v>
      </c>
      <c r="C692" t="s">
        <v>13</v>
      </c>
      <c r="D692" t="s">
        <v>14</v>
      </c>
      <c r="E692" s="2">
        <v>25.51</v>
      </c>
      <c r="F692" s="3">
        <v>91.63</v>
      </c>
      <c r="G692" s="4">
        <v>299.77</v>
      </c>
      <c r="H692">
        <v>1</v>
      </c>
      <c r="I692" s="4">
        <v>299.77</v>
      </c>
      <c r="J692">
        <v>3.1</v>
      </c>
      <c r="K692" t="s">
        <v>36</v>
      </c>
      <c r="L692" t="s">
        <v>28</v>
      </c>
      <c r="O692"/>
    </row>
    <row r="693" spans="1:15" x14ac:dyDescent="0.3">
      <c r="A693" t="s">
        <v>717</v>
      </c>
      <c r="B693" s="1">
        <v>45944</v>
      </c>
      <c r="C693" t="s">
        <v>21</v>
      </c>
      <c r="D693" t="s">
        <v>13</v>
      </c>
      <c r="E693" s="2">
        <v>7.33</v>
      </c>
      <c r="F693" s="3">
        <v>27.47</v>
      </c>
      <c r="G693" s="4">
        <v>91.6</v>
      </c>
      <c r="H693">
        <v>1.2</v>
      </c>
      <c r="I693" s="4">
        <v>109.92</v>
      </c>
      <c r="J693">
        <v>4.5</v>
      </c>
      <c r="K693" t="s">
        <v>33</v>
      </c>
      <c r="L693" t="s">
        <v>26</v>
      </c>
      <c r="O693"/>
    </row>
    <row r="694" spans="1:15" x14ac:dyDescent="0.3">
      <c r="A694" t="s">
        <v>718</v>
      </c>
      <c r="B694" s="1">
        <v>45702</v>
      </c>
      <c r="C694" t="s">
        <v>25</v>
      </c>
      <c r="D694" t="s">
        <v>14</v>
      </c>
      <c r="E694" s="2">
        <v>26.25</v>
      </c>
      <c r="F694" s="3">
        <v>94.11</v>
      </c>
      <c r="G694" s="4">
        <v>427.17</v>
      </c>
      <c r="H694">
        <v>1</v>
      </c>
      <c r="I694" s="4">
        <v>427.17</v>
      </c>
      <c r="J694">
        <v>3.5</v>
      </c>
      <c r="K694" t="s">
        <v>33</v>
      </c>
      <c r="L694" t="s">
        <v>26</v>
      </c>
      <c r="O694"/>
    </row>
    <row r="695" spans="1:15" x14ac:dyDescent="0.3">
      <c r="A695" t="s">
        <v>719</v>
      </c>
      <c r="B695" s="1">
        <v>45930</v>
      </c>
      <c r="C695" t="s">
        <v>25</v>
      </c>
      <c r="D695" t="s">
        <v>14</v>
      </c>
      <c r="E695" s="2">
        <v>9.52</v>
      </c>
      <c r="F695" s="3">
        <v>23.55</v>
      </c>
      <c r="G695" s="4">
        <v>185.5</v>
      </c>
      <c r="H695">
        <v>1.5</v>
      </c>
      <c r="I695" s="4">
        <v>278.25</v>
      </c>
      <c r="J695">
        <v>3.6</v>
      </c>
      <c r="K695" t="s">
        <v>36</v>
      </c>
      <c r="L695" t="s">
        <v>28</v>
      </c>
      <c r="O695"/>
    </row>
    <row r="696" spans="1:15" x14ac:dyDescent="0.3">
      <c r="A696" t="s">
        <v>720</v>
      </c>
      <c r="B696" s="1">
        <v>45921</v>
      </c>
      <c r="C696" t="s">
        <v>22</v>
      </c>
      <c r="D696" t="s">
        <v>25</v>
      </c>
      <c r="E696" s="2">
        <v>27.81</v>
      </c>
      <c r="F696" s="3">
        <v>99.33</v>
      </c>
      <c r="G696" s="4">
        <v>442.16</v>
      </c>
      <c r="H696">
        <v>1</v>
      </c>
      <c r="I696" s="4">
        <v>442.16</v>
      </c>
      <c r="J696">
        <v>3.9</v>
      </c>
      <c r="K696" t="s">
        <v>36</v>
      </c>
      <c r="L696" t="s">
        <v>28</v>
      </c>
      <c r="O696"/>
    </row>
    <row r="697" spans="1:15" x14ac:dyDescent="0.3">
      <c r="A697" t="s">
        <v>721</v>
      </c>
      <c r="B697" s="1">
        <v>45846</v>
      </c>
      <c r="C697" t="s">
        <v>25</v>
      </c>
      <c r="D697" t="s">
        <v>13</v>
      </c>
      <c r="E697" s="2">
        <v>5.48</v>
      </c>
      <c r="F697" s="3">
        <v>16.3</v>
      </c>
      <c r="G697" s="4">
        <v>78.36</v>
      </c>
      <c r="H697">
        <v>1</v>
      </c>
      <c r="I697" s="4">
        <v>78.36</v>
      </c>
      <c r="J697">
        <v>4.4000000000000004</v>
      </c>
      <c r="K697" t="s">
        <v>18</v>
      </c>
      <c r="L697" t="s">
        <v>28</v>
      </c>
      <c r="O697"/>
    </row>
    <row r="698" spans="1:15" x14ac:dyDescent="0.3">
      <c r="A698" t="s">
        <v>722</v>
      </c>
      <c r="B698" s="1">
        <v>45670</v>
      </c>
      <c r="C698" t="s">
        <v>21</v>
      </c>
      <c r="D698" t="s">
        <v>21</v>
      </c>
      <c r="E698" s="2">
        <v>23.31</v>
      </c>
      <c r="F698" s="3">
        <v>65.17</v>
      </c>
      <c r="G698" s="4">
        <v>426</v>
      </c>
      <c r="H698">
        <v>1</v>
      </c>
      <c r="I698" s="4">
        <v>426</v>
      </c>
      <c r="J698">
        <v>4.3</v>
      </c>
      <c r="K698" t="s">
        <v>15</v>
      </c>
      <c r="L698" t="s">
        <v>28</v>
      </c>
      <c r="O698"/>
    </row>
    <row r="699" spans="1:15" x14ac:dyDescent="0.3">
      <c r="A699" t="s">
        <v>723</v>
      </c>
      <c r="B699" s="1">
        <v>45751</v>
      </c>
      <c r="C699" t="s">
        <v>25</v>
      </c>
      <c r="D699" t="s">
        <v>14</v>
      </c>
      <c r="E699" s="2">
        <v>6.93</v>
      </c>
      <c r="F699" s="3">
        <v>18.579999999999998</v>
      </c>
      <c r="G699" s="4">
        <v>104.68</v>
      </c>
      <c r="H699">
        <v>2</v>
      </c>
      <c r="I699" s="4">
        <v>209.36</v>
      </c>
      <c r="J699">
        <v>4.3</v>
      </c>
      <c r="K699" t="s">
        <v>33</v>
      </c>
      <c r="L699" t="s">
        <v>16</v>
      </c>
      <c r="O699"/>
    </row>
    <row r="700" spans="1:15" x14ac:dyDescent="0.3">
      <c r="A700" t="s">
        <v>724</v>
      </c>
      <c r="B700" s="1">
        <v>45837</v>
      </c>
      <c r="C700" t="s">
        <v>22</v>
      </c>
      <c r="D700" t="s">
        <v>22</v>
      </c>
      <c r="E700" s="2">
        <v>15.79</v>
      </c>
      <c r="F700" s="3">
        <v>47.41</v>
      </c>
      <c r="G700" s="4">
        <v>165.83</v>
      </c>
      <c r="H700">
        <v>2</v>
      </c>
      <c r="I700" s="4">
        <v>331.66</v>
      </c>
      <c r="J700">
        <v>3.6</v>
      </c>
      <c r="K700" t="s">
        <v>36</v>
      </c>
      <c r="L700" t="s">
        <v>28</v>
      </c>
      <c r="O700"/>
    </row>
    <row r="701" spans="1:15" x14ac:dyDescent="0.3">
      <c r="A701" t="s">
        <v>725</v>
      </c>
      <c r="B701" s="1">
        <v>45970</v>
      </c>
      <c r="C701" t="s">
        <v>22</v>
      </c>
      <c r="D701" t="s">
        <v>25</v>
      </c>
      <c r="E701" s="2">
        <v>13.71</v>
      </c>
      <c r="F701" s="3">
        <v>50.43</v>
      </c>
      <c r="G701" s="4">
        <v>159.13</v>
      </c>
      <c r="H701">
        <v>1.5</v>
      </c>
      <c r="I701" s="4">
        <v>238.7</v>
      </c>
      <c r="J701">
        <v>4.5</v>
      </c>
      <c r="K701" t="s">
        <v>33</v>
      </c>
      <c r="L701" t="s">
        <v>28</v>
      </c>
      <c r="O701"/>
    </row>
    <row r="702" spans="1:15" x14ac:dyDescent="0.3">
      <c r="A702" t="s">
        <v>726</v>
      </c>
      <c r="B702" s="1">
        <v>45865</v>
      </c>
      <c r="C702" t="s">
        <v>13</v>
      </c>
      <c r="D702" t="s">
        <v>13</v>
      </c>
      <c r="E702" s="2">
        <v>7.89</v>
      </c>
      <c r="F702" s="3">
        <v>16.559999999999999</v>
      </c>
      <c r="G702" s="4">
        <v>136.07</v>
      </c>
      <c r="H702">
        <v>1.2</v>
      </c>
      <c r="I702" s="4">
        <v>163.28</v>
      </c>
      <c r="J702">
        <v>4.8</v>
      </c>
      <c r="K702" t="s">
        <v>30</v>
      </c>
      <c r="L702" t="s">
        <v>16</v>
      </c>
      <c r="O702"/>
    </row>
    <row r="703" spans="1:15" x14ac:dyDescent="0.3">
      <c r="A703" t="s">
        <v>727</v>
      </c>
      <c r="B703" s="1">
        <v>45729</v>
      </c>
      <c r="C703" t="s">
        <v>22</v>
      </c>
      <c r="D703" t="s">
        <v>14</v>
      </c>
      <c r="E703" s="2">
        <v>27.75</v>
      </c>
      <c r="F703" s="3">
        <v>94.11</v>
      </c>
      <c r="G703" s="4">
        <v>446.99</v>
      </c>
      <c r="H703">
        <v>1.2</v>
      </c>
      <c r="I703" s="4">
        <v>536.39</v>
      </c>
      <c r="J703">
        <v>3.8</v>
      </c>
      <c r="K703" t="s">
        <v>36</v>
      </c>
      <c r="L703" t="s">
        <v>16</v>
      </c>
      <c r="O703"/>
    </row>
    <row r="704" spans="1:15" x14ac:dyDescent="0.3">
      <c r="A704" t="s">
        <v>728</v>
      </c>
      <c r="B704" s="1">
        <v>45796</v>
      </c>
      <c r="C704" t="s">
        <v>22</v>
      </c>
      <c r="D704" t="s">
        <v>21</v>
      </c>
      <c r="E704" s="2">
        <v>17.489999999999998</v>
      </c>
      <c r="F704" s="3">
        <v>57.77</v>
      </c>
      <c r="G704" s="4">
        <v>211.77</v>
      </c>
      <c r="H704">
        <v>1.2</v>
      </c>
      <c r="I704" s="4">
        <v>254.12</v>
      </c>
      <c r="J704">
        <v>4.4000000000000004</v>
      </c>
      <c r="K704" t="s">
        <v>33</v>
      </c>
      <c r="L704" t="s">
        <v>19</v>
      </c>
      <c r="O704"/>
    </row>
    <row r="705" spans="1:15" x14ac:dyDescent="0.3">
      <c r="A705" t="s">
        <v>729</v>
      </c>
      <c r="B705" s="1">
        <v>45998</v>
      </c>
      <c r="C705" t="s">
        <v>21</v>
      </c>
      <c r="D705" t="s">
        <v>14</v>
      </c>
      <c r="E705" s="2">
        <v>25.22</v>
      </c>
      <c r="F705" s="3">
        <v>97.22</v>
      </c>
      <c r="G705" s="4">
        <v>344.48</v>
      </c>
      <c r="H705">
        <v>1.2</v>
      </c>
      <c r="I705" s="4">
        <v>413.38</v>
      </c>
      <c r="J705">
        <v>3</v>
      </c>
      <c r="K705" t="s">
        <v>18</v>
      </c>
      <c r="L705" t="s">
        <v>19</v>
      </c>
      <c r="O705"/>
    </row>
    <row r="706" spans="1:15" x14ac:dyDescent="0.3">
      <c r="A706" t="s">
        <v>730</v>
      </c>
      <c r="B706" s="1">
        <v>45849</v>
      </c>
      <c r="C706" t="s">
        <v>21</v>
      </c>
      <c r="D706" t="s">
        <v>25</v>
      </c>
      <c r="E706" s="2">
        <v>13.5</v>
      </c>
      <c r="F706" s="3">
        <v>29.36</v>
      </c>
      <c r="G706" s="4">
        <v>173.18</v>
      </c>
      <c r="H706">
        <v>1.5</v>
      </c>
      <c r="I706" s="4">
        <v>259.77</v>
      </c>
      <c r="J706">
        <v>3.7</v>
      </c>
      <c r="K706" t="s">
        <v>18</v>
      </c>
      <c r="L706" t="s">
        <v>26</v>
      </c>
      <c r="O706"/>
    </row>
    <row r="707" spans="1:15" x14ac:dyDescent="0.3">
      <c r="A707" t="s">
        <v>731</v>
      </c>
      <c r="B707" s="1">
        <v>45962</v>
      </c>
      <c r="C707" t="s">
        <v>13</v>
      </c>
      <c r="D707" t="s">
        <v>13</v>
      </c>
      <c r="E707" s="2">
        <v>10.63</v>
      </c>
      <c r="F707" s="3">
        <v>27.51</v>
      </c>
      <c r="G707" s="4">
        <v>110.71</v>
      </c>
      <c r="H707">
        <v>1.5</v>
      </c>
      <c r="I707" s="4">
        <v>166.06</v>
      </c>
      <c r="J707">
        <v>3.5</v>
      </c>
      <c r="K707" t="s">
        <v>18</v>
      </c>
      <c r="L707" t="s">
        <v>26</v>
      </c>
      <c r="O707"/>
    </row>
    <row r="708" spans="1:15" x14ac:dyDescent="0.3">
      <c r="A708" t="s">
        <v>732</v>
      </c>
      <c r="B708" s="1">
        <v>45930</v>
      </c>
      <c r="C708" t="s">
        <v>13</v>
      </c>
      <c r="D708" t="s">
        <v>13</v>
      </c>
      <c r="E708" s="2">
        <v>19.95</v>
      </c>
      <c r="F708" s="3">
        <v>47.57</v>
      </c>
      <c r="G708" s="4">
        <v>258.48</v>
      </c>
      <c r="H708">
        <v>1.2</v>
      </c>
      <c r="I708" s="4">
        <v>310.18</v>
      </c>
      <c r="J708">
        <v>4.9000000000000004</v>
      </c>
      <c r="K708" t="s">
        <v>18</v>
      </c>
      <c r="L708" t="s">
        <v>16</v>
      </c>
      <c r="O708"/>
    </row>
    <row r="709" spans="1:15" x14ac:dyDescent="0.3">
      <c r="A709" t="s">
        <v>733</v>
      </c>
      <c r="B709" s="1">
        <v>45901</v>
      </c>
      <c r="C709" t="s">
        <v>25</v>
      </c>
      <c r="D709" t="s">
        <v>25</v>
      </c>
      <c r="E709" s="2">
        <v>22.43</v>
      </c>
      <c r="F709" s="3">
        <v>57.31</v>
      </c>
      <c r="G709" s="4">
        <v>287.47000000000003</v>
      </c>
      <c r="H709">
        <v>1.2</v>
      </c>
      <c r="I709" s="4">
        <v>344.96</v>
      </c>
      <c r="J709">
        <v>3.9</v>
      </c>
      <c r="K709" t="s">
        <v>36</v>
      </c>
      <c r="L709" t="s">
        <v>26</v>
      </c>
      <c r="O709"/>
    </row>
    <row r="710" spans="1:15" x14ac:dyDescent="0.3">
      <c r="A710" t="s">
        <v>734</v>
      </c>
      <c r="B710" s="1">
        <v>45715</v>
      </c>
      <c r="C710" t="s">
        <v>13</v>
      </c>
      <c r="D710" t="s">
        <v>22</v>
      </c>
      <c r="E710" s="2">
        <v>21.77</v>
      </c>
      <c r="F710" s="3">
        <v>74.290000000000006</v>
      </c>
      <c r="G710" s="4">
        <v>353.26</v>
      </c>
      <c r="H710">
        <v>1.2</v>
      </c>
      <c r="I710" s="4">
        <v>423.91</v>
      </c>
      <c r="J710">
        <v>4.5999999999999996</v>
      </c>
      <c r="K710" t="s">
        <v>33</v>
      </c>
      <c r="L710" t="s">
        <v>28</v>
      </c>
      <c r="O710"/>
    </row>
    <row r="711" spans="1:15" x14ac:dyDescent="0.3">
      <c r="A711" t="s">
        <v>735</v>
      </c>
      <c r="B711" s="1">
        <v>45909</v>
      </c>
      <c r="C711" t="s">
        <v>21</v>
      </c>
      <c r="D711" t="s">
        <v>21</v>
      </c>
      <c r="E711" s="2">
        <v>10.86</v>
      </c>
      <c r="F711" s="3">
        <v>23.43</v>
      </c>
      <c r="G711" s="4">
        <v>156.69</v>
      </c>
      <c r="H711">
        <v>1</v>
      </c>
      <c r="I711" s="4">
        <v>156.69</v>
      </c>
      <c r="J711">
        <v>3.2</v>
      </c>
      <c r="K711" t="s">
        <v>15</v>
      </c>
      <c r="L711" t="s">
        <v>16</v>
      </c>
      <c r="O711"/>
    </row>
    <row r="712" spans="1:15" x14ac:dyDescent="0.3">
      <c r="A712" t="s">
        <v>736</v>
      </c>
      <c r="B712" s="1">
        <v>45961</v>
      </c>
      <c r="C712" t="s">
        <v>25</v>
      </c>
      <c r="D712" t="s">
        <v>25</v>
      </c>
      <c r="E712" s="2">
        <v>25.2</v>
      </c>
      <c r="F712" s="3">
        <v>97.55</v>
      </c>
      <c r="G712" s="4">
        <v>298.8</v>
      </c>
      <c r="H712">
        <v>2</v>
      </c>
      <c r="I712" s="4">
        <v>597.6</v>
      </c>
      <c r="J712">
        <v>3.9</v>
      </c>
      <c r="K712" t="s">
        <v>30</v>
      </c>
      <c r="L712" t="s">
        <v>28</v>
      </c>
      <c r="O712"/>
    </row>
    <row r="713" spans="1:15" x14ac:dyDescent="0.3">
      <c r="A713" t="s">
        <v>737</v>
      </c>
      <c r="B713" s="1">
        <v>45794</v>
      </c>
      <c r="C713" t="s">
        <v>21</v>
      </c>
      <c r="D713" t="s">
        <v>14</v>
      </c>
      <c r="E713" s="2">
        <v>7.96</v>
      </c>
      <c r="F713" s="3">
        <v>27.23</v>
      </c>
      <c r="G713" s="4">
        <v>101.33</v>
      </c>
      <c r="H713">
        <v>1.5</v>
      </c>
      <c r="I713" s="4">
        <v>152</v>
      </c>
      <c r="J713">
        <v>4.9000000000000004</v>
      </c>
      <c r="K713" t="s">
        <v>33</v>
      </c>
      <c r="L713" t="s">
        <v>26</v>
      </c>
      <c r="O713"/>
    </row>
    <row r="714" spans="1:15" x14ac:dyDescent="0.3">
      <c r="A714" t="s">
        <v>738</v>
      </c>
      <c r="B714" s="1">
        <v>45682</v>
      </c>
      <c r="C714" t="s">
        <v>13</v>
      </c>
      <c r="D714" t="s">
        <v>25</v>
      </c>
      <c r="E714" s="2">
        <v>27.48</v>
      </c>
      <c r="F714" s="3">
        <v>65.37</v>
      </c>
      <c r="G714" s="4">
        <v>276.18</v>
      </c>
      <c r="H714">
        <v>1.2</v>
      </c>
      <c r="I714" s="4">
        <v>331.42</v>
      </c>
      <c r="J714">
        <v>4.3</v>
      </c>
      <c r="K714" t="s">
        <v>30</v>
      </c>
      <c r="L714" t="s">
        <v>26</v>
      </c>
      <c r="O714"/>
    </row>
    <row r="715" spans="1:15" x14ac:dyDescent="0.3">
      <c r="A715" t="s">
        <v>739</v>
      </c>
      <c r="B715" s="1">
        <v>45939</v>
      </c>
      <c r="C715" t="s">
        <v>13</v>
      </c>
      <c r="D715" t="s">
        <v>22</v>
      </c>
      <c r="E715" s="2">
        <v>19.78</v>
      </c>
      <c r="F715" s="3">
        <v>50.36</v>
      </c>
      <c r="G715" s="4">
        <v>232.85</v>
      </c>
      <c r="H715">
        <v>2</v>
      </c>
      <c r="I715" s="4">
        <v>465.7</v>
      </c>
      <c r="J715">
        <v>4.5999999999999996</v>
      </c>
      <c r="K715" t="s">
        <v>33</v>
      </c>
      <c r="L715" t="s">
        <v>28</v>
      </c>
      <c r="O715"/>
    </row>
    <row r="716" spans="1:15" x14ac:dyDescent="0.3">
      <c r="A716" t="s">
        <v>740</v>
      </c>
      <c r="B716" s="1">
        <v>45940</v>
      </c>
      <c r="C716" t="s">
        <v>22</v>
      </c>
      <c r="D716" t="s">
        <v>22</v>
      </c>
      <c r="E716" s="2">
        <v>2.61</v>
      </c>
      <c r="F716" s="3">
        <v>5.26</v>
      </c>
      <c r="G716" s="4">
        <v>31.64</v>
      </c>
      <c r="H716">
        <v>1</v>
      </c>
      <c r="I716" s="4">
        <v>31.64</v>
      </c>
      <c r="J716">
        <v>3.5</v>
      </c>
      <c r="K716" t="s">
        <v>30</v>
      </c>
      <c r="L716" t="s">
        <v>16</v>
      </c>
      <c r="O716"/>
    </row>
    <row r="717" spans="1:15" x14ac:dyDescent="0.3">
      <c r="A717" t="s">
        <v>741</v>
      </c>
      <c r="B717" s="1">
        <v>45832</v>
      </c>
      <c r="C717" t="s">
        <v>14</v>
      </c>
      <c r="D717" t="s">
        <v>13</v>
      </c>
      <c r="E717" s="2">
        <v>12.67</v>
      </c>
      <c r="F717" s="3">
        <v>47.76</v>
      </c>
      <c r="G717" s="4">
        <v>240.17</v>
      </c>
      <c r="H717">
        <v>1.5</v>
      </c>
      <c r="I717" s="4">
        <v>360.26</v>
      </c>
      <c r="J717">
        <v>3.6</v>
      </c>
      <c r="K717" t="s">
        <v>15</v>
      </c>
      <c r="L717" t="s">
        <v>26</v>
      </c>
      <c r="O717"/>
    </row>
    <row r="718" spans="1:15" x14ac:dyDescent="0.3">
      <c r="A718" t="s">
        <v>742</v>
      </c>
      <c r="B718" s="1">
        <v>45833</v>
      </c>
      <c r="C718" t="s">
        <v>22</v>
      </c>
      <c r="D718" t="s">
        <v>25</v>
      </c>
      <c r="E718" s="2">
        <v>21.04</v>
      </c>
      <c r="F718" s="3">
        <v>53.51</v>
      </c>
      <c r="G718" s="4">
        <v>250.5</v>
      </c>
      <c r="H718">
        <v>1.2</v>
      </c>
      <c r="I718" s="4">
        <v>300.60000000000002</v>
      </c>
      <c r="J718">
        <v>4.9000000000000004</v>
      </c>
      <c r="K718" t="s">
        <v>15</v>
      </c>
      <c r="L718" t="s">
        <v>26</v>
      </c>
      <c r="O718"/>
    </row>
    <row r="719" spans="1:15" x14ac:dyDescent="0.3">
      <c r="A719" t="s">
        <v>743</v>
      </c>
      <c r="B719" s="1">
        <v>45806</v>
      </c>
      <c r="C719" t="s">
        <v>14</v>
      </c>
      <c r="D719" t="s">
        <v>13</v>
      </c>
      <c r="E719" s="2">
        <v>13.47</v>
      </c>
      <c r="F719" s="3">
        <v>49.33</v>
      </c>
      <c r="G719" s="4">
        <v>150.85</v>
      </c>
      <c r="H719">
        <v>1.2</v>
      </c>
      <c r="I719" s="4">
        <v>181.02</v>
      </c>
      <c r="J719">
        <v>4</v>
      </c>
      <c r="K719" t="s">
        <v>15</v>
      </c>
      <c r="L719" t="s">
        <v>19</v>
      </c>
      <c r="O719"/>
    </row>
    <row r="720" spans="1:15" x14ac:dyDescent="0.3">
      <c r="A720" t="s">
        <v>744</v>
      </c>
      <c r="B720" s="1">
        <v>45951</v>
      </c>
      <c r="C720" t="s">
        <v>25</v>
      </c>
      <c r="D720" t="s">
        <v>13</v>
      </c>
      <c r="E720" s="2">
        <v>20.78</v>
      </c>
      <c r="F720" s="3">
        <v>81.040000000000006</v>
      </c>
      <c r="G720" s="4">
        <v>236.29</v>
      </c>
      <c r="H720">
        <v>1.5</v>
      </c>
      <c r="I720" s="4">
        <v>354.44</v>
      </c>
      <c r="J720">
        <v>3.9</v>
      </c>
      <c r="K720" t="s">
        <v>15</v>
      </c>
      <c r="L720" t="s">
        <v>26</v>
      </c>
      <c r="O720"/>
    </row>
    <row r="721" spans="1:15" x14ac:dyDescent="0.3">
      <c r="A721" t="s">
        <v>745</v>
      </c>
      <c r="B721" s="1">
        <v>45934</v>
      </c>
      <c r="C721" t="s">
        <v>21</v>
      </c>
      <c r="D721" t="s">
        <v>25</v>
      </c>
      <c r="E721" s="2">
        <v>17.920000000000002</v>
      </c>
      <c r="F721" s="3">
        <v>49.82</v>
      </c>
      <c r="G721" s="4">
        <v>242.84</v>
      </c>
      <c r="H721">
        <v>1.5</v>
      </c>
      <c r="I721" s="4">
        <v>364.26</v>
      </c>
      <c r="J721">
        <v>3.7</v>
      </c>
      <c r="K721" t="s">
        <v>30</v>
      </c>
      <c r="L721" t="s">
        <v>19</v>
      </c>
      <c r="O721"/>
    </row>
    <row r="722" spans="1:15" x14ac:dyDescent="0.3">
      <c r="A722" t="s">
        <v>746</v>
      </c>
      <c r="B722" s="1">
        <v>45960</v>
      </c>
      <c r="C722" t="s">
        <v>13</v>
      </c>
      <c r="D722" t="s">
        <v>14</v>
      </c>
      <c r="E722" s="2">
        <v>1.44</v>
      </c>
      <c r="F722" s="3">
        <v>4.55</v>
      </c>
      <c r="G722" s="4">
        <v>15.92</v>
      </c>
      <c r="H722">
        <v>1.5</v>
      </c>
      <c r="I722" s="4">
        <v>23.88</v>
      </c>
      <c r="J722">
        <v>4.0999999999999996</v>
      </c>
      <c r="K722" t="s">
        <v>18</v>
      </c>
      <c r="L722" t="s">
        <v>16</v>
      </c>
      <c r="O722"/>
    </row>
    <row r="723" spans="1:15" x14ac:dyDescent="0.3">
      <c r="A723" t="s">
        <v>747</v>
      </c>
      <c r="B723" s="1">
        <v>45808</v>
      </c>
      <c r="C723" t="s">
        <v>25</v>
      </c>
      <c r="D723" t="s">
        <v>13</v>
      </c>
      <c r="E723" s="2">
        <v>21.29</v>
      </c>
      <c r="F723" s="3">
        <v>60.07</v>
      </c>
      <c r="G723" s="4">
        <v>332.25</v>
      </c>
      <c r="H723">
        <v>2</v>
      </c>
      <c r="I723" s="4">
        <v>664.5</v>
      </c>
      <c r="J723">
        <v>3</v>
      </c>
      <c r="K723" t="s">
        <v>18</v>
      </c>
      <c r="L723" t="s">
        <v>16</v>
      </c>
      <c r="O723"/>
    </row>
    <row r="724" spans="1:15" x14ac:dyDescent="0.3">
      <c r="A724" t="s">
        <v>748</v>
      </c>
      <c r="B724" s="1">
        <v>45860</v>
      </c>
      <c r="C724" t="s">
        <v>21</v>
      </c>
      <c r="D724" t="s">
        <v>22</v>
      </c>
      <c r="E724" s="2">
        <v>24.23</v>
      </c>
      <c r="F724" s="3">
        <v>53.52</v>
      </c>
      <c r="G724" s="4">
        <v>382.07</v>
      </c>
      <c r="H724">
        <v>1.5</v>
      </c>
      <c r="I724" s="4">
        <v>573.1</v>
      </c>
      <c r="J724">
        <v>3.7</v>
      </c>
      <c r="K724" t="s">
        <v>33</v>
      </c>
      <c r="L724" t="s">
        <v>16</v>
      </c>
      <c r="O724"/>
    </row>
    <row r="725" spans="1:15" x14ac:dyDescent="0.3">
      <c r="A725" t="s">
        <v>749</v>
      </c>
      <c r="B725" s="1">
        <v>45894</v>
      </c>
      <c r="C725" t="s">
        <v>25</v>
      </c>
      <c r="D725" t="s">
        <v>21</v>
      </c>
      <c r="E725" s="2">
        <v>17.97</v>
      </c>
      <c r="F725" s="3">
        <v>44.07</v>
      </c>
      <c r="G725" s="4">
        <v>340.66</v>
      </c>
      <c r="H725">
        <v>1.2</v>
      </c>
      <c r="I725" s="4">
        <v>408.79</v>
      </c>
      <c r="J725">
        <v>4.5</v>
      </c>
      <c r="K725" t="s">
        <v>33</v>
      </c>
      <c r="L725" t="s">
        <v>26</v>
      </c>
      <c r="O725"/>
    </row>
    <row r="726" spans="1:15" x14ac:dyDescent="0.3">
      <c r="A726" t="s">
        <v>750</v>
      </c>
      <c r="B726" s="1">
        <v>45845</v>
      </c>
      <c r="C726" t="s">
        <v>13</v>
      </c>
      <c r="D726" t="s">
        <v>25</v>
      </c>
      <c r="E726" s="2">
        <v>18.89</v>
      </c>
      <c r="F726" s="3">
        <v>70.400000000000006</v>
      </c>
      <c r="G726" s="4">
        <v>231.04</v>
      </c>
      <c r="H726">
        <v>1.5</v>
      </c>
      <c r="I726" s="4">
        <v>346.56</v>
      </c>
      <c r="J726">
        <v>3.3</v>
      </c>
      <c r="K726" t="s">
        <v>18</v>
      </c>
      <c r="L726" t="s">
        <v>19</v>
      </c>
      <c r="O726"/>
    </row>
    <row r="727" spans="1:15" x14ac:dyDescent="0.3">
      <c r="A727" t="s">
        <v>751</v>
      </c>
      <c r="B727" s="1">
        <v>45877</v>
      </c>
      <c r="C727" t="s">
        <v>21</v>
      </c>
      <c r="D727" t="s">
        <v>22</v>
      </c>
      <c r="E727" s="2">
        <v>29.52</v>
      </c>
      <c r="F727" s="3">
        <v>74.37</v>
      </c>
      <c r="G727" s="4">
        <v>581.46</v>
      </c>
      <c r="H727">
        <v>1</v>
      </c>
      <c r="I727" s="4">
        <v>581.46</v>
      </c>
      <c r="J727">
        <v>3.5</v>
      </c>
      <c r="K727" t="s">
        <v>30</v>
      </c>
      <c r="L727" t="s">
        <v>19</v>
      </c>
      <c r="O727"/>
    </row>
    <row r="728" spans="1:15" x14ac:dyDescent="0.3">
      <c r="A728" t="s">
        <v>752</v>
      </c>
      <c r="B728" s="1">
        <v>45819</v>
      </c>
      <c r="C728" t="s">
        <v>13</v>
      </c>
      <c r="D728" t="s">
        <v>13</v>
      </c>
      <c r="E728" s="2">
        <v>2.46</v>
      </c>
      <c r="F728" s="3">
        <v>5.18</v>
      </c>
      <c r="G728" s="4">
        <v>41.62</v>
      </c>
      <c r="H728">
        <v>1.5</v>
      </c>
      <c r="I728" s="4">
        <v>62.43</v>
      </c>
      <c r="J728">
        <v>3.4</v>
      </c>
      <c r="K728" t="s">
        <v>30</v>
      </c>
      <c r="L728" t="s">
        <v>19</v>
      </c>
      <c r="O728"/>
    </row>
    <row r="729" spans="1:15" x14ac:dyDescent="0.3">
      <c r="A729" t="s">
        <v>753</v>
      </c>
      <c r="B729" s="1">
        <v>45758</v>
      </c>
      <c r="C729" t="s">
        <v>14</v>
      </c>
      <c r="D729" t="s">
        <v>13</v>
      </c>
      <c r="E729" s="2">
        <v>18.809999999999999</v>
      </c>
      <c r="F729" s="3">
        <v>47.13</v>
      </c>
      <c r="G729" s="4">
        <v>296.75</v>
      </c>
      <c r="H729">
        <v>1.2</v>
      </c>
      <c r="I729" s="4">
        <v>356.1</v>
      </c>
      <c r="J729">
        <v>4.8</v>
      </c>
      <c r="K729" t="s">
        <v>18</v>
      </c>
      <c r="L729" t="s">
        <v>19</v>
      </c>
      <c r="O729"/>
    </row>
    <row r="730" spans="1:15" x14ac:dyDescent="0.3">
      <c r="A730" t="s">
        <v>754</v>
      </c>
      <c r="B730" s="1">
        <v>45992</v>
      </c>
      <c r="C730" t="s">
        <v>14</v>
      </c>
      <c r="D730" t="s">
        <v>22</v>
      </c>
      <c r="E730" s="2">
        <v>24.8</v>
      </c>
      <c r="F730" s="3">
        <v>73.28</v>
      </c>
      <c r="G730" s="4">
        <v>335</v>
      </c>
      <c r="H730">
        <v>2</v>
      </c>
      <c r="I730" s="4">
        <v>670</v>
      </c>
      <c r="J730">
        <v>3.3</v>
      </c>
      <c r="K730" t="s">
        <v>36</v>
      </c>
      <c r="L730" t="s">
        <v>28</v>
      </c>
      <c r="O730"/>
    </row>
    <row r="731" spans="1:15" x14ac:dyDescent="0.3">
      <c r="A731" t="s">
        <v>755</v>
      </c>
      <c r="B731" s="1">
        <v>45930</v>
      </c>
      <c r="C731" t="s">
        <v>22</v>
      </c>
      <c r="D731" t="s">
        <v>13</v>
      </c>
      <c r="E731" s="2">
        <v>10.52</v>
      </c>
      <c r="F731" s="3">
        <v>25.44</v>
      </c>
      <c r="G731" s="4">
        <v>114.11</v>
      </c>
      <c r="H731">
        <v>1</v>
      </c>
      <c r="I731" s="4">
        <v>114.11</v>
      </c>
      <c r="J731">
        <v>3.7</v>
      </c>
      <c r="K731" t="s">
        <v>36</v>
      </c>
      <c r="L731" t="s">
        <v>19</v>
      </c>
      <c r="O731"/>
    </row>
    <row r="732" spans="1:15" x14ac:dyDescent="0.3">
      <c r="A732" t="s">
        <v>756</v>
      </c>
      <c r="B732" s="1">
        <v>45919</v>
      </c>
      <c r="C732" t="s">
        <v>22</v>
      </c>
      <c r="D732" t="s">
        <v>13</v>
      </c>
      <c r="E732" s="2">
        <v>17.399999999999999</v>
      </c>
      <c r="F732" s="3">
        <v>41.16</v>
      </c>
      <c r="G732" s="4">
        <v>198.29</v>
      </c>
      <c r="H732">
        <v>1.5</v>
      </c>
      <c r="I732" s="4">
        <v>297.44</v>
      </c>
      <c r="J732">
        <v>4.5999999999999996</v>
      </c>
      <c r="K732" t="s">
        <v>30</v>
      </c>
      <c r="L732" t="s">
        <v>28</v>
      </c>
      <c r="O732"/>
    </row>
    <row r="733" spans="1:15" x14ac:dyDescent="0.3">
      <c r="A733" t="s">
        <v>757</v>
      </c>
      <c r="B733" s="1">
        <v>45940</v>
      </c>
      <c r="C733" t="s">
        <v>14</v>
      </c>
      <c r="D733" t="s">
        <v>14</v>
      </c>
      <c r="E733" s="2">
        <v>23.66</v>
      </c>
      <c r="F733" s="3">
        <v>60.37</v>
      </c>
      <c r="G733" s="4">
        <v>284.92</v>
      </c>
      <c r="H733">
        <v>2</v>
      </c>
      <c r="I733" s="4">
        <v>569.84</v>
      </c>
      <c r="J733">
        <v>3.2</v>
      </c>
      <c r="K733" t="s">
        <v>30</v>
      </c>
      <c r="L733" t="s">
        <v>19</v>
      </c>
      <c r="O733"/>
    </row>
    <row r="734" spans="1:15" x14ac:dyDescent="0.3">
      <c r="A734" t="s">
        <v>758</v>
      </c>
      <c r="B734" s="1">
        <v>45715</v>
      </c>
      <c r="C734" t="s">
        <v>22</v>
      </c>
      <c r="D734" t="s">
        <v>22</v>
      </c>
      <c r="E734" s="2">
        <v>20.83</v>
      </c>
      <c r="F734" s="3">
        <v>63.81</v>
      </c>
      <c r="G734" s="4">
        <v>215.1</v>
      </c>
      <c r="H734">
        <v>1</v>
      </c>
      <c r="I734" s="4">
        <v>215.1</v>
      </c>
      <c r="J734">
        <v>3.6</v>
      </c>
      <c r="K734" t="s">
        <v>36</v>
      </c>
      <c r="L734" t="s">
        <v>26</v>
      </c>
      <c r="O734"/>
    </row>
    <row r="735" spans="1:15" x14ac:dyDescent="0.3">
      <c r="A735" t="s">
        <v>759</v>
      </c>
      <c r="B735" s="1">
        <v>45855</v>
      </c>
      <c r="C735" t="s">
        <v>21</v>
      </c>
      <c r="D735" t="s">
        <v>22</v>
      </c>
      <c r="E735" s="2">
        <v>19.97</v>
      </c>
      <c r="F735" s="3">
        <v>64.67</v>
      </c>
      <c r="G735" s="4">
        <v>266.02</v>
      </c>
      <c r="H735">
        <v>1</v>
      </c>
      <c r="I735" s="4">
        <v>266.02</v>
      </c>
      <c r="J735">
        <v>4.4000000000000004</v>
      </c>
      <c r="K735" t="s">
        <v>36</v>
      </c>
      <c r="L735" t="s">
        <v>26</v>
      </c>
      <c r="O735"/>
    </row>
    <row r="736" spans="1:15" x14ac:dyDescent="0.3">
      <c r="A736" t="s">
        <v>760</v>
      </c>
      <c r="B736" s="1">
        <v>45670</v>
      </c>
      <c r="C736" t="s">
        <v>14</v>
      </c>
      <c r="D736" t="s">
        <v>25</v>
      </c>
      <c r="E736" s="2">
        <v>7.5</v>
      </c>
      <c r="F736" s="3">
        <v>18.59</v>
      </c>
      <c r="G736" s="4">
        <v>113.42</v>
      </c>
      <c r="H736">
        <v>1.5</v>
      </c>
      <c r="I736" s="4">
        <v>170.13</v>
      </c>
      <c r="J736">
        <v>4.9000000000000004</v>
      </c>
      <c r="K736" t="s">
        <v>15</v>
      </c>
      <c r="L736" t="s">
        <v>19</v>
      </c>
      <c r="O736"/>
    </row>
    <row r="737" spans="1:15" x14ac:dyDescent="0.3">
      <c r="A737" t="s">
        <v>761</v>
      </c>
      <c r="B737" s="1">
        <v>45994</v>
      </c>
      <c r="C737" t="s">
        <v>25</v>
      </c>
      <c r="D737" t="s">
        <v>21</v>
      </c>
      <c r="E737" s="2">
        <v>19.8</v>
      </c>
      <c r="F737" s="3">
        <v>48.77</v>
      </c>
      <c r="G737" s="4">
        <v>332.91</v>
      </c>
      <c r="H737">
        <v>1.2</v>
      </c>
      <c r="I737" s="4">
        <v>399.49</v>
      </c>
      <c r="J737">
        <v>4.7</v>
      </c>
      <c r="K737" t="s">
        <v>30</v>
      </c>
      <c r="L737" t="s">
        <v>16</v>
      </c>
      <c r="O737"/>
    </row>
    <row r="738" spans="1:15" x14ac:dyDescent="0.3">
      <c r="A738" t="s">
        <v>762</v>
      </c>
      <c r="B738" s="1">
        <v>46017</v>
      </c>
      <c r="C738" t="s">
        <v>25</v>
      </c>
      <c r="D738" t="s">
        <v>14</v>
      </c>
      <c r="E738" s="2">
        <v>10.27</v>
      </c>
      <c r="F738" s="3">
        <v>29.54</v>
      </c>
      <c r="G738" s="4">
        <v>195.05</v>
      </c>
      <c r="H738">
        <v>1.2</v>
      </c>
      <c r="I738" s="4">
        <v>234.06</v>
      </c>
      <c r="J738">
        <v>3.2</v>
      </c>
      <c r="K738" t="s">
        <v>33</v>
      </c>
      <c r="L738" t="s">
        <v>26</v>
      </c>
      <c r="O738"/>
    </row>
    <row r="739" spans="1:15" x14ac:dyDescent="0.3">
      <c r="A739" t="s">
        <v>763</v>
      </c>
      <c r="B739" s="1">
        <v>45945</v>
      </c>
      <c r="C739" t="s">
        <v>25</v>
      </c>
      <c r="D739" t="s">
        <v>25</v>
      </c>
      <c r="E739" s="2">
        <v>22.75</v>
      </c>
      <c r="F739" s="3">
        <v>69.69</v>
      </c>
      <c r="G739" s="4">
        <v>349.85</v>
      </c>
      <c r="H739">
        <v>1</v>
      </c>
      <c r="I739" s="4">
        <v>349.85</v>
      </c>
      <c r="J739">
        <v>3.1</v>
      </c>
      <c r="K739" t="s">
        <v>33</v>
      </c>
      <c r="L739" t="s">
        <v>26</v>
      </c>
      <c r="O739"/>
    </row>
    <row r="740" spans="1:15" x14ac:dyDescent="0.3">
      <c r="A740" t="s">
        <v>764</v>
      </c>
      <c r="B740" s="1">
        <v>45896</v>
      </c>
      <c r="C740" t="s">
        <v>21</v>
      </c>
      <c r="D740" t="s">
        <v>22</v>
      </c>
      <c r="E740" s="2">
        <v>9.35</v>
      </c>
      <c r="F740" s="3">
        <v>29.1</v>
      </c>
      <c r="G740" s="4">
        <v>96.23</v>
      </c>
      <c r="H740">
        <v>2</v>
      </c>
      <c r="I740" s="4">
        <v>192.46</v>
      </c>
      <c r="J740">
        <v>3.1</v>
      </c>
      <c r="K740" t="s">
        <v>33</v>
      </c>
      <c r="L740" t="s">
        <v>16</v>
      </c>
      <c r="O740"/>
    </row>
    <row r="741" spans="1:15" x14ac:dyDescent="0.3">
      <c r="A741" t="s">
        <v>765</v>
      </c>
      <c r="B741" s="1">
        <v>46003</v>
      </c>
      <c r="C741" t="s">
        <v>21</v>
      </c>
      <c r="D741" t="s">
        <v>25</v>
      </c>
      <c r="E741" s="2">
        <v>5.88</v>
      </c>
      <c r="F741" s="3">
        <v>22.1</v>
      </c>
      <c r="G741" s="4">
        <v>91.55</v>
      </c>
      <c r="H741">
        <v>1.2</v>
      </c>
      <c r="I741" s="4">
        <v>109.86</v>
      </c>
      <c r="J741">
        <v>3.6</v>
      </c>
      <c r="K741" t="s">
        <v>18</v>
      </c>
      <c r="L741" t="s">
        <v>28</v>
      </c>
      <c r="O741"/>
    </row>
    <row r="742" spans="1:15" x14ac:dyDescent="0.3">
      <c r="A742" t="s">
        <v>766</v>
      </c>
      <c r="B742" s="1">
        <v>45928</v>
      </c>
      <c r="C742" t="s">
        <v>21</v>
      </c>
      <c r="D742" t="s">
        <v>14</v>
      </c>
      <c r="E742" s="2">
        <v>22.21</v>
      </c>
      <c r="F742" s="3">
        <v>86.98</v>
      </c>
      <c r="G742" s="4">
        <v>271.06</v>
      </c>
      <c r="H742">
        <v>2</v>
      </c>
      <c r="I742" s="4">
        <v>542.12</v>
      </c>
      <c r="J742">
        <v>3.1</v>
      </c>
      <c r="K742" t="s">
        <v>15</v>
      </c>
      <c r="L742" t="s">
        <v>16</v>
      </c>
      <c r="O742"/>
    </row>
    <row r="743" spans="1:15" x14ac:dyDescent="0.3">
      <c r="A743" t="s">
        <v>767</v>
      </c>
      <c r="B743" s="1">
        <v>46021</v>
      </c>
      <c r="C743" t="s">
        <v>14</v>
      </c>
      <c r="D743" t="s">
        <v>22</v>
      </c>
      <c r="E743" s="2">
        <v>27.58</v>
      </c>
      <c r="F743" s="3">
        <v>90.21</v>
      </c>
      <c r="G743" s="4">
        <v>449.5</v>
      </c>
      <c r="H743">
        <v>1.5</v>
      </c>
      <c r="I743" s="4">
        <v>674.25</v>
      </c>
      <c r="J743">
        <v>3.2</v>
      </c>
      <c r="K743" t="s">
        <v>15</v>
      </c>
      <c r="L743" t="s">
        <v>28</v>
      </c>
      <c r="O743"/>
    </row>
    <row r="744" spans="1:15" x14ac:dyDescent="0.3">
      <c r="A744" t="s">
        <v>768</v>
      </c>
      <c r="B744" s="1">
        <v>45887</v>
      </c>
      <c r="C744" t="s">
        <v>13</v>
      </c>
      <c r="D744" t="s">
        <v>22</v>
      </c>
      <c r="E744" s="2">
        <v>16.41</v>
      </c>
      <c r="F744" s="3">
        <v>55.05</v>
      </c>
      <c r="G744" s="4">
        <v>234.41</v>
      </c>
      <c r="H744">
        <v>2</v>
      </c>
      <c r="I744" s="4">
        <v>468.82</v>
      </c>
      <c r="J744">
        <v>3.9</v>
      </c>
      <c r="K744" t="s">
        <v>15</v>
      </c>
      <c r="L744" t="s">
        <v>16</v>
      </c>
      <c r="O744"/>
    </row>
    <row r="745" spans="1:15" x14ac:dyDescent="0.3">
      <c r="A745" t="s">
        <v>769</v>
      </c>
      <c r="B745" s="1">
        <v>45830</v>
      </c>
      <c r="C745" t="s">
        <v>21</v>
      </c>
      <c r="D745" t="s">
        <v>14</v>
      </c>
      <c r="E745" s="2">
        <v>20.079999999999998</v>
      </c>
      <c r="F745" s="3">
        <v>40.479999999999997</v>
      </c>
      <c r="G745" s="4">
        <v>390.19</v>
      </c>
      <c r="H745">
        <v>1</v>
      </c>
      <c r="I745" s="4">
        <v>390.19</v>
      </c>
      <c r="J745">
        <v>3.9</v>
      </c>
      <c r="K745" t="s">
        <v>30</v>
      </c>
      <c r="L745" t="s">
        <v>16</v>
      </c>
      <c r="O745"/>
    </row>
    <row r="746" spans="1:15" x14ac:dyDescent="0.3">
      <c r="A746" t="s">
        <v>770</v>
      </c>
      <c r="B746" s="1">
        <v>45661</v>
      </c>
      <c r="C746" t="s">
        <v>13</v>
      </c>
      <c r="D746" t="s">
        <v>14</v>
      </c>
      <c r="E746" s="2">
        <v>23.28</v>
      </c>
      <c r="F746" s="3">
        <v>69.86</v>
      </c>
      <c r="G746" s="4">
        <v>333.78</v>
      </c>
      <c r="H746">
        <v>1.5</v>
      </c>
      <c r="I746" s="4">
        <v>500.67</v>
      </c>
      <c r="J746">
        <v>4</v>
      </c>
      <c r="K746" t="s">
        <v>33</v>
      </c>
      <c r="L746" t="s">
        <v>16</v>
      </c>
      <c r="O746"/>
    </row>
    <row r="747" spans="1:15" x14ac:dyDescent="0.3">
      <c r="A747" t="s">
        <v>771</v>
      </c>
      <c r="B747" s="1">
        <v>45753</v>
      </c>
      <c r="C747" t="s">
        <v>13</v>
      </c>
      <c r="D747" t="s">
        <v>22</v>
      </c>
      <c r="E747" s="2">
        <v>8.9600000000000009</v>
      </c>
      <c r="F747" s="3">
        <v>34.08</v>
      </c>
      <c r="G747" s="4">
        <v>108.88</v>
      </c>
      <c r="H747">
        <v>2</v>
      </c>
      <c r="I747" s="4">
        <v>217.76</v>
      </c>
      <c r="J747">
        <v>3.1</v>
      </c>
      <c r="K747" t="s">
        <v>36</v>
      </c>
      <c r="L747" t="s">
        <v>28</v>
      </c>
      <c r="O747"/>
    </row>
    <row r="748" spans="1:15" x14ac:dyDescent="0.3">
      <c r="A748" t="s">
        <v>772</v>
      </c>
      <c r="B748" s="1">
        <v>45980</v>
      </c>
      <c r="C748" t="s">
        <v>13</v>
      </c>
      <c r="D748" t="s">
        <v>22</v>
      </c>
      <c r="E748" s="2">
        <v>25.03</v>
      </c>
      <c r="F748" s="3">
        <v>85.75</v>
      </c>
      <c r="G748" s="4">
        <v>424.68</v>
      </c>
      <c r="H748">
        <v>1.5</v>
      </c>
      <c r="I748" s="4">
        <v>637.02</v>
      </c>
      <c r="J748">
        <v>3.8</v>
      </c>
      <c r="K748" t="s">
        <v>33</v>
      </c>
      <c r="L748" t="s">
        <v>28</v>
      </c>
      <c r="O748"/>
    </row>
    <row r="749" spans="1:15" x14ac:dyDescent="0.3">
      <c r="A749" t="s">
        <v>773</v>
      </c>
      <c r="B749" s="1">
        <v>45954</v>
      </c>
      <c r="C749" t="s">
        <v>22</v>
      </c>
      <c r="D749" t="s">
        <v>25</v>
      </c>
      <c r="E749" s="2">
        <v>7.12</v>
      </c>
      <c r="F749" s="3">
        <v>26.45</v>
      </c>
      <c r="G749" s="4">
        <v>129.61000000000001</v>
      </c>
      <c r="H749">
        <v>1.5</v>
      </c>
      <c r="I749" s="4">
        <v>194.42</v>
      </c>
      <c r="J749">
        <v>4.9000000000000004</v>
      </c>
      <c r="K749" t="s">
        <v>30</v>
      </c>
      <c r="L749" t="s">
        <v>16</v>
      </c>
      <c r="O749"/>
    </row>
    <row r="750" spans="1:15" x14ac:dyDescent="0.3">
      <c r="A750" t="s">
        <v>774</v>
      </c>
      <c r="B750" s="1">
        <v>45807</v>
      </c>
      <c r="C750" t="s">
        <v>22</v>
      </c>
      <c r="D750" t="s">
        <v>13</v>
      </c>
      <c r="E750" s="2">
        <v>23.72</v>
      </c>
      <c r="F750" s="3">
        <v>60.06</v>
      </c>
      <c r="G750" s="4">
        <v>472.11</v>
      </c>
      <c r="H750">
        <v>1.5</v>
      </c>
      <c r="I750" s="4">
        <v>708.16</v>
      </c>
      <c r="J750">
        <v>5</v>
      </c>
      <c r="K750" t="s">
        <v>18</v>
      </c>
      <c r="L750" t="s">
        <v>19</v>
      </c>
      <c r="O750"/>
    </row>
    <row r="751" spans="1:15" x14ac:dyDescent="0.3">
      <c r="A751" t="s">
        <v>775</v>
      </c>
      <c r="B751" s="1">
        <v>45733</v>
      </c>
      <c r="C751" t="s">
        <v>22</v>
      </c>
      <c r="D751" t="s">
        <v>13</v>
      </c>
      <c r="E751" s="2">
        <v>20.13</v>
      </c>
      <c r="F751" s="3">
        <v>67.959999999999994</v>
      </c>
      <c r="G751" s="4">
        <v>225.53</v>
      </c>
      <c r="H751">
        <v>1</v>
      </c>
      <c r="I751" s="4">
        <v>225.53</v>
      </c>
      <c r="J751">
        <v>3.4</v>
      </c>
      <c r="K751" t="s">
        <v>33</v>
      </c>
      <c r="L751" t="s">
        <v>26</v>
      </c>
      <c r="O751"/>
    </row>
    <row r="752" spans="1:15" x14ac:dyDescent="0.3">
      <c r="A752" t="s">
        <v>776</v>
      </c>
      <c r="B752" s="1">
        <v>45859</v>
      </c>
      <c r="C752" t="s">
        <v>22</v>
      </c>
      <c r="D752" t="s">
        <v>21</v>
      </c>
      <c r="E752" s="2">
        <v>19.059999999999999</v>
      </c>
      <c r="F752" s="3">
        <v>46.61</v>
      </c>
      <c r="G752" s="4">
        <v>249.16</v>
      </c>
      <c r="H752">
        <v>2</v>
      </c>
      <c r="I752" s="4">
        <v>498.32</v>
      </c>
      <c r="J752">
        <v>4.8</v>
      </c>
      <c r="K752" t="s">
        <v>30</v>
      </c>
      <c r="L752" t="s">
        <v>26</v>
      </c>
      <c r="O752"/>
    </row>
    <row r="753" spans="1:15" x14ac:dyDescent="0.3">
      <c r="A753" t="s">
        <v>777</v>
      </c>
      <c r="B753" s="1">
        <v>45938</v>
      </c>
      <c r="C753" t="s">
        <v>13</v>
      </c>
      <c r="D753" t="s">
        <v>13</v>
      </c>
      <c r="E753" s="2">
        <v>5.65</v>
      </c>
      <c r="F753" s="3">
        <v>13.23</v>
      </c>
      <c r="G753" s="4">
        <v>80.13</v>
      </c>
      <c r="H753">
        <v>1</v>
      </c>
      <c r="I753" s="4">
        <v>80.13</v>
      </c>
      <c r="J753">
        <v>4.5999999999999996</v>
      </c>
      <c r="K753" t="s">
        <v>33</v>
      </c>
      <c r="L753" t="s">
        <v>19</v>
      </c>
      <c r="O753"/>
    </row>
    <row r="754" spans="1:15" x14ac:dyDescent="0.3">
      <c r="A754" t="s">
        <v>778</v>
      </c>
      <c r="B754" s="1">
        <v>45971</v>
      </c>
      <c r="C754" t="s">
        <v>14</v>
      </c>
      <c r="D754" t="s">
        <v>21</v>
      </c>
      <c r="E754" s="2">
        <v>10.88</v>
      </c>
      <c r="F754" s="3">
        <v>39.28</v>
      </c>
      <c r="G754" s="4">
        <v>114.5</v>
      </c>
      <c r="H754">
        <v>1.5</v>
      </c>
      <c r="I754" s="4">
        <v>171.75</v>
      </c>
      <c r="J754">
        <v>4.2</v>
      </c>
      <c r="K754" t="s">
        <v>15</v>
      </c>
      <c r="L754" t="s">
        <v>28</v>
      </c>
      <c r="O754"/>
    </row>
    <row r="755" spans="1:15" x14ac:dyDescent="0.3">
      <c r="A755" t="s">
        <v>779</v>
      </c>
      <c r="B755" s="1">
        <v>45883</v>
      </c>
      <c r="C755" t="s">
        <v>21</v>
      </c>
      <c r="D755" t="s">
        <v>14</v>
      </c>
      <c r="E755" s="2">
        <v>3.23</v>
      </c>
      <c r="F755" s="3">
        <v>7.98</v>
      </c>
      <c r="G755" s="4">
        <v>59.11</v>
      </c>
      <c r="H755">
        <v>1.2</v>
      </c>
      <c r="I755" s="4">
        <v>70.930000000000007</v>
      </c>
      <c r="J755">
        <v>4.9000000000000004</v>
      </c>
      <c r="K755" t="s">
        <v>33</v>
      </c>
      <c r="L755" t="s">
        <v>26</v>
      </c>
      <c r="O755"/>
    </row>
    <row r="756" spans="1:15" x14ac:dyDescent="0.3">
      <c r="A756" t="s">
        <v>780</v>
      </c>
      <c r="B756" s="1">
        <v>45866</v>
      </c>
      <c r="C756" t="s">
        <v>14</v>
      </c>
      <c r="D756" t="s">
        <v>14</v>
      </c>
      <c r="E756" s="2">
        <v>7.71</v>
      </c>
      <c r="F756" s="3">
        <v>28.81</v>
      </c>
      <c r="G756" s="4">
        <v>148.53</v>
      </c>
      <c r="H756">
        <v>1.2</v>
      </c>
      <c r="I756" s="4">
        <v>178.24</v>
      </c>
      <c r="J756">
        <v>4.9000000000000004</v>
      </c>
      <c r="K756" t="s">
        <v>30</v>
      </c>
      <c r="L756" t="s">
        <v>28</v>
      </c>
      <c r="O756"/>
    </row>
    <row r="757" spans="1:15" x14ac:dyDescent="0.3">
      <c r="A757" t="s">
        <v>781</v>
      </c>
      <c r="B757" s="1">
        <v>45988</v>
      </c>
      <c r="C757" t="s">
        <v>21</v>
      </c>
      <c r="D757" t="s">
        <v>22</v>
      </c>
      <c r="E757" s="2">
        <v>13.18</v>
      </c>
      <c r="F757" s="3">
        <v>26.62</v>
      </c>
      <c r="G757" s="4">
        <v>244.88</v>
      </c>
      <c r="H757">
        <v>1.5</v>
      </c>
      <c r="I757" s="4">
        <v>367.32</v>
      </c>
      <c r="J757">
        <v>4.2</v>
      </c>
      <c r="K757" t="s">
        <v>30</v>
      </c>
      <c r="L757" t="s">
        <v>26</v>
      </c>
      <c r="O757"/>
    </row>
    <row r="758" spans="1:15" x14ac:dyDescent="0.3">
      <c r="A758" t="s">
        <v>782</v>
      </c>
      <c r="B758" s="1">
        <v>45919</v>
      </c>
      <c r="C758" t="s">
        <v>14</v>
      </c>
      <c r="D758" t="s">
        <v>25</v>
      </c>
      <c r="E758" s="2">
        <v>23.67</v>
      </c>
      <c r="F758" s="3">
        <v>62.19</v>
      </c>
      <c r="G758" s="4">
        <v>295.37</v>
      </c>
      <c r="H758">
        <v>1.2</v>
      </c>
      <c r="I758" s="4">
        <v>354.44</v>
      </c>
      <c r="J758">
        <v>4.2</v>
      </c>
      <c r="K758" t="s">
        <v>18</v>
      </c>
      <c r="L758" t="s">
        <v>16</v>
      </c>
      <c r="O758"/>
    </row>
    <row r="759" spans="1:15" x14ac:dyDescent="0.3">
      <c r="A759" t="s">
        <v>783</v>
      </c>
      <c r="B759" s="1">
        <v>45990</v>
      </c>
      <c r="C759" t="s">
        <v>14</v>
      </c>
      <c r="D759" t="s">
        <v>22</v>
      </c>
      <c r="E759" s="2">
        <v>17.420000000000002</v>
      </c>
      <c r="F759" s="3">
        <v>35.06</v>
      </c>
      <c r="G759" s="4">
        <v>184.98</v>
      </c>
      <c r="H759">
        <v>1.5</v>
      </c>
      <c r="I759" s="4">
        <v>277.47000000000003</v>
      </c>
      <c r="J759">
        <v>4.4000000000000004</v>
      </c>
      <c r="K759" t="s">
        <v>15</v>
      </c>
      <c r="L759" t="s">
        <v>26</v>
      </c>
      <c r="O759"/>
    </row>
    <row r="760" spans="1:15" x14ac:dyDescent="0.3">
      <c r="A760" t="s">
        <v>784</v>
      </c>
      <c r="B760" s="1">
        <v>45729</v>
      </c>
      <c r="C760" t="s">
        <v>22</v>
      </c>
      <c r="D760" t="s">
        <v>21</v>
      </c>
      <c r="E760" s="2">
        <v>27.22</v>
      </c>
      <c r="F760" s="3">
        <v>74.84</v>
      </c>
      <c r="G760" s="4">
        <v>421.87</v>
      </c>
      <c r="H760">
        <v>2</v>
      </c>
      <c r="I760" s="4">
        <v>843.74</v>
      </c>
      <c r="J760">
        <v>3.2</v>
      </c>
      <c r="K760" t="s">
        <v>36</v>
      </c>
      <c r="L760" t="s">
        <v>28</v>
      </c>
      <c r="O760"/>
    </row>
    <row r="761" spans="1:15" x14ac:dyDescent="0.3">
      <c r="A761" t="s">
        <v>785</v>
      </c>
      <c r="B761" s="1">
        <v>45798</v>
      </c>
      <c r="C761" t="s">
        <v>13</v>
      </c>
      <c r="D761" t="s">
        <v>13</v>
      </c>
      <c r="E761" s="2">
        <v>25.14</v>
      </c>
      <c r="F761" s="3">
        <v>90.79</v>
      </c>
      <c r="G761" s="4">
        <v>307.79000000000002</v>
      </c>
      <c r="H761">
        <v>2</v>
      </c>
      <c r="I761" s="4">
        <v>615.58000000000004</v>
      </c>
      <c r="J761">
        <v>3.5</v>
      </c>
      <c r="K761" t="s">
        <v>18</v>
      </c>
      <c r="L761" t="s">
        <v>16</v>
      </c>
      <c r="O761"/>
    </row>
    <row r="762" spans="1:15" x14ac:dyDescent="0.3">
      <c r="A762" t="s">
        <v>786</v>
      </c>
      <c r="B762" s="1">
        <v>45665</v>
      </c>
      <c r="C762" t="s">
        <v>13</v>
      </c>
      <c r="D762" t="s">
        <v>14</v>
      </c>
      <c r="E762" s="2">
        <v>27.98</v>
      </c>
      <c r="F762" s="3">
        <v>61.3</v>
      </c>
      <c r="G762" s="4">
        <v>405.73</v>
      </c>
      <c r="H762">
        <v>1</v>
      </c>
      <c r="I762" s="4">
        <v>405.73</v>
      </c>
      <c r="J762">
        <v>4.3</v>
      </c>
      <c r="K762" t="s">
        <v>36</v>
      </c>
      <c r="L762" t="s">
        <v>26</v>
      </c>
      <c r="O762"/>
    </row>
    <row r="763" spans="1:15" x14ac:dyDescent="0.3">
      <c r="A763" t="s">
        <v>787</v>
      </c>
      <c r="B763" s="1">
        <v>45758</v>
      </c>
      <c r="C763" t="s">
        <v>13</v>
      </c>
      <c r="D763" t="s">
        <v>21</v>
      </c>
      <c r="E763" s="2">
        <v>3.42</v>
      </c>
      <c r="F763" s="3">
        <v>8.2799999999999994</v>
      </c>
      <c r="G763" s="4">
        <v>59.93</v>
      </c>
      <c r="H763">
        <v>1</v>
      </c>
      <c r="I763" s="4">
        <v>59.93</v>
      </c>
      <c r="J763">
        <v>4.7</v>
      </c>
      <c r="K763" t="s">
        <v>30</v>
      </c>
      <c r="L763" t="s">
        <v>19</v>
      </c>
      <c r="O763"/>
    </row>
    <row r="764" spans="1:15" x14ac:dyDescent="0.3">
      <c r="A764" t="s">
        <v>788</v>
      </c>
      <c r="B764" s="1">
        <v>45950</v>
      </c>
      <c r="C764" t="s">
        <v>25</v>
      </c>
      <c r="D764" t="s">
        <v>22</v>
      </c>
      <c r="E764" s="2">
        <v>22.1</v>
      </c>
      <c r="F764" s="3">
        <v>65.61</v>
      </c>
      <c r="G764" s="4">
        <v>374.33</v>
      </c>
      <c r="H764">
        <v>2</v>
      </c>
      <c r="I764" s="4">
        <v>748.66</v>
      </c>
      <c r="J764">
        <v>3.3</v>
      </c>
      <c r="K764" t="s">
        <v>18</v>
      </c>
      <c r="L764" t="s">
        <v>19</v>
      </c>
      <c r="O764"/>
    </row>
    <row r="765" spans="1:15" x14ac:dyDescent="0.3">
      <c r="A765" t="s">
        <v>789</v>
      </c>
      <c r="B765" s="1">
        <v>45763</v>
      </c>
      <c r="C765" t="s">
        <v>22</v>
      </c>
      <c r="D765" t="s">
        <v>14</v>
      </c>
      <c r="E765" s="2">
        <v>7.05</v>
      </c>
      <c r="F765" s="3">
        <v>18.28</v>
      </c>
      <c r="G765" s="4">
        <v>134.71</v>
      </c>
      <c r="H765">
        <v>1</v>
      </c>
      <c r="I765" s="4">
        <v>134.71</v>
      </c>
      <c r="J765">
        <v>3.3</v>
      </c>
      <c r="K765" t="s">
        <v>36</v>
      </c>
      <c r="L765" t="s">
        <v>19</v>
      </c>
      <c r="O765"/>
    </row>
    <row r="766" spans="1:15" x14ac:dyDescent="0.3">
      <c r="A766" t="s">
        <v>790</v>
      </c>
      <c r="B766" s="1">
        <v>45983</v>
      </c>
      <c r="C766" t="s">
        <v>14</v>
      </c>
      <c r="D766" t="s">
        <v>21</v>
      </c>
      <c r="E766" s="2">
        <v>11.05</v>
      </c>
      <c r="F766" s="3">
        <v>31.11</v>
      </c>
      <c r="G766" s="4">
        <v>124.37</v>
      </c>
      <c r="H766">
        <v>1.2</v>
      </c>
      <c r="I766" s="4">
        <v>149.24</v>
      </c>
      <c r="J766">
        <v>3.1</v>
      </c>
      <c r="K766" t="s">
        <v>18</v>
      </c>
      <c r="L766" t="s">
        <v>26</v>
      </c>
      <c r="O766"/>
    </row>
    <row r="767" spans="1:15" x14ac:dyDescent="0.3">
      <c r="A767" t="s">
        <v>791</v>
      </c>
      <c r="B767" s="1">
        <v>46013</v>
      </c>
      <c r="C767" t="s">
        <v>13</v>
      </c>
      <c r="D767" t="s">
        <v>14</v>
      </c>
      <c r="E767" s="2">
        <v>17.96</v>
      </c>
      <c r="F767" s="3">
        <v>48.04</v>
      </c>
      <c r="G767" s="4">
        <v>323.79000000000002</v>
      </c>
      <c r="H767">
        <v>1.5</v>
      </c>
      <c r="I767" s="4">
        <v>485.69</v>
      </c>
      <c r="J767">
        <v>4.3</v>
      </c>
      <c r="K767" t="s">
        <v>30</v>
      </c>
      <c r="L767" t="s">
        <v>26</v>
      </c>
      <c r="O767"/>
    </row>
    <row r="768" spans="1:15" x14ac:dyDescent="0.3">
      <c r="A768" t="s">
        <v>792</v>
      </c>
      <c r="B768" s="1">
        <v>45878</v>
      </c>
      <c r="C768" t="s">
        <v>21</v>
      </c>
      <c r="D768" t="s">
        <v>13</v>
      </c>
      <c r="E768" s="2">
        <v>11</v>
      </c>
      <c r="F768" s="3">
        <v>29.42</v>
      </c>
      <c r="G768" s="4">
        <v>144.31</v>
      </c>
      <c r="H768">
        <v>1</v>
      </c>
      <c r="I768" s="4">
        <v>144.31</v>
      </c>
      <c r="J768">
        <v>3.5</v>
      </c>
      <c r="K768" t="s">
        <v>33</v>
      </c>
      <c r="L768" t="s">
        <v>26</v>
      </c>
      <c r="O768"/>
    </row>
    <row r="769" spans="1:15" x14ac:dyDescent="0.3">
      <c r="A769" t="s">
        <v>793</v>
      </c>
      <c r="B769" s="1">
        <v>45695</v>
      </c>
      <c r="C769" t="s">
        <v>13</v>
      </c>
      <c r="D769" t="s">
        <v>22</v>
      </c>
      <c r="E769" s="2">
        <v>7.98</v>
      </c>
      <c r="F769" s="3">
        <v>26.69</v>
      </c>
      <c r="G769" s="4">
        <v>145.72</v>
      </c>
      <c r="H769">
        <v>1</v>
      </c>
      <c r="I769" s="4">
        <v>145.72</v>
      </c>
      <c r="J769">
        <v>4.0999999999999996</v>
      </c>
      <c r="K769" t="s">
        <v>30</v>
      </c>
      <c r="L769" t="s">
        <v>26</v>
      </c>
      <c r="O769"/>
    </row>
    <row r="770" spans="1:15" x14ac:dyDescent="0.3">
      <c r="A770" t="s">
        <v>794</v>
      </c>
      <c r="B770" s="1">
        <v>45707</v>
      </c>
      <c r="C770" t="s">
        <v>21</v>
      </c>
      <c r="D770" t="s">
        <v>13</v>
      </c>
      <c r="E770" s="2">
        <v>12.51</v>
      </c>
      <c r="F770" s="3">
        <v>28.93</v>
      </c>
      <c r="G770" s="4">
        <v>217.42</v>
      </c>
      <c r="H770">
        <v>1</v>
      </c>
      <c r="I770" s="4">
        <v>217.42</v>
      </c>
      <c r="J770">
        <v>3.2</v>
      </c>
      <c r="K770" t="s">
        <v>33</v>
      </c>
      <c r="L770" t="s">
        <v>16</v>
      </c>
      <c r="O770"/>
    </row>
    <row r="771" spans="1:15" x14ac:dyDescent="0.3">
      <c r="A771" t="s">
        <v>795</v>
      </c>
      <c r="B771" s="1">
        <v>45981</v>
      </c>
      <c r="C771" t="s">
        <v>25</v>
      </c>
      <c r="D771" t="s">
        <v>22</v>
      </c>
      <c r="E771" s="2">
        <v>8.85</v>
      </c>
      <c r="F771" s="3">
        <v>19.14</v>
      </c>
      <c r="G771" s="4">
        <v>176.34</v>
      </c>
      <c r="H771">
        <v>1.2</v>
      </c>
      <c r="I771" s="4">
        <v>211.61</v>
      </c>
      <c r="J771">
        <v>4</v>
      </c>
      <c r="K771" t="s">
        <v>36</v>
      </c>
      <c r="L771" t="s">
        <v>28</v>
      </c>
      <c r="O771"/>
    </row>
    <row r="772" spans="1:15" x14ac:dyDescent="0.3">
      <c r="A772" t="s">
        <v>796</v>
      </c>
      <c r="B772" s="1">
        <v>45725</v>
      </c>
      <c r="C772" t="s">
        <v>25</v>
      </c>
      <c r="D772" t="s">
        <v>14</v>
      </c>
      <c r="E772" s="2">
        <v>29.34</v>
      </c>
      <c r="F772" s="3">
        <v>105.26</v>
      </c>
      <c r="G772" s="4">
        <v>486.87</v>
      </c>
      <c r="H772">
        <v>1</v>
      </c>
      <c r="I772" s="4">
        <v>486.87</v>
      </c>
      <c r="J772">
        <v>4</v>
      </c>
      <c r="K772" t="s">
        <v>30</v>
      </c>
      <c r="L772" t="s">
        <v>28</v>
      </c>
      <c r="O772"/>
    </row>
    <row r="773" spans="1:15" x14ac:dyDescent="0.3">
      <c r="A773" t="s">
        <v>797</v>
      </c>
      <c r="B773" s="1">
        <v>45996</v>
      </c>
      <c r="C773" t="s">
        <v>25</v>
      </c>
      <c r="D773" t="s">
        <v>25</v>
      </c>
      <c r="E773" s="2">
        <v>29.57</v>
      </c>
      <c r="F773" s="3">
        <v>104.56</v>
      </c>
      <c r="G773" s="4">
        <v>424.14</v>
      </c>
      <c r="H773">
        <v>1.2</v>
      </c>
      <c r="I773" s="4">
        <v>508.97</v>
      </c>
      <c r="J773">
        <v>3.9</v>
      </c>
      <c r="K773" t="s">
        <v>15</v>
      </c>
      <c r="L773" t="s">
        <v>19</v>
      </c>
      <c r="O773"/>
    </row>
    <row r="774" spans="1:15" x14ac:dyDescent="0.3">
      <c r="A774" t="s">
        <v>798</v>
      </c>
      <c r="B774" s="1">
        <v>45973</v>
      </c>
      <c r="C774" t="s">
        <v>22</v>
      </c>
      <c r="D774" t="s">
        <v>21</v>
      </c>
      <c r="E774" s="2">
        <v>20.3</v>
      </c>
      <c r="F774" s="3">
        <v>60.93</v>
      </c>
      <c r="G774" s="4">
        <v>333.91</v>
      </c>
      <c r="H774">
        <v>1.5</v>
      </c>
      <c r="I774" s="4">
        <v>500.86</v>
      </c>
      <c r="J774">
        <v>4.9000000000000004</v>
      </c>
      <c r="K774" t="s">
        <v>30</v>
      </c>
      <c r="L774" t="s">
        <v>26</v>
      </c>
      <c r="O774"/>
    </row>
    <row r="775" spans="1:15" x14ac:dyDescent="0.3">
      <c r="A775" t="s">
        <v>799</v>
      </c>
      <c r="B775" s="1">
        <v>45764</v>
      </c>
      <c r="C775" t="s">
        <v>13</v>
      </c>
      <c r="D775" t="s">
        <v>21</v>
      </c>
      <c r="E775" s="2">
        <v>9.09</v>
      </c>
      <c r="F775" s="3">
        <v>20.53</v>
      </c>
      <c r="G775" s="4">
        <v>99.95</v>
      </c>
      <c r="H775">
        <v>1.5</v>
      </c>
      <c r="I775" s="4">
        <v>149.93</v>
      </c>
      <c r="J775">
        <v>3</v>
      </c>
      <c r="K775" t="s">
        <v>36</v>
      </c>
      <c r="L775" t="s">
        <v>16</v>
      </c>
      <c r="O775"/>
    </row>
    <row r="776" spans="1:15" x14ac:dyDescent="0.3">
      <c r="A776" t="s">
        <v>800</v>
      </c>
      <c r="B776" s="1">
        <v>45963</v>
      </c>
      <c r="C776" t="s">
        <v>13</v>
      </c>
      <c r="D776" t="s">
        <v>22</v>
      </c>
      <c r="E776" s="2">
        <v>8.35</v>
      </c>
      <c r="F776" s="3">
        <v>24.56</v>
      </c>
      <c r="G776" s="4">
        <v>124.6</v>
      </c>
      <c r="H776">
        <v>2</v>
      </c>
      <c r="I776" s="4">
        <v>249.2</v>
      </c>
      <c r="J776">
        <v>3.6</v>
      </c>
      <c r="K776" t="s">
        <v>30</v>
      </c>
      <c r="L776" t="s">
        <v>26</v>
      </c>
      <c r="O776"/>
    </row>
    <row r="777" spans="1:15" x14ac:dyDescent="0.3">
      <c r="A777" t="s">
        <v>801</v>
      </c>
      <c r="B777" s="1">
        <v>45838</v>
      </c>
      <c r="C777" t="s">
        <v>13</v>
      </c>
      <c r="D777" t="s">
        <v>22</v>
      </c>
      <c r="E777" s="2">
        <v>23.2</v>
      </c>
      <c r="F777" s="3">
        <v>58.14</v>
      </c>
      <c r="G777" s="4">
        <v>432.81</v>
      </c>
      <c r="H777">
        <v>2</v>
      </c>
      <c r="I777" s="4">
        <v>865.62</v>
      </c>
      <c r="J777">
        <v>3.1</v>
      </c>
      <c r="K777" t="s">
        <v>36</v>
      </c>
      <c r="L777" t="s">
        <v>16</v>
      </c>
      <c r="O777"/>
    </row>
    <row r="778" spans="1:15" x14ac:dyDescent="0.3">
      <c r="A778" t="s">
        <v>802</v>
      </c>
      <c r="B778" s="1">
        <v>45953</v>
      </c>
      <c r="C778" t="s">
        <v>25</v>
      </c>
      <c r="D778" t="s">
        <v>25</v>
      </c>
      <c r="E778" s="2">
        <v>3.7</v>
      </c>
      <c r="F778" s="3">
        <v>14.53</v>
      </c>
      <c r="G778" s="4">
        <v>42</v>
      </c>
      <c r="H778">
        <v>1.5</v>
      </c>
      <c r="I778" s="4">
        <v>63</v>
      </c>
      <c r="J778">
        <v>4.4000000000000004</v>
      </c>
      <c r="K778" t="s">
        <v>33</v>
      </c>
      <c r="L778" t="s">
        <v>28</v>
      </c>
      <c r="O778"/>
    </row>
    <row r="779" spans="1:15" x14ac:dyDescent="0.3">
      <c r="A779" t="s">
        <v>803</v>
      </c>
      <c r="B779" s="1">
        <v>45839</v>
      </c>
      <c r="C779" t="s">
        <v>14</v>
      </c>
      <c r="D779" t="s">
        <v>14</v>
      </c>
      <c r="E779" s="2">
        <v>18.489999999999998</v>
      </c>
      <c r="F779" s="3">
        <v>62.22</v>
      </c>
      <c r="G779" s="4">
        <v>291.27999999999997</v>
      </c>
      <c r="H779">
        <v>1.2</v>
      </c>
      <c r="I779" s="4">
        <v>349.54</v>
      </c>
      <c r="J779">
        <v>3.8</v>
      </c>
      <c r="K779" t="s">
        <v>15</v>
      </c>
      <c r="L779" t="s">
        <v>19</v>
      </c>
      <c r="O779"/>
    </row>
    <row r="780" spans="1:15" x14ac:dyDescent="0.3">
      <c r="A780" t="s">
        <v>804</v>
      </c>
      <c r="B780" s="1">
        <v>45941</v>
      </c>
      <c r="C780" t="s">
        <v>22</v>
      </c>
      <c r="D780" t="s">
        <v>22</v>
      </c>
      <c r="E780" s="2">
        <v>23.29</v>
      </c>
      <c r="F780" s="3">
        <v>57.12</v>
      </c>
      <c r="G780" s="4">
        <v>394.15</v>
      </c>
      <c r="H780">
        <v>2</v>
      </c>
      <c r="I780" s="4">
        <v>788.3</v>
      </c>
      <c r="J780">
        <v>3.6</v>
      </c>
      <c r="K780" t="s">
        <v>15</v>
      </c>
      <c r="L780" t="s">
        <v>28</v>
      </c>
      <c r="O780"/>
    </row>
    <row r="781" spans="1:15" x14ac:dyDescent="0.3">
      <c r="A781" t="s">
        <v>805</v>
      </c>
      <c r="B781" s="1">
        <v>46018</v>
      </c>
      <c r="C781" t="s">
        <v>22</v>
      </c>
      <c r="D781" t="s">
        <v>13</v>
      </c>
      <c r="E781" s="2">
        <v>19.91</v>
      </c>
      <c r="F781" s="3">
        <v>49.82</v>
      </c>
      <c r="G781" s="4">
        <v>328.6</v>
      </c>
      <c r="H781">
        <v>1</v>
      </c>
      <c r="I781" s="4">
        <v>328.6</v>
      </c>
      <c r="J781">
        <v>4.2</v>
      </c>
      <c r="K781" t="s">
        <v>15</v>
      </c>
      <c r="L781" t="s">
        <v>28</v>
      </c>
      <c r="O781"/>
    </row>
    <row r="782" spans="1:15" x14ac:dyDescent="0.3">
      <c r="A782" t="s">
        <v>806</v>
      </c>
      <c r="B782" s="1">
        <v>45899</v>
      </c>
      <c r="C782" t="s">
        <v>13</v>
      </c>
      <c r="D782" t="s">
        <v>14</v>
      </c>
      <c r="E782" s="2">
        <v>2.2999999999999998</v>
      </c>
      <c r="F782" s="3">
        <v>7.98</v>
      </c>
      <c r="G782" s="4">
        <v>30.85</v>
      </c>
      <c r="H782">
        <v>1.2</v>
      </c>
      <c r="I782" s="4">
        <v>37.020000000000003</v>
      </c>
      <c r="J782">
        <v>4.2</v>
      </c>
      <c r="K782" t="s">
        <v>30</v>
      </c>
      <c r="L782" t="s">
        <v>16</v>
      </c>
      <c r="O782"/>
    </row>
    <row r="783" spans="1:15" x14ac:dyDescent="0.3">
      <c r="A783" t="s">
        <v>807</v>
      </c>
      <c r="B783" s="1">
        <v>45669</v>
      </c>
      <c r="C783" t="s">
        <v>22</v>
      </c>
      <c r="D783" t="s">
        <v>21</v>
      </c>
      <c r="E783" s="2">
        <v>10.63</v>
      </c>
      <c r="F783" s="3">
        <v>31.15</v>
      </c>
      <c r="G783" s="4">
        <v>107.75</v>
      </c>
      <c r="H783">
        <v>2</v>
      </c>
      <c r="I783" s="4">
        <v>215.5</v>
      </c>
      <c r="J783">
        <v>4.5999999999999996</v>
      </c>
      <c r="K783" t="s">
        <v>15</v>
      </c>
      <c r="L783" t="s">
        <v>26</v>
      </c>
      <c r="O783"/>
    </row>
    <row r="784" spans="1:15" x14ac:dyDescent="0.3">
      <c r="A784" t="s">
        <v>808</v>
      </c>
      <c r="B784" s="1">
        <v>45833</v>
      </c>
      <c r="C784" t="s">
        <v>13</v>
      </c>
      <c r="D784" t="s">
        <v>25</v>
      </c>
      <c r="E784" s="2">
        <v>1.81</v>
      </c>
      <c r="F784" s="3">
        <v>5.91</v>
      </c>
      <c r="G784" s="4">
        <v>25.82</v>
      </c>
      <c r="H784">
        <v>2</v>
      </c>
      <c r="I784" s="4">
        <v>51.64</v>
      </c>
      <c r="J784">
        <v>4.4000000000000004</v>
      </c>
      <c r="K784" t="s">
        <v>30</v>
      </c>
      <c r="L784" t="s">
        <v>26</v>
      </c>
      <c r="O784"/>
    </row>
    <row r="785" spans="1:15" x14ac:dyDescent="0.3">
      <c r="A785" t="s">
        <v>809</v>
      </c>
      <c r="B785" s="1">
        <v>45816</v>
      </c>
      <c r="C785" t="s">
        <v>21</v>
      </c>
      <c r="D785" t="s">
        <v>13</v>
      </c>
      <c r="E785" s="2">
        <v>24.36</v>
      </c>
      <c r="F785" s="3">
        <v>68.099999999999994</v>
      </c>
      <c r="G785" s="4">
        <v>439.94</v>
      </c>
      <c r="H785">
        <v>1</v>
      </c>
      <c r="I785" s="4">
        <v>439.94</v>
      </c>
      <c r="J785">
        <v>4.2</v>
      </c>
      <c r="K785" t="s">
        <v>36</v>
      </c>
      <c r="L785" t="s">
        <v>16</v>
      </c>
      <c r="O785"/>
    </row>
    <row r="786" spans="1:15" x14ac:dyDescent="0.3">
      <c r="A786" t="s">
        <v>810</v>
      </c>
      <c r="B786" s="1">
        <v>45782</v>
      </c>
      <c r="C786" t="s">
        <v>22</v>
      </c>
      <c r="D786" t="s">
        <v>14</v>
      </c>
      <c r="E786" s="2">
        <v>1.72</v>
      </c>
      <c r="F786" s="3">
        <v>4.6900000000000004</v>
      </c>
      <c r="G786" s="4">
        <v>26.6</v>
      </c>
      <c r="H786">
        <v>1</v>
      </c>
      <c r="I786" s="4">
        <v>26.6</v>
      </c>
      <c r="J786">
        <v>4.2</v>
      </c>
      <c r="K786" t="s">
        <v>36</v>
      </c>
      <c r="L786" t="s">
        <v>26</v>
      </c>
      <c r="O786"/>
    </row>
    <row r="787" spans="1:15" x14ac:dyDescent="0.3">
      <c r="A787" t="s">
        <v>811</v>
      </c>
      <c r="B787" s="1">
        <v>45819</v>
      </c>
      <c r="C787" t="s">
        <v>25</v>
      </c>
      <c r="D787" t="s">
        <v>21</v>
      </c>
      <c r="E787" s="2">
        <v>27.6</v>
      </c>
      <c r="F787" s="3">
        <v>77.64</v>
      </c>
      <c r="G787" s="4">
        <v>315.55</v>
      </c>
      <c r="H787">
        <v>2</v>
      </c>
      <c r="I787" s="4">
        <v>631.1</v>
      </c>
      <c r="J787">
        <v>5</v>
      </c>
      <c r="K787" t="s">
        <v>15</v>
      </c>
      <c r="L787" t="s">
        <v>19</v>
      </c>
      <c r="O787"/>
    </row>
    <row r="788" spans="1:15" x14ac:dyDescent="0.3">
      <c r="A788" t="s">
        <v>812</v>
      </c>
      <c r="B788" s="1">
        <v>45679</v>
      </c>
      <c r="C788" t="s">
        <v>14</v>
      </c>
      <c r="D788" t="s">
        <v>14</v>
      </c>
      <c r="E788" s="2">
        <v>16.239999999999998</v>
      </c>
      <c r="F788" s="3">
        <v>55.15</v>
      </c>
      <c r="G788" s="4">
        <v>308.60000000000002</v>
      </c>
      <c r="H788">
        <v>1</v>
      </c>
      <c r="I788" s="4">
        <v>308.60000000000002</v>
      </c>
      <c r="J788">
        <v>3.6</v>
      </c>
      <c r="K788" t="s">
        <v>36</v>
      </c>
      <c r="L788" t="s">
        <v>16</v>
      </c>
      <c r="O788"/>
    </row>
    <row r="789" spans="1:15" x14ac:dyDescent="0.3">
      <c r="A789" t="s">
        <v>813</v>
      </c>
      <c r="B789" s="1">
        <v>45821</v>
      </c>
      <c r="C789" t="s">
        <v>14</v>
      </c>
      <c r="D789" t="s">
        <v>21</v>
      </c>
      <c r="E789" s="2">
        <v>18.82</v>
      </c>
      <c r="F789" s="3">
        <v>59.52</v>
      </c>
      <c r="G789" s="4">
        <v>235.93</v>
      </c>
      <c r="H789">
        <v>1</v>
      </c>
      <c r="I789" s="4">
        <v>235.93</v>
      </c>
      <c r="J789">
        <v>3.5</v>
      </c>
      <c r="K789" t="s">
        <v>15</v>
      </c>
      <c r="L789" t="s">
        <v>26</v>
      </c>
      <c r="O789"/>
    </row>
    <row r="790" spans="1:15" x14ac:dyDescent="0.3">
      <c r="A790" t="s">
        <v>814</v>
      </c>
      <c r="B790" s="1">
        <v>45844</v>
      </c>
      <c r="C790" t="s">
        <v>13</v>
      </c>
      <c r="D790" t="s">
        <v>14</v>
      </c>
      <c r="E790" s="2">
        <v>27.8</v>
      </c>
      <c r="F790" s="3">
        <v>73.72</v>
      </c>
      <c r="G790" s="4">
        <v>313.52</v>
      </c>
      <c r="H790">
        <v>1.5</v>
      </c>
      <c r="I790" s="4">
        <v>470.28</v>
      </c>
      <c r="J790">
        <v>3</v>
      </c>
      <c r="K790" t="s">
        <v>36</v>
      </c>
      <c r="L790" t="s">
        <v>19</v>
      </c>
      <c r="O790"/>
    </row>
    <row r="791" spans="1:15" x14ac:dyDescent="0.3">
      <c r="A791" t="s">
        <v>815</v>
      </c>
      <c r="B791" s="1">
        <v>45855</v>
      </c>
      <c r="C791" t="s">
        <v>14</v>
      </c>
      <c r="D791" t="s">
        <v>14</v>
      </c>
      <c r="E791" s="2">
        <v>20.85</v>
      </c>
      <c r="F791" s="3">
        <v>79.34</v>
      </c>
      <c r="G791" s="4">
        <v>383.07</v>
      </c>
      <c r="H791">
        <v>1</v>
      </c>
      <c r="I791" s="4">
        <v>383.07</v>
      </c>
      <c r="J791">
        <v>3.7</v>
      </c>
      <c r="K791" t="s">
        <v>15</v>
      </c>
      <c r="L791" t="s">
        <v>26</v>
      </c>
      <c r="O791"/>
    </row>
    <row r="792" spans="1:15" x14ac:dyDescent="0.3">
      <c r="A792" t="s">
        <v>816</v>
      </c>
      <c r="B792" s="1">
        <v>45945</v>
      </c>
      <c r="C792" t="s">
        <v>21</v>
      </c>
      <c r="D792" t="s">
        <v>21</v>
      </c>
      <c r="E792" s="2">
        <v>24.59</v>
      </c>
      <c r="F792" s="3">
        <v>94.63</v>
      </c>
      <c r="G792" s="4">
        <v>359.18</v>
      </c>
      <c r="H792">
        <v>2</v>
      </c>
      <c r="I792" s="4">
        <v>718.36</v>
      </c>
      <c r="J792">
        <v>4.3</v>
      </c>
      <c r="K792" t="s">
        <v>33</v>
      </c>
      <c r="L792" t="s">
        <v>28</v>
      </c>
      <c r="O792"/>
    </row>
    <row r="793" spans="1:15" x14ac:dyDescent="0.3">
      <c r="A793" t="s">
        <v>817</v>
      </c>
      <c r="B793" s="1">
        <v>45766</v>
      </c>
      <c r="C793" t="s">
        <v>13</v>
      </c>
      <c r="D793" t="s">
        <v>21</v>
      </c>
      <c r="E793" s="2">
        <v>26.93</v>
      </c>
      <c r="F793" s="3">
        <v>88.59</v>
      </c>
      <c r="G793" s="4">
        <v>346.93</v>
      </c>
      <c r="H793">
        <v>1.2</v>
      </c>
      <c r="I793" s="4">
        <v>416.32</v>
      </c>
      <c r="J793">
        <v>3.2</v>
      </c>
      <c r="K793" t="s">
        <v>15</v>
      </c>
      <c r="L793" t="s">
        <v>28</v>
      </c>
      <c r="O793"/>
    </row>
    <row r="794" spans="1:15" x14ac:dyDescent="0.3">
      <c r="A794" t="s">
        <v>818</v>
      </c>
      <c r="B794" s="1">
        <v>46010</v>
      </c>
      <c r="C794" t="s">
        <v>21</v>
      </c>
      <c r="D794" t="s">
        <v>21</v>
      </c>
      <c r="E794" s="2">
        <v>1.4</v>
      </c>
      <c r="F794" s="3">
        <v>3.7</v>
      </c>
      <c r="G794" s="4">
        <v>21.76</v>
      </c>
      <c r="H794">
        <v>1.2</v>
      </c>
      <c r="I794" s="4">
        <v>26.11</v>
      </c>
      <c r="J794">
        <v>3</v>
      </c>
      <c r="K794" t="s">
        <v>15</v>
      </c>
      <c r="L794" t="s">
        <v>16</v>
      </c>
      <c r="O794"/>
    </row>
    <row r="795" spans="1:15" x14ac:dyDescent="0.3">
      <c r="A795" t="s">
        <v>819</v>
      </c>
      <c r="B795" s="1">
        <v>45945</v>
      </c>
      <c r="C795" t="s">
        <v>22</v>
      </c>
      <c r="D795" t="s">
        <v>22</v>
      </c>
      <c r="E795" s="2">
        <v>25.68</v>
      </c>
      <c r="F795" s="3">
        <v>100.54</v>
      </c>
      <c r="G795" s="4">
        <v>402.08</v>
      </c>
      <c r="H795">
        <v>1</v>
      </c>
      <c r="I795" s="4">
        <v>402.08</v>
      </c>
      <c r="J795">
        <v>4.0999999999999996</v>
      </c>
      <c r="K795" t="s">
        <v>18</v>
      </c>
      <c r="L795" t="s">
        <v>26</v>
      </c>
      <c r="O795"/>
    </row>
    <row r="796" spans="1:15" x14ac:dyDescent="0.3">
      <c r="A796" t="s">
        <v>820</v>
      </c>
      <c r="B796" s="1">
        <v>45752</v>
      </c>
      <c r="C796" t="s">
        <v>22</v>
      </c>
      <c r="D796" t="s">
        <v>14</v>
      </c>
      <c r="E796" s="2">
        <v>12.02</v>
      </c>
      <c r="F796" s="3">
        <v>38.64</v>
      </c>
      <c r="G796" s="4">
        <v>166.92</v>
      </c>
      <c r="H796">
        <v>1</v>
      </c>
      <c r="I796" s="4">
        <v>166.92</v>
      </c>
      <c r="J796">
        <v>3.8</v>
      </c>
      <c r="K796" t="s">
        <v>36</v>
      </c>
      <c r="L796" t="s">
        <v>19</v>
      </c>
      <c r="O796"/>
    </row>
    <row r="797" spans="1:15" x14ac:dyDescent="0.3">
      <c r="A797" t="s">
        <v>821</v>
      </c>
      <c r="B797" s="1">
        <v>45786</v>
      </c>
      <c r="C797" t="s">
        <v>14</v>
      </c>
      <c r="D797" t="s">
        <v>22</v>
      </c>
      <c r="E797" s="2">
        <v>10.130000000000001</v>
      </c>
      <c r="F797" s="3">
        <v>22.22</v>
      </c>
      <c r="G797" s="4">
        <v>119.22</v>
      </c>
      <c r="H797">
        <v>1.5</v>
      </c>
      <c r="I797" s="4">
        <v>178.83</v>
      </c>
      <c r="J797">
        <v>5</v>
      </c>
      <c r="K797" t="s">
        <v>33</v>
      </c>
      <c r="L797" t="s">
        <v>16</v>
      </c>
      <c r="O797"/>
    </row>
    <row r="798" spans="1:15" x14ac:dyDescent="0.3">
      <c r="A798" t="s">
        <v>822</v>
      </c>
      <c r="B798" s="1">
        <v>45711</v>
      </c>
      <c r="C798" t="s">
        <v>25</v>
      </c>
      <c r="D798" t="s">
        <v>21</v>
      </c>
      <c r="E798" s="2">
        <v>26.33</v>
      </c>
      <c r="F798" s="3">
        <v>105.09</v>
      </c>
      <c r="G798" s="4">
        <v>416.73</v>
      </c>
      <c r="H798">
        <v>1</v>
      </c>
      <c r="I798" s="4">
        <v>416.73</v>
      </c>
      <c r="J798">
        <v>3.6</v>
      </c>
      <c r="K798" t="s">
        <v>33</v>
      </c>
      <c r="L798" t="s">
        <v>26</v>
      </c>
      <c r="O798"/>
    </row>
    <row r="799" spans="1:15" x14ac:dyDescent="0.3">
      <c r="A799" t="s">
        <v>823</v>
      </c>
      <c r="B799" s="1">
        <v>45768</v>
      </c>
      <c r="C799" t="s">
        <v>13</v>
      </c>
      <c r="D799" t="s">
        <v>14</v>
      </c>
      <c r="E799" s="2">
        <v>10.23</v>
      </c>
      <c r="F799" s="3">
        <v>30.47</v>
      </c>
      <c r="G799" s="4">
        <v>190.23</v>
      </c>
      <c r="H799">
        <v>2</v>
      </c>
      <c r="I799" s="4">
        <v>380.46</v>
      </c>
      <c r="J799">
        <v>3.6</v>
      </c>
      <c r="K799" t="s">
        <v>18</v>
      </c>
      <c r="L799" t="s">
        <v>19</v>
      </c>
      <c r="O799"/>
    </row>
    <row r="800" spans="1:15" x14ac:dyDescent="0.3">
      <c r="A800" t="s">
        <v>824</v>
      </c>
      <c r="B800" s="1">
        <v>45818</v>
      </c>
      <c r="C800" t="s">
        <v>21</v>
      </c>
      <c r="D800" t="s">
        <v>13</v>
      </c>
      <c r="E800" s="2">
        <v>19.34</v>
      </c>
      <c r="F800" s="3">
        <v>43.64</v>
      </c>
      <c r="G800" s="4">
        <v>305.27999999999997</v>
      </c>
      <c r="H800">
        <v>2</v>
      </c>
      <c r="I800" s="4">
        <v>610.55999999999995</v>
      </c>
      <c r="J800">
        <v>4.0999999999999996</v>
      </c>
      <c r="K800" t="s">
        <v>18</v>
      </c>
      <c r="L800" t="s">
        <v>28</v>
      </c>
      <c r="O800"/>
    </row>
    <row r="801" spans="1:15" x14ac:dyDescent="0.3">
      <c r="A801" t="s">
        <v>825</v>
      </c>
      <c r="B801" s="1">
        <v>45933</v>
      </c>
      <c r="C801" t="s">
        <v>14</v>
      </c>
      <c r="D801" t="s">
        <v>25</v>
      </c>
      <c r="E801" s="2">
        <v>22.85</v>
      </c>
      <c r="F801" s="3">
        <v>85.59</v>
      </c>
      <c r="G801" s="4">
        <v>342.74</v>
      </c>
      <c r="H801">
        <v>1.2</v>
      </c>
      <c r="I801" s="4">
        <v>411.29</v>
      </c>
      <c r="J801">
        <v>3.2</v>
      </c>
      <c r="K801" t="s">
        <v>36</v>
      </c>
      <c r="L801" t="s">
        <v>26</v>
      </c>
      <c r="O801"/>
    </row>
    <row r="802" spans="1:15" x14ac:dyDescent="0.3">
      <c r="A802" t="s">
        <v>826</v>
      </c>
      <c r="B802" s="1">
        <v>45828</v>
      </c>
      <c r="C802" t="s">
        <v>14</v>
      </c>
      <c r="D802" t="s">
        <v>14</v>
      </c>
      <c r="E802" s="2">
        <v>6.41</v>
      </c>
      <c r="F802" s="3">
        <v>13.15</v>
      </c>
      <c r="G802" s="4">
        <v>82.34</v>
      </c>
      <c r="H802">
        <v>2</v>
      </c>
      <c r="I802" s="4">
        <v>164.68</v>
      </c>
      <c r="J802">
        <v>4</v>
      </c>
      <c r="K802" t="s">
        <v>36</v>
      </c>
      <c r="L802" t="s">
        <v>26</v>
      </c>
      <c r="O802"/>
    </row>
    <row r="803" spans="1:15" x14ac:dyDescent="0.3">
      <c r="A803" t="s">
        <v>827</v>
      </c>
      <c r="B803" s="1">
        <v>46022</v>
      </c>
      <c r="C803" t="s">
        <v>22</v>
      </c>
      <c r="D803" t="s">
        <v>22</v>
      </c>
      <c r="E803" s="2">
        <v>25.65</v>
      </c>
      <c r="F803" s="3">
        <v>61.37</v>
      </c>
      <c r="G803" s="4">
        <v>288.7</v>
      </c>
      <c r="H803">
        <v>1.2</v>
      </c>
      <c r="I803" s="4">
        <v>346.44</v>
      </c>
      <c r="J803">
        <v>4</v>
      </c>
      <c r="K803" t="s">
        <v>15</v>
      </c>
      <c r="L803" t="s">
        <v>26</v>
      </c>
      <c r="O803"/>
    </row>
    <row r="804" spans="1:15" x14ac:dyDescent="0.3">
      <c r="A804" t="s">
        <v>828</v>
      </c>
      <c r="B804" s="1">
        <v>45772</v>
      </c>
      <c r="C804" t="s">
        <v>25</v>
      </c>
      <c r="D804" t="s">
        <v>14</v>
      </c>
      <c r="E804" s="2">
        <v>14.88</v>
      </c>
      <c r="F804" s="3">
        <v>47.19</v>
      </c>
      <c r="G804" s="4">
        <v>229.36</v>
      </c>
      <c r="H804">
        <v>2</v>
      </c>
      <c r="I804" s="4">
        <v>458.72</v>
      </c>
      <c r="J804">
        <v>4.3</v>
      </c>
      <c r="K804" t="s">
        <v>33</v>
      </c>
      <c r="L804" t="s">
        <v>26</v>
      </c>
      <c r="O804"/>
    </row>
    <row r="805" spans="1:15" x14ac:dyDescent="0.3">
      <c r="A805" t="s">
        <v>829</v>
      </c>
      <c r="B805" s="1">
        <v>45897</v>
      </c>
      <c r="C805" t="s">
        <v>22</v>
      </c>
      <c r="D805" t="s">
        <v>14</v>
      </c>
      <c r="E805" s="2">
        <v>4.0599999999999996</v>
      </c>
      <c r="F805" s="3">
        <v>12.87</v>
      </c>
      <c r="G805" s="4">
        <v>62.7</v>
      </c>
      <c r="H805">
        <v>1.2</v>
      </c>
      <c r="I805" s="4">
        <v>75.239999999999995</v>
      </c>
      <c r="J805">
        <v>3.1</v>
      </c>
      <c r="K805" t="s">
        <v>18</v>
      </c>
      <c r="L805" t="s">
        <v>16</v>
      </c>
      <c r="O805"/>
    </row>
    <row r="806" spans="1:15" x14ac:dyDescent="0.3">
      <c r="A806" t="s">
        <v>830</v>
      </c>
      <c r="B806" s="1">
        <v>45699</v>
      </c>
      <c r="C806" t="s">
        <v>22</v>
      </c>
      <c r="D806" t="s">
        <v>21</v>
      </c>
      <c r="E806" s="2">
        <v>24.78</v>
      </c>
      <c r="F806" s="3">
        <v>51.62</v>
      </c>
      <c r="G806" s="4">
        <v>371.24</v>
      </c>
      <c r="H806">
        <v>2</v>
      </c>
      <c r="I806" s="4">
        <v>742.48</v>
      </c>
      <c r="J806">
        <v>3.8</v>
      </c>
      <c r="K806" t="s">
        <v>30</v>
      </c>
      <c r="L806" t="s">
        <v>16</v>
      </c>
      <c r="O806"/>
    </row>
    <row r="807" spans="1:15" x14ac:dyDescent="0.3">
      <c r="A807" t="s">
        <v>831</v>
      </c>
      <c r="B807" s="1">
        <v>45887</v>
      </c>
      <c r="C807" t="s">
        <v>13</v>
      </c>
      <c r="D807" t="s">
        <v>22</v>
      </c>
      <c r="E807" s="2">
        <v>19.940000000000001</v>
      </c>
      <c r="F807" s="3">
        <v>46.02</v>
      </c>
      <c r="G807" s="4">
        <v>394.22</v>
      </c>
      <c r="H807">
        <v>2</v>
      </c>
      <c r="I807" s="4">
        <v>788.44</v>
      </c>
      <c r="J807">
        <v>4.2</v>
      </c>
      <c r="K807" t="s">
        <v>33</v>
      </c>
      <c r="L807" t="s">
        <v>19</v>
      </c>
      <c r="O807"/>
    </row>
    <row r="808" spans="1:15" x14ac:dyDescent="0.3">
      <c r="A808" t="s">
        <v>832</v>
      </c>
      <c r="B808" s="1">
        <v>45920</v>
      </c>
      <c r="C808" t="s">
        <v>25</v>
      </c>
      <c r="D808" t="s">
        <v>14</v>
      </c>
      <c r="E808" s="2">
        <v>19.59</v>
      </c>
      <c r="F808" s="3">
        <v>57.44</v>
      </c>
      <c r="G808" s="4">
        <v>233.11</v>
      </c>
      <c r="H808">
        <v>1.2</v>
      </c>
      <c r="I808" s="4">
        <v>279.73</v>
      </c>
      <c r="J808">
        <v>4.5</v>
      </c>
      <c r="K808" t="s">
        <v>33</v>
      </c>
      <c r="L808" t="s">
        <v>26</v>
      </c>
      <c r="O808"/>
    </row>
    <row r="809" spans="1:15" x14ac:dyDescent="0.3">
      <c r="A809" t="s">
        <v>833</v>
      </c>
      <c r="B809" s="1">
        <v>45797</v>
      </c>
      <c r="C809" t="s">
        <v>22</v>
      </c>
      <c r="D809" t="s">
        <v>25</v>
      </c>
      <c r="E809" s="2">
        <v>11.4</v>
      </c>
      <c r="F809" s="3">
        <v>43.58</v>
      </c>
      <c r="G809" s="4">
        <v>116.39</v>
      </c>
      <c r="H809">
        <v>2</v>
      </c>
      <c r="I809" s="4">
        <v>232.78</v>
      </c>
      <c r="J809">
        <v>4.8</v>
      </c>
      <c r="K809" t="s">
        <v>36</v>
      </c>
      <c r="L809" t="s">
        <v>28</v>
      </c>
      <c r="O809"/>
    </row>
    <row r="810" spans="1:15" x14ac:dyDescent="0.3">
      <c r="A810" t="s">
        <v>834</v>
      </c>
      <c r="B810" s="1">
        <v>45926</v>
      </c>
      <c r="C810" t="s">
        <v>25</v>
      </c>
      <c r="D810" t="s">
        <v>25</v>
      </c>
      <c r="E810" s="2">
        <v>23.23</v>
      </c>
      <c r="F810" s="3">
        <v>79.08</v>
      </c>
      <c r="G810" s="4">
        <v>309.27</v>
      </c>
      <c r="H810">
        <v>1.2</v>
      </c>
      <c r="I810" s="4">
        <v>371.12</v>
      </c>
      <c r="J810">
        <v>4.3</v>
      </c>
      <c r="K810" t="s">
        <v>36</v>
      </c>
      <c r="L810" t="s">
        <v>28</v>
      </c>
      <c r="O810"/>
    </row>
    <row r="811" spans="1:15" x14ac:dyDescent="0.3">
      <c r="A811" t="s">
        <v>835</v>
      </c>
      <c r="B811" s="1">
        <v>45962</v>
      </c>
      <c r="C811" t="s">
        <v>21</v>
      </c>
      <c r="D811" t="s">
        <v>14</v>
      </c>
      <c r="E811" s="2">
        <v>20.61</v>
      </c>
      <c r="F811" s="3">
        <v>53.88</v>
      </c>
      <c r="G811" s="4">
        <v>282.36</v>
      </c>
      <c r="H811">
        <v>1</v>
      </c>
      <c r="I811" s="4">
        <v>282.36</v>
      </c>
      <c r="J811">
        <v>3.5</v>
      </c>
      <c r="K811" t="s">
        <v>15</v>
      </c>
      <c r="L811" t="s">
        <v>16</v>
      </c>
      <c r="O811"/>
    </row>
    <row r="812" spans="1:15" x14ac:dyDescent="0.3">
      <c r="A812" t="s">
        <v>836</v>
      </c>
      <c r="B812" s="1">
        <v>45936</v>
      </c>
      <c r="C812" t="s">
        <v>22</v>
      </c>
      <c r="D812" t="s">
        <v>22</v>
      </c>
      <c r="E812" s="2">
        <v>10.220000000000001</v>
      </c>
      <c r="F812" s="3">
        <v>32.29</v>
      </c>
      <c r="G812" s="4">
        <v>137.52000000000001</v>
      </c>
      <c r="H812">
        <v>1</v>
      </c>
      <c r="I812" s="4">
        <v>137.52000000000001</v>
      </c>
      <c r="J812">
        <v>3.1</v>
      </c>
      <c r="K812" t="s">
        <v>15</v>
      </c>
      <c r="L812" t="s">
        <v>26</v>
      </c>
      <c r="O812"/>
    </row>
    <row r="813" spans="1:15" x14ac:dyDescent="0.3">
      <c r="A813" t="s">
        <v>837</v>
      </c>
      <c r="B813" s="1">
        <v>46010</v>
      </c>
      <c r="C813" t="s">
        <v>21</v>
      </c>
      <c r="D813" t="s">
        <v>21</v>
      </c>
      <c r="E813" s="2">
        <v>15.67</v>
      </c>
      <c r="F813" s="3">
        <v>36.409999999999997</v>
      </c>
      <c r="G813" s="4">
        <v>259.82</v>
      </c>
      <c r="H813">
        <v>1</v>
      </c>
      <c r="I813" s="4">
        <v>259.82</v>
      </c>
      <c r="J813">
        <v>3.2</v>
      </c>
      <c r="K813" t="s">
        <v>18</v>
      </c>
      <c r="L813" t="s">
        <v>28</v>
      </c>
      <c r="O813"/>
    </row>
    <row r="814" spans="1:15" x14ac:dyDescent="0.3">
      <c r="A814" t="s">
        <v>838</v>
      </c>
      <c r="B814" s="1">
        <v>45895</v>
      </c>
      <c r="C814" t="s">
        <v>14</v>
      </c>
      <c r="D814" t="s">
        <v>21</v>
      </c>
      <c r="E814" s="2">
        <v>11.29</v>
      </c>
      <c r="F814" s="3">
        <v>31.63</v>
      </c>
      <c r="G814" s="4">
        <v>125.9</v>
      </c>
      <c r="H814">
        <v>2</v>
      </c>
      <c r="I814" s="4">
        <v>251.8</v>
      </c>
      <c r="J814">
        <v>5</v>
      </c>
      <c r="K814" t="s">
        <v>18</v>
      </c>
      <c r="L814" t="s">
        <v>19</v>
      </c>
      <c r="O814"/>
    </row>
    <row r="815" spans="1:15" x14ac:dyDescent="0.3">
      <c r="A815" t="s">
        <v>839</v>
      </c>
      <c r="B815" s="1">
        <v>46015</v>
      </c>
      <c r="C815" t="s">
        <v>21</v>
      </c>
      <c r="D815" t="s">
        <v>25</v>
      </c>
      <c r="E815" s="2">
        <v>12.23</v>
      </c>
      <c r="F815" s="3">
        <v>40.6</v>
      </c>
      <c r="G815" s="4">
        <v>176.36</v>
      </c>
      <c r="H815">
        <v>2</v>
      </c>
      <c r="I815" s="4">
        <v>352.72</v>
      </c>
      <c r="J815">
        <v>3.8</v>
      </c>
      <c r="K815" t="s">
        <v>18</v>
      </c>
      <c r="L815" t="s">
        <v>19</v>
      </c>
      <c r="O815"/>
    </row>
    <row r="816" spans="1:15" x14ac:dyDescent="0.3">
      <c r="A816" t="s">
        <v>840</v>
      </c>
      <c r="B816" s="1">
        <v>45977</v>
      </c>
      <c r="C816" t="s">
        <v>22</v>
      </c>
      <c r="D816" t="s">
        <v>13</v>
      </c>
      <c r="E816" s="2">
        <v>24.6</v>
      </c>
      <c r="F816" s="3">
        <v>95.47</v>
      </c>
      <c r="G816" s="4">
        <v>405.6</v>
      </c>
      <c r="H816">
        <v>1.2</v>
      </c>
      <c r="I816" s="4">
        <v>486.72</v>
      </c>
      <c r="J816">
        <v>3.4</v>
      </c>
      <c r="K816" t="s">
        <v>36</v>
      </c>
      <c r="L816" t="s">
        <v>19</v>
      </c>
      <c r="O816"/>
    </row>
    <row r="817" spans="1:15" x14ac:dyDescent="0.3">
      <c r="A817" t="s">
        <v>841</v>
      </c>
      <c r="B817" s="1">
        <v>45987</v>
      </c>
      <c r="C817" t="s">
        <v>14</v>
      </c>
      <c r="D817" t="s">
        <v>14</v>
      </c>
      <c r="E817" s="2">
        <v>14.85</v>
      </c>
      <c r="F817" s="3">
        <v>47.57</v>
      </c>
      <c r="G817" s="4">
        <v>234.89</v>
      </c>
      <c r="H817">
        <v>1.2</v>
      </c>
      <c r="I817" s="4">
        <v>281.87</v>
      </c>
      <c r="J817">
        <v>4.7</v>
      </c>
      <c r="K817" t="s">
        <v>15</v>
      </c>
      <c r="L817" t="s">
        <v>19</v>
      </c>
      <c r="O817"/>
    </row>
    <row r="818" spans="1:15" x14ac:dyDescent="0.3">
      <c r="A818" t="s">
        <v>842</v>
      </c>
      <c r="B818" s="1">
        <v>45818</v>
      </c>
      <c r="C818" t="s">
        <v>25</v>
      </c>
      <c r="D818" t="s">
        <v>13</v>
      </c>
      <c r="E818" s="2">
        <v>4.68</v>
      </c>
      <c r="F818" s="3">
        <v>13.03</v>
      </c>
      <c r="G818" s="4">
        <v>54.41</v>
      </c>
      <c r="H818">
        <v>1</v>
      </c>
      <c r="I818" s="4">
        <v>54.41</v>
      </c>
      <c r="J818">
        <v>4.2</v>
      </c>
      <c r="K818" t="s">
        <v>36</v>
      </c>
      <c r="L818" t="s">
        <v>19</v>
      </c>
      <c r="O818"/>
    </row>
    <row r="819" spans="1:15" x14ac:dyDescent="0.3">
      <c r="A819" t="s">
        <v>843</v>
      </c>
      <c r="B819" s="1">
        <v>45875</v>
      </c>
      <c r="C819" t="s">
        <v>13</v>
      </c>
      <c r="D819" t="s">
        <v>21</v>
      </c>
      <c r="E819" s="2">
        <v>7.23</v>
      </c>
      <c r="F819" s="3">
        <v>15.07</v>
      </c>
      <c r="G819" s="4">
        <v>98.59</v>
      </c>
      <c r="H819">
        <v>1</v>
      </c>
      <c r="I819" s="4">
        <v>98.59</v>
      </c>
      <c r="J819">
        <v>4.2</v>
      </c>
      <c r="K819" t="s">
        <v>36</v>
      </c>
      <c r="L819" t="s">
        <v>26</v>
      </c>
      <c r="O819"/>
    </row>
    <row r="820" spans="1:15" x14ac:dyDescent="0.3">
      <c r="A820" t="s">
        <v>844</v>
      </c>
      <c r="B820" s="1">
        <v>45910</v>
      </c>
      <c r="C820" t="s">
        <v>14</v>
      </c>
      <c r="D820" t="s">
        <v>22</v>
      </c>
      <c r="E820" s="2">
        <v>8.3699999999999992</v>
      </c>
      <c r="F820" s="3">
        <v>21.69</v>
      </c>
      <c r="G820" s="4">
        <v>128.06</v>
      </c>
      <c r="H820">
        <v>1.5</v>
      </c>
      <c r="I820" s="4">
        <v>192.09</v>
      </c>
      <c r="J820">
        <v>4.0999999999999996</v>
      </c>
      <c r="K820" t="s">
        <v>30</v>
      </c>
      <c r="L820" t="s">
        <v>19</v>
      </c>
      <c r="O820"/>
    </row>
    <row r="821" spans="1:15" x14ac:dyDescent="0.3">
      <c r="A821" t="s">
        <v>845</v>
      </c>
      <c r="B821" s="1">
        <v>45991</v>
      </c>
      <c r="C821" t="s">
        <v>25</v>
      </c>
      <c r="D821" t="s">
        <v>25</v>
      </c>
      <c r="E821" s="2">
        <v>5.3</v>
      </c>
      <c r="F821" s="3">
        <v>12.42</v>
      </c>
      <c r="G821" s="4">
        <v>99.57</v>
      </c>
      <c r="H821">
        <v>1.5</v>
      </c>
      <c r="I821" s="4">
        <v>149.35</v>
      </c>
      <c r="J821">
        <v>3.3</v>
      </c>
      <c r="K821" t="s">
        <v>33</v>
      </c>
      <c r="L821" t="s">
        <v>16</v>
      </c>
      <c r="O821"/>
    </row>
    <row r="822" spans="1:15" x14ac:dyDescent="0.3">
      <c r="A822" t="s">
        <v>846</v>
      </c>
      <c r="B822" s="1">
        <v>45844</v>
      </c>
      <c r="C822" t="s">
        <v>22</v>
      </c>
      <c r="D822" t="s">
        <v>21</v>
      </c>
      <c r="E822" s="2">
        <v>11.77</v>
      </c>
      <c r="F822" s="3">
        <v>38</v>
      </c>
      <c r="G822" s="4">
        <v>179.34</v>
      </c>
      <c r="H822">
        <v>1.2</v>
      </c>
      <c r="I822" s="4">
        <v>215.21</v>
      </c>
      <c r="J822">
        <v>4.5</v>
      </c>
      <c r="K822" t="s">
        <v>30</v>
      </c>
      <c r="L822" t="s">
        <v>19</v>
      </c>
      <c r="O822"/>
    </row>
    <row r="823" spans="1:15" x14ac:dyDescent="0.3">
      <c r="A823" t="s">
        <v>847</v>
      </c>
      <c r="B823" s="1">
        <v>45696</v>
      </c>
      <c r="C823" t="s">
        <v>25</v>
      </c>
      <c r="D823" t="s">
        <v>21</v>
      </c>
      <c r="E823" s="2">
        <v>15.57</v>
      </c>
      <c r="F823" s="3">
        <v>37.39</v>
      </c>
      <c r="G823" s="4">
        <v>204.75</v>
      </c>
      <c r="H823">
        <v>1.2</v>
      </c>
      <c r="I823" s="4">
        <v>245.7</v>
      </c>
      <c r="J823">
        <v>4.3</v>
      </c>
      <c r="K823" t="s">
        <v>33</v>
      </c>
      <c r="L823" t="s">
        <v>26</v>
      </c>
      <c r="O823"/>
    </row>
    <row r="824" spans="1:15" x14ac:dyDescent="0.3">
      <c r="A824" t="s">
        <v>848</v>
      </c>
      <c r="B824" s="1">
        <v>45879</v>
      </c>
      <c r="C824" t="s">
        <v>14</v>
      </c>
      <c r="D824" t="s">
        <v>13</v>
      </c>
      <c r="E824" s="2">
        <v>11.43</v>
      </c>
      <c r="F824" s="3">
        <v>29.88</v>
      </c>
      <c r="G824" s="4">
        <v>136.61000000000001</v>
      </c>
      <c r="H824">
        <v>1</v>
      </c>
      <c r="I824" s="4">
        <v>136.61000000000001</v>
      </c>
      <c r="J824">
        <v>3.2</v>
      </c>
      <c r="K824" t="s">
        <v>33</v>
      </c>
      <c r="L824" t="s">
        <v>26</v>
      </c>
      <c r="O824"/>
    </row>
    <row r="825" spans="1:15" x14ac:dyDescent="0.3">
      <c r="A825" t="s">
        <v>849</v>
      </c>
      <c r="B825" s="1">
        <v>46003</v>
      </c>
      <c r="C825" t="s">
        <v>25</v>
      </c>
      <c r="D825" t="s">
        <v>14</v>
      </c>
      <c r="E825" s="2">
        <v>29.16</v>
      </c>
      <c r="F825" s="3">
        <v>68.650000000000006</v>
      </c>
      <c r="G825" s="4">
        <v>502.15</v>
      </c>
      <c r="H825">
        <v>2</v>
      </c>
      <c r="I825" s="4">
        <v>1004.3</v>
      </c>
      <c r="J825">
        <v>4.5999999999999996</v>
      </c>
      <c r="K825" t="s">
        <v>15</v>
      </c>
      <c r="L825" t="s">
        <v>28</v>
      </c>
      <c r="O825"/>
    </row>
    <row r="826" spans="1:15" x14ac:dyDescent="0.3">
      <c r="A826" t="s">
        <v>850</v>
      </c>
      <c r="B826" s="1">
        <v>45676</v>
      </c>
      <c r="C826" t="s">
        <v>25</v>
      </c>
      <c r="D826" t="s">
        <v>14</v>
      </c>
      <c r="E826" s="2">
        <v>15.97</v>
      </c>
      <c r="F826" s="3">
        <v>50.49</v>
      </c>
      <c r="G826" s="4">
        <v>309.17</v>
      </c>
      <c r="H826">
        <v>1</v>
      </c>
      <c r="I826" s="4">
        <v>309.17</v>
      </c>
      <c r="J826">
        <v>4.8</v>
      </c>
      <c r="K826" t="s">
        <v>18</v>
      </c>
      <c r="L826" t="s">
        <v>28</v>
      </c>
      <c r="O826"/>
    </row>
    <row r="827" spans="1:15" x14ac:dyDescent="0.3">
      <c r="A827" t="s">
        <v>851</v>
      </c>
      <c r="B827" s="1">
        <v>45886</v>
      </c>
      <c r="C827" t="s">
        <v>21</v>
      </c>
      <c r="D827" t="s">
        <v>25</v>
      </c>
      <c r="E827" s="2">
        <v>23.79</v>
      </c>
      <c r="F827" s="3">
        <v>76.98</v>
      </c>
      <c r="G827" s="4">
        <v>319.23</v>
      </c>
      <c r="H827">
        <v>1.2</v>
      </c>
      <c r="I827" s="4">
        <v>383.08</v>
      </c>
      <c r="J827">
        <v>3.2</v>
      </c>
      <c r="K827" t="s">
        <v>30</v>
      </c>
      <c r="L827" t="s">
        <v>16</v>
      </c>
      <c r="O827"/>
    </row>
    <row r="828" spans="1:15" x14ac:dyDescent="0.3">
      <c r="A828" t="s">
        <v>852</v>
      </c>
      <c r="B828" s="1">
        <v>45904</v>
      </c>
      <c r="C828" t="s">
        <v>14</v>
      </c>
      <c r="D828" t="s">
        <v>22</v>
      </c>
      <c r="E828" s="2">
        <v>7.57</v>
      </c>
      <c r="F828" s="3">
        <v>23.72</v>
      </c>
      <c r="G828" s="4">
        <v>102.31</v>
      </c>
      <c r="H828">
        <v>1.2</v>
      </c>
      <c r="I828" s="4">
        <v>122.77</v>
      </c>
      <c r="J828">
        <v>4.3</v>
      </c>
      <c r="K828" t="s">
        <v>30</v>
      </c>
      <c r="L828" t="s">
        <v>16</v>
      </c>
      <c r="O828"/>
    </row>
    <row r="829" spans="1:15" x14ac:dyDescent="0.3">
      <c r="A829" t="s">
        <v>853</v>
      </c>
      <c r="B829" s="1">
        <v>45829</v>
      </c>
      <c r="C829" t="s">
        <v>21</v>
      </c>
      <c r="D829" t="s">
        <v>21</v>
      </c>
      <c r="E829" s="2">
        <v>2.58</v>
      </c>
      <c r="F829" s="3">
        <v>8.25</v>
      </c>
      <c r="G829" s="4">
        <v>49.08</v>
      </c>
      <c r="H829">
        <v>2</v>
      </c>
      <c r="I829" s="4">
        <v>98.16</v>
      </c>
      <c r="J829">
        <v>4.5</v>
      </c>
      <c r="K829" t="s">
        <v>33</v>
      </c>
      <c r="L829" t="s">
        <v>19</v>
      </c>
      <c r="O829"/>
    </row>
    <row r="830" spans="1:15" x14ac:dyDescent="0.3">
      <c r="A830" t="s">
        <v>854</v>
      </c>
      <c r="B830" s="1">
        <v>45843</v>
      </c>
      <c r="C830" t="s">
        <v>13</v>
      </c>
      <c r="D830" t="s">
        <v>21</v>
      </c>
      <c r="E830" s="2">
        <v>13.83</v>
      </c>
      <c r="F830" s="3">
        <v>29</v>
      </c>
      <c r="G830" s="4">
        <v>251.77</v>
      </c>
      <c r="H830">
        <v>2</v>
      </c>
      <c r="I830" s="4">
        <v>503.54</v>
      </c>
      <c r="J830">
        <v>3.4</v>
      </c>
      <c r="K830" t="s">
        <v>18</v>
      </c>
      <c r="L830" t="s">
        <v>28</v>
      </c>
      <c r="O830"/>
    </row>
    <row r="831" spans="1:15" x14ac:dyDescent="0.3">
      <c r="A831" t="s">
        <v>855</v>
      </c>
      <c r="B831" s="1">
        <v>45853</v>
      </c>
      <c r="C831" t="s">
        <v>21</v>
      </c>
      <c r="D831" t="s">
        <v>25</v>
      </c>
      <c r="E831" s="2">
        <v>11.24</v>
      </c>
      <c r="F831" s="3">
        <v>40.46</v>
      </c>
      <c r="G831" s="4">
        <v>174.75</v>
      </c>
      <c r="H831">
        <v>2</v>
      </c>
      <c r="I831" s="4">
        <v>349.5</v>
      </c>
      <c r="J831">
        <v>4.9000000000000004</v>
      </c>
      <c r="K831" t="s">
        <v>15</v>
      </c>
      <c r="L831" t="s">
        <v>16</v>
      </c>
      <c r="O831"/>
    </row>
    <row r="832" spans="1:15" x14ac:dyDescent="0.3">
      <c r="A832" t="s">
        <v>856</v>
      </c>
      <c r="B832" s="1">
        <v>45682</v>
      </c>
      <c r="C832" t="s">
        <v>22</v>
      </c>
      <c r="D832" t="s">
        <v>13</v>
      </c>
      <c r="E832" s="2">
        <v>13.92</v>
      </c>
      <c r="F832" s="3">
        <v>28.25</v>
      </c>
      <c r="G832" s="4">
        <v>173.64</v>
      </c>
      <c r="H832">
        <v>1.5</v>
      </c>
      <c r="I832" s="4">
        <v>260.45999999999998</v>
      </c>
      <c r="J832">
        <v>4.0999999999999996</v>
      </c>
      <c r="K832" t="s">
        <v>33</v>
      </c>
      <c r="L832" t="s">
        <v>16</v>
      </c>
      <c r="O832"/>
    </row>
    <row r="833" spans="1:15" x14ac:dyDescent="0.3">
      <c r="A833" t="s">
        <v>857</v>
      </c>
      <c r="B833" s="1">
        <v>45881</v>
      </c>
      <c r="C833" t="s">
        <v>21</v>
      </c>
      <c r="D833" t="s">
        <v>25</v>
      </c>
      <c r="E833" s="2">
        <v>7.39</v>
      </c>
      <c r="F833" s="3">
        <v>24.03</v>
      </c>
      <c r="G833" s="4">
        <v>116.14</v>
      </c>
      <c r="H833">
        <v>1</v>
      </c>
      <c r="I833" s="4">
        <v>116.14</v>
      </c>
      <c r="J833">
        <v>4.5999999999999996</v>
      </c>
      <c r="K833" t="s">
        <v>18</v>
      </c>
      <c r="L833" t="s">
        <v>28</v>
      </c>
      <c r="O833"/>
    </row>
    <row r="834" spans="1:15" x14ac:dyDescent="0.3">
      <c r="A834" t="s">
        <v>858</v>
      </c>
      <c r="B834" s="1">
        <v>45872</v>
      </c>
      <c r="C834" t="s">
        <v>22</v>
      </c>
      <c r="D834" t="s">
        <v>14</v>
      </c>
      <c r="E834" s="2">
        <v>23.84</v>
      </c>
      <c r="F834" s="3">
        <v>61.19</v>
      </c>
      <c r="G834" s="4">
        <v>438</v>
      </c>
      <c r="H834">
        <v>1.5</v>
      </c>
      <c r="I834" s="4">
        <v>657</v>
      </c>
      <c r="J834">
        <v>4.3</v>
      </c>
      <c r="K834" t="s">
        <v>15</v>
      </c>
      <c r="L834" t="s">
        <v>28</v>
      </c>
      <c r="O834"/>
    </row>
    <row r="835" spans="1:15" x14ac:dyDescent="0.3">
      <c r="A835" t="s">
        <v>859</v>
      </c>
      <c r="B835" s="1">
        <v>45928</v>
      </c>
      <c r="C835" t="s">
        <v>21</v>
      </c>
      <c r="D835" t="s">
        <v>13</v>
      </c>
      <c r="E835" s="2">
        <v>19.13</v>
      </c>
      <c r="F835" s="3">
        <v>38.729999999999997</v>
      </c>
      <c r="G835" s="4">
        <v>218.65</v>
      </c>
      <c r="H835">
        <v>1.2</v>
      </c>
      <c r="I835" s="4">
        <v>262.38</v>
      </c>
      <c r="J835">
        <v>3.4</v>
      </c>
      <c r="K835" t="s">
        <v>33</v>
      </c>
      <c r="L835" t="s">
        <v>16</v>
      </c>
      <c r="O835"/>
    </row>
    <row r="836" spans="1:15" x14ac:dyDescent="0.3">
      <c r="A836" t="s">
        <v>860</v>
      </c>
      <c r="B836" s="1">
        <v>45692</v>
      </c>
      <c r="C836" t="s">
        <v>21</v>
      </c>
      <c r="D836" t="s">
        <v>14</v>
      </c>
      <c r="E836" s="2">
        <v>2.48</v>
      </c>
      <c r="F836" s="3">
        <v>6.93</v>
      </c>
      <c r="G836" s="4">
        <v>37.49</v>
      </c>
      <c r="H836">
        <v>1.5</v>
      </c>
      <c r="I836" s="4">
        <v>56.24</v>
      </c>
      <c r="J836">
        <v>4.8</v>
      </c>
      <c r="K836" t="s">
        <v>33</v>
      </c>
      <c r="L836" t="s">
        <v>16</v>
      </c>
      <c r="O836"/>
    </row>
    <row r="837" spans="1:15" x14ac:dyDescent="0.3">
      <c r="A837" t="s">
        <v>861</v>
      </c>
      <c r="B837" s="1">
        <v>45665</v>
      </c>
      <c r="C837" t="s">
        <v>25</v>
      </c>
      <c r="D837" t="s">
        <v>22</v>
      </c>
      <c r="E837" s="2">
        <v>25.34</v>
      </c>
      <c r="F837" s="3">
        <v>58.05</v>
      </c>
      <c r="G837" s="4">
        <v>381.54</v>
      </c>
      <c r="H837">
        <v>1</v>
      </c>
      <c r="I837" s="4">
        <v>381.54</v>
      </c>
      <c r="J837">
        <v>3.1</v>
      </c>
      <c r="K837" t="s">
        <v>33</v>
      </c>
      <c r="L837" t="s">
        <v>28</v>
      </c>
      <c r="O837"/>
    </row>
    <row r="838" spans="1:15" x14ac:dyDescent="0.3">
      <c r="A838" t="s">
        <v>862</v>
      </c>
      <c r="B838" s="1">
        <v>45793</v>
      </c>
      <c r="C838" t="s">
        <v>21</v>
      </c>
      <c r="D838" t="s">
        <v>14</v>
      </c>
      <c r="E838" s="2">
        <v>17.64</v>
      </c>
      <c r="F838" s="3">
        <v>55.25</v>
      </c>
      <c r="G838" s="4">
        <v>331.29</v>
      </c>
      <c r="H838">
        <v>2</v>
      </c>
      <c r="I838" s="4">
        <v>662.58</v>
      </c>
      <c r="J838">
        <v>3.5</v>
      </c>
      <c r="K838" t="s">
        <v>30</v>
      </c>
      <c r="L838" t="s">
        <v>16</v>
      </c>
      <c r="O838"/>
    </row>
    <row r="839" spans="1:15" x14ac:dyDescent="0.3">
      <c r="A839" t="s">
        <v>863</v>
      </c>
      <c r="B839" s="1">
        <v>45984</v>
      </c>
      <c r="C839" t="s">
        <v>22</v>
      </c>
      <c r="D839" t="s">
        <v>25</v>
      </c>
      <c r="E839" s="2">
        <v>3.84</v>
      </c>
      <c r="F839" s="3">
        <v>8.02</v>
      </c>
      <c r="G839" s="4">
        <v>45.51</v>
      </c>
      <c r="H839">
        <v>2</v>
      </c>
      <c r="I839" s="4">
        <v>91.02</v>
      </c>
      <c r="J839">
        <v>4</v>
      </c>
      <c r="K839" t="s">
        <v>36</v>
      </c>
      <c r="L839" t="s">
        <v>16</v>
      </c>
      <c r="O839"/>
    </row>
    <row r="840" spans="1:15" x14ac:dyDescent="0.3">
      <c r="A840" t="s">
        <v>864</v>
      </c>
      <c r="B840" s="1">
        <v>45658</v>
      </c>
      <c r="C840" t="s">
        <v>22</v>
      </c>
      <c r="D840" t="s">
        <v>21</v>
      </c>
      <c r="E840" s="2">
        <v>10.58</v>
      </c>
      <c r="F840" s="3">
        <v>33.630000000000003</v>
      </c>
      <c r="G840" s="4">
        <v>153.86000000000001</v>
      </c>
      <c r="H840">
        <v>1</v>
      </c>
      <c r="I840" s="4">
        <v>153.86000000000001</v>
      </c>
      <c r="J840">
        <v>3.2</v>
      </c>
      <c r="K840" t="s">
        <v>30</v>
      </c>
      <c r="L840" t="s">
        <v>19</v>
      </c>
      <c r="O840"/>
    </row>
    <row r="841" spans="1:15" x14ac:dyDescent="0.3">
      <c r="A841" t="s">
        <v>865</v>
      </c>
      <c r="B841" s="1">
        <v>45669</v>
      </c>
      <c r="C841" t="s">
        <v>21</v>
      </c>
      <c r="D841" t="s">
        <v>13</v>
      </c>
      <c r="E841" s="2">
        <v>29.54</v>
      </c>
      <c r="F841" s="3">
        <v>106.14</v>
      </c>
      <c r="G841" s="4">
        <v>518.95000000000005</v>
      </c>
      <c r="H841">
        <v>1.2</v>
      </c>
      <c r="I841" s="4">
        <v>622.74</v>
      </c>
      <c r="J841">
        <v>3.5</v>
      </c>
      <c r="K841" t="s">
        <v>36</v>
      </c>
      <c r="L841" t="s">
        <v>19</v>
      </c>
      <c r="O841"/>
    </row>
    <row r="842" spans="1:15" x14ac:dyDescent="0.3">
      <c r="A842" t="s">
        <v>866</v>
      </c>
      <c r="B842" s="1">
        <v>45936</v>
      </c>
      <c r="C842" t="s">
        <v>14</v>
      </c>
      <c r="D842" t="s">
        <v>13</v>
      </c>
      <c r="E842" s="2">
        <v>29.7</v>
      </c>
      <c r="F842" s="3">
        <v>100.05</v>
      </c>
      <c r="G842" s="4">
        <v>578.85</v>
      </c>
      <c r="H842">
        <v>1.2</v>
      </c>
      <c r="I842" s="4">
        <v>694.62</v>
      </c>
      <c r="J842">
        <v>4.9000000000000004</v>
      </c>
      <c r="K842" t="s">
        <v>33</v>
      </c>
      <c r="L842" t="s">
        <v>19</v>
      </c>
      <c r="O842"/>
    </row>
    <row r="843" spans="1:15" x14ac:dyDescent="0.3">
      <c r="A843" t="s">
        <v>867</v>
      </c>
      <c r="B843" s="1">
        <v>45700</v>
      </c>
      <c r="C843" t="s">
        <v>14</v>
      </c>
      <c r="D843" t="s">
        <v>21</v>
      </c>
      <c r="E843" s="2">
        <v>17.09</v>
      </c>
      <c r="F843" s="3">
        <v>36.799999999999997</v>
      </c>
      <c r="G843" s="4">
        <v>171.62</v>
      </c>
      <c r="H843">
        <v>1</v>
      </c>
      <c r="I843" s="4">
        <v>171.62</v>
      </c>
      <c r="J843">
        <v>3.1</v>
      </c>
      <c r="K843" t="s">
        <v>18</v>
      </c>
      <c r="L843" t="s">
        <v>28</v>
      </c>
      <c r="O843"/>
    </row>
    <row r="844" spans="1:15" x14ac:dyDescent="0.3">
      <c r="A844" t="s">
        <v>868</v>
      </c>
      <c r="B844" s="1">
        <v>45713</v>
      </c>
      <c r="C844" t="s">
        <v>22</v>
      </c>
      <c r="D844" t="s">
        <v>25</v>
      </c>
      <c r="E844" s="2">
        <v>12.91</v>
      </c>
      <c r="F844" s="3">
        <v>38.46</v>
      </c>
      <c r="G844" s="4">
        <v>182.73</v>
      </c>
      <c r="H844">
        <v>2</v>
      </c>
      <c r="I844" s="4">
        <v>365.46</v>
      </c>
      <c r="J844">
        <v>4.2</v>
      </c>
      <c r="K844" t="s">
        <v>15</v>
      </c>
      <c r="L844" t="s">
        <v>16</v>
      </c>
      <c r="O844"/>
    </row>
    <row r="845" spans="1:15" x14ac:dyDescent="0.3">
      <c r="A845" t="s">
        <v>869</v>
      </c>
      <c r="B845" s="1">
        <v>45725</v>
      </c>
      <c r="C845" t="s">
        <v>22</v>
      </c>
      <c r="D845" t="s">
        <v>22</v>
      </c>
      <c r="E845" s="2">
        <v>6.14</v>
      </c>
      <c r="F845" s="3">
        <v>13.49</v>
      </c>
      <c r="G845" s="4">
        <v>120.14</v>
      </c>
      <c r="H845">
        <v>2</v>
      </c>
      <c r="I845" s="4">
        <v>240.28</v>
      </c>
      <c r="J845">
        <v>4.0999999999999996</v>
      </c>
      <c r="K845" t="s">
        <v>18</v>
      </c>
      <c r="L845" t="s">
        <v>26</v>
      </c>
      <c r="O845"/>
    </row>
    <row r="846" spans="1:15" x14ac:dyDescent="0.3">
      <c r="A846" t="s">
        <v>870</v>
      </c>
      <c r="B846" s="1">
        <v>45937</v>
      </c>
      <c r="C846" t="s">
        <v>21</v>
      </c>
      <c r="D846" t="s">
        <v>13</v>
      </c>
      <c r="E846" s="2">
        <v>10.15</v>
      </c>
      <c r="F846" s="3">
        <v>28.28</v>
      </c>
      <c r="G846" s="4">
        <v>125.55</v>
      </c>
      <c r="H846">
        <v>1</v>
      </c>
      <c r="I846" s="4">
        <v>125.55</v>
      </c>
      <c r="J846">
        <v>3.1</v>
      </c>
      <c r="K846" t="s">
        <v>15</v>
      </c>
      <c r="L846" t="s">
        <v>26</v>
      </c>
      <c r="O846"/>
    </row>
    <row r="847" spans="1:15" x14ac:dyDescent="0.3">
      <c r="A847" t="s">
        <v>871</v>
      </c>
      <c r="B847" s="1">
        <v>45995</v>
      </c>
      <c r="C847" t="s">
        <v>22</v>
      </c>
      <c r="D847" t="s">
        <v>22</v>
      </c>
      <c r="E847" s="2">
        <v>24.13</v>
      </c>
      <c r="F847" s="3">
        <v>80.959999999999994</v>
      </c>
      <c r="G847" s="4">
        <v>373.27</v>
      </c>
      <c r="H847">
        <v>1.2</v>
      </c>
      <c r="I847" s="4">
        <v>447.92</v>
      </c>
      <c r="J847">
        <v>3.7</v>
      </c>
      <c r="K847" t="s">
        <v>18</v>
      </c>
      <c r="L847" t="s">
        <v>19</v>
      </c>
      <c r="O847"/>
    </row>
    <row r="848" spans="1:15" x14ac:dyDescent="0.3">
      <c r="A848" t="s">
        <v>872</v>
      </c>
      <c r="B848" s="1">
        <v>45733</v>
      </c>
      <c r="C848" t="s">
        <v>22</v>
      </c>
      <c r="D848" t="s">
        <v>13</v>
      </c>
      <c r="E848" s="2">
        <v>3.11</v>
      </c>
      <c r="F848" s="3">
        <v>7.97</v>
      </c>
      <c r="G848" s="4">
        <v>41.98</v>
      </c>
      <c r="H848">
        <v>1.5</v>
      </c>
      <c r="I848" s="4">
        <v>62.97</v>
      </c>
      <c r="J848">
        <v>4.7</v>
      </c>
      <c r="K848" t="s">
        <v>30</v>
      </c>
      <c r="L848" t="s">
        <v>26</v>
      </c>
      <c r="O848"/>
    </row>
    <row r="849" spans="1:15" x14ac:dyDescent="0.3">
      <c r="A849" t="s">
        <v>873</v>
      </c>
      <c r="B849" s="1">
        <v>45966</v>
      </c>
      <c r="C849" t="s">
        <v>14</v>
      </c>
      <c r="D849" t="s">
        <v>21</v>
      </c>
      <c r="E849" s="2">
        <v>20.93</v>
      </c>
      <c r="F849" s="3">
        <v>82.11</v>
      </c>
      <c r="G849" s="4">
        <v>362.14</v>
      </c>
      <c r="H849">
        <v>2</v>
      </c>
      <c r="I849" s="4">
        <v>724.28</v>
      </c>
      <c r="J849">
        <v>3.8</v>
      </c>
      <c r="K849" t="s">
        <v>33</v>
      </c>
      <c r="L849" t="s">
        <v>26</v>
      </c>
      <c r="O849"/>
    </row>
    <row r="850" spans="1:15" x14ac:dyDescent="0.3">
      <c r="A850" t="s">
        <v>874</v>
      </c>
      <c r="B850" s="1">
        <v>45708</v>
      </c>
      <c r="C850" t="s">
        <v>14</v>
      </c>
      <c r="D850" t="s">
        <v>21</v>
      </c>
      <c r="E850" s="2">
        <v>22.45</v>
      </c>
      <c r="F850" s="3">
        <v>72.39</v>
      </c>
      <c r="G850" s="4">
        <v>228.24</v>
      </c>
      <c r="H850">
        <v>1.5</v>
      </c>
      <c r="I850" s="4">
        <v>342.36</v>
      </c>
      <c r="J850">
        <v>3.7</v>
      </c>
      <c r="K850" t="s">
        <v>33</v>
      </c>
      <c r="L850" t="s">
        <v>28</v>
      </c>
      <c r="O850"/>
    </row>
    <row r="851" spans="1:15" x14ac:dyDescent="0.3">
      <c r="A851" t="s">
        <v>875</v>
      </c>
      <c r="B851" s="1">
        <v>45877</v>
      </c>
      <c r="C851" t="s">
        <v>22</v>
      </c>
      <c r="D851" t="s">
        <v>25</v>
      </c>
      <c r="E851" s="2">
        <v>13.18</v>
      </c>
      <c r="F851" s="3">
        <v>41.61</v>
      </c>
      <c r="G851" s="4">
        <v>241.54</v>
      </c>
      <c r="H851">
        <v>1.5</v>
      </c>
      <c r="I851" s="4">
        <v>362.31</v>
      </c>
      <c r="J851">
        <v>3.1</v>
      </c>
      <c r="K851" t="s">
        <v>15</v>
      </c>
      <c r="L851" t="s">
        <v>26</v>
      </c>
      <c r="O851"/>
    </row>
    <row r="852" spans="1:15" x14ac:dyDescent="0.3">
      <c r="A852" t="s">
        <v>876</v>
      </c>
      <c r="B852" s="1">
        <v>45783</v>
      </c>
      <c r="C852" t="s">
        <v>22</v>
      </c>
      <c r="D852" t="s">
        <v>13</v>
      </c>
      <c r="E852" s="2">
        <v>2.73</v>
      </c>
      <c r="F852" s="3">
        <v>9.24</v>
      </c>
      <c r="G852" s="4">
        <v>31.12</v>
      </c>
      <c r="H852">
        <v>1.5</v>
      </c>
      <c r="I852" s="4">
        <v>46.68</v>
      </c>
      <c r="J852">
        <v>3.9</v>
      </c>
      <c r="K852" t="s">
        <v>36</v>
      </c>
      <c r="L852" t="s">
        <v>28</v>
      </c>
      <c r="O852"/>
    </row>
    <row r="853" spans="1:15" x14ac:dyDescent="0.3">
      <c r="A853" t="s">
        <v>877</v>
      </c>
      <c r="B853" s="1">
        <v>45951</v>
      </c>
      <c r="C853" t="s">
        <v>14</v>
      </c>
      <c r="D853" t="s">
        <v>21</v>
      </c>
      <c r="E853" s="2">
        <v>12.68</v>
      </c>
      <c r="F853" s="3">
        <v>38.54</v>
      </c>
      <c r="G853" s="4">
        <v>253.16</v>
      </c>
      <c r="H853">
        <v>2</v>
      </c>
      <c r="I853" s="4">
        <v>506.32</v>
      </c>
      <c r="J853">
        <v>4.3</v>
      </c>
      <c r="K853" t="s">
        <v>15</v>
      </c>
      <c r="L853" t="s">
        <v>28</v>
      </c>
      <c r="O853"/>
    </row>
    <row r="854" spans="1:15" x14ac:dyDescent="0.3">
      <c r="A854" t="s">
        <v>878</v>
      </c>
      <c r="B854" s="1">
        <v>45830</v>
      </c>
      <c r="C854" t="s">
        <v>14</v>
      </c>
      <c r="D854" t="s">
        <v>21</v>
      </c>
      <c r="E854" s="2">
        <v>4.8600000000000003</v>
      </c>
      <c r="F854" s="3">
        <v>11.26</v>
      </c>
      <c r="G854" s="4">
        <v>94.73</v>
      </c>
      <c r="H854">
        <v>1</v>
      </c>
      <c r="I854" s="4">
        <v>94.73</v>
      </c>
      <c r="J854">
        <v>3.9</v>
      </c>
      <c r="K854" t="s">
        <v>33</v>
      </c>
      <c r="L854" t="s">
        <v>16</v>
      </c>
      <c r="O854"/>
    </row>
    <row r="855" spans="1:15" x14ac:dyDescent="0.3">
      <c r="A855" t="s">
        <v>879</v>
      </c>
      <c r="B855" s="1">
        <v>45742</v>
      </c>
      <c r="C855" t="s">
        <v>13</v>
      </c>
      <c r="D855" t="s">
        <v>22</v>
      </c>
      <c r="E855" s="2">
        <v>29.75</v>
      </c>
      <c r="F855" s="3">
        <v>71.89</v>
      </c>
      <c r="G855" s="4">
        <v>403.24</v>
      </c>
      <c r="H855">
        <v>2</v>
      </c>
      <c r="I855" s="4">
        <v>806.48</v>
      </c>
      <c r="J855">
        <v>4.5</v>
      </c>
      <c r="K855" t="s">
        <v>36</v>
      </c>
      <c r="L855" t="s">
        <v>19</v>
      </c>
      <c r="O855"/>
    </row>
    <row r="856" spans="1:15" x14ac:dyDescent="0.3">
      <c r="A856" t="s">
        <v>880</v>
      </c>
      <c r="B856" s="1">
        <v>46020</v>
      </c>
      <c r="C856" t="s">
        <v>21</v>
      </c>
      <c r="D856" t="s">
        <v>25</v>
      </c>
      <c r="E856" s="2">
        <v>13.13</v>
      </c>
      <c r="F856" s="3">
        <v>35.659999999999997</v>
      </c>
      <c r="G856" s="4">
        <v>209.26</v>
      </c>
      <c r="H856">
        <v>1.5</v>
      </c>
      <c r="I856" s="4">
        <v>313.89</v>
      </c>
      <c r="J856">
        <v>3.5</v>
      </c>
      <c r="K856" t="s">
        <v>15</v>
      </c>
      <c r="L856" t="s">
        <v>28</v>
      </c>
      <c r="O856"/>
    </row>
    <row r="857" spans="1:15" x14ac:dyDescent="0.3">
      <c r="A857" t="s">
        <v>881</v>
      </c>
      <c r="B857" s="1">
        <v>45970</v>
      </c>
      <c r="C857" t="s">
        <v>22</v>
      </c>
      <c r="D857" t="s">
        <v>21</v>
      </c>
      <c r="E857" s="2">
        <v>6.77</v>
      </c>
      <c r="F857" s="3">
        <v>17.809999999999999</v>
      </c>
      <c r="G857" s="4">
        <v>82.91</v>
      </c>
      <c r="H857">
        <v>2</v>
      </c>
      <c r="I857" s="4">
        <v>165.82</v>
      </c>
      <c r="J857">
        <v>4.5</v>
      </c>
      <c r="K857" t="s">
        <v>33</v>
      </c>
      <c r="L857" t="s">
        <v>16</v>
      </c>
      <c r="O857"/>
    </row>
    <row r="858" spans="1:15" x14ac:dyDescent="0.3">
      <c r="A858" t="s">
        <v>882</v>
      </c>
      <c r="B858" s="1">
        <v>45825</v>
      </c>
      <c r="C858" t="s">
        <v>14</v>
      </c>
      <c r="D858" t="s">
        <v>25</v>
      </c>
      <c r="E858" s="2">
        <v>8.3800000000000008</v>
      </c>
      <c r="F858" s="3">
        <v>24.69</v>
      </c>
      <c r="G858" s="4">
        <v>87.43</v>
      </c>
      <c r="H858">
        <v>1.5</v>
      </c>
      <c r="I858" s="4">
        <v>131.15</v>
      </c>
      <c r="J858">
        <v>3.5</v>
      </c>
      <c r="K858" t="s">
        <v>30</v>
      </c>
      <c r="L858" t="s">
        <v>28</v>
      </c>
      <c r="O858"/>
    </row>
    <row r="859" spans="1:15" x14ac:dyDescent="0.3">
      <c r="A859" t="s">
        <v>883</v>
      </c>
      <c r="B859" s="1">
        <v>45794</v>
      </c>
      <c r="C859" t="s">
        <v>21</v>
      </c>
      <c r="D859" t="s">
        <v>22</v>
      </c>
      <c r="E859" s="2">
        <v>22.6</v>
      </c>
      <c r="F859" s="3">
        <v>63.84</v>
      </c>
      <c r="G859" s="4">
        <v>270.24</v>
      </c>
      <c r="H859">
        <v>2</v>
      </c>
      <c r="I859" s="4">
        <v>540.48</v>
      </c>
      <c r="J859">
        <v>4.2</v>
      </c>
      <c r="K859" t="s">
        <v>30</v>
      </c>
      <c r="L859" t="s">
        <v>26</v>
      </c>
      <c r="O859"/>
    </row>
    <row r="860" spans="1:15" x14ac:dyDescent="0.3">
      <c r="A860" t="s">
        <v>884</v>
      </c>
      <c r="B860" s="1">
        <v>45734</v>
      </c>
      <c r="C860" t="s">
        <v>21</v>
      </c>
      <c r="D860" t="s">
        <v>21</v>
      </c>
      <c r="E860" s="2">
        <v>13.78</v>
      </c>
      <c r="F860" s="3">
        <v>36.299999999999997</v>
      </c>
      <c r="G860" s="4">
        <v>263.47000000000003</v>
      </c>
      <c r="H860">
        <v>2</v>
      </c>
      <c r="I860" s="4">
        <v>526.94000000000005</v>
      </c>
      <c r="J860">
        <v>4.2</v>
      </c>
      <c r="K860" t="s">
        <v>18</v>
      </c>
      <c r="L860" t="s">
        <v>28</v>
      </c>
      <c r="O860"/>
    </row>
    <row r="861" spans="1:15" x14ac:dyDescent="0.3">
      <c r="A861" t="s">
        <v>885</v>
      </c>
      <c r="B861" s="1">
        <v>45682</v>
      </c>
      <c r="C861" t="s">
        <v>21</v>
      </c>
      <c r="D861" t="s">
        <v>22</v>
      </c>
      <c r="E861" s="2">
        <v>10.25</v>
      </c>
      <c r="F861" s="3">
        <v>29.02</v>
      </c>
      <c r="G861" s="4">
        <v>195.57</v>
      </c>
      <c r="H861">
        <v>1</v>
      </c>
      <c r="I861" s="4">
        <v>195.57</v>
      </c>
      <c r="J861">
        <v>4.5</v>
      </c>
      <c r="K861" t="s">
        <v>18</v>
      </c>
      <c r="L861" t="s">
        <v>19</v>
      </c>
      <c r="O861"/>
    </row>
    <row r="862" spans="1:15" x14ac:dyDescent="0.3">
      <c r="A862" t="s">
        <v>886</v>
      </c>
      <c r="B862" s="1">
        <v>45732</v>
      </c>
      <c r="C862" t="s">
        <v>21</v>
      </c>
      <c r="D862" t="s">
        <v>25</v>
      </c>
      <c r="E862" s="2">
        <v>17.96</v>
      </c>
      <c r="F862" s="3">
        <v>69.739999999999995</v>
      </c>
      <c r="G862" s="4">
        <v>210.92</v>
      </c>
      <c r="H862">
        <v>1.5</v>
      </c>
      <c r="I862" s="4">
        <v>316.38</v>
      </c>
      <c r="J862">
        <v>3.1</v>
      </c>
      <c r="K862" t="s">
        <v>36</v>
      </c>
      <c r="L862" t="s">
        <v>16</v>
      </c>
      <c r="O862"/>
    </row>
    <row r="863" spans="1:15" x14ac:dyDescent="0.3">
      <c r="A863" t="s">
        <v>887</v>
      </c>
      <c r="B863" s="1">
        <v>45676</v>
      </c>
      <c r="C863" t="s">
        <v>22</v>
      </c>
      <c r="D863" t="s">
        <v>14</v>
      </c>
      <c r="E863" s="2">
        <v>19.14</v>
      </c>
      <c r="F863" s="3">
        <v>59.35</v>
      </c>
      <c r="G863" s="4">
        <v>269.37</v>
      </c>
      <c r="H863">
        <v>1</v>
      </c>
      <c r="I863" s="4">
        <v>269.37</v>
      </c>
      <c r="J863">
        <v>3.5</v>
      </c>
      <c r="K863" t="s">
        <v>18</v>
      </c>
      <c r="L863" t="s">
        <v>19</v>
      </c>
      <c r="O863"/>
    </row>
    <row r="864" spans="1:15" x14ac:dyDescent="0.3">
      <c r="A864" t="s">
        <v>888</v>
      </c>
      <c r="B864" s="1">
        <v>45658</v>
      </c>
      <c r="C864" t="s">
        <v>14</v>
      </c>
      <c r="D864" t="s">
        <v>14</v>
      </c>
      <c r="E864" s="2">
        <v>6.69</v>
      </c>
      <c r="F864" s="3">
        <v>13.68</v>
      </c>
      <c r="G864" s="4">
        <v>124.55</v>
      </c>
      <c r="H864">
        <v>1.5</v>
      </c>
      <c r="I864" s="4">
        <v>186.82</v>
      </c>
      <c r="J864">
        <v>4.2</v>
      </c>
      <c r="K864" t="s">
        <v>15</v>
      </c>
      <c r="L864" t="s">
        <v>16</v>
      </c>
      <c r="O864"/>
    </row>
    <row r="865" spans="1:15" x14ac:dyDescent="0.3">
      <c r="A865" t="s">
        <v>889</v>
      </c>
      <c r="B865" s="1">
        <v>45883</v>
      </c>
      <c r="C865" t="s">
        <v>14</v>
      </c>
      <c r="D865" t="s">
        <v>21</v>
      </c>
      <c r="E865" s="2">
        <v>19.18</v>
      </c>
      <c r="F865" s="3">
        <v>69.37</v>
      </c>
      <c r="G865" s="4">
        <v>309.11</v>
      </c>
      <c r="H865">
        <v>1.2</v>
      </c>
      <c r="I865" s="4">
        <v>370.93</v>
      </c>
      <c r="J865">
        <v>4.8</v>
      </c>
      <c r="K865" t="s">
        <v>33</v>
      </c>
      <c r="L865" t="s">
        <v>16</v>
      </c>
      <c r="O865"/>
    </row>
    <row r="866" spans="1:15" x14ac:dyDescent="0.3">
      <c r="A866" t="s">
        <v>890</v>
      </c>
      <c r="B866" s="1">
        <v>45786</v>
      </c>
      <c r="C866" t="s">
        <v>22</v>
      </c>
      <c r="D866" t="s">
        <v>14</v>
      </c>
      <c r="E866" s="2">
        <v>10.5</v>
      </c>
      <c r="F866" s="3">
        <v>24.46</v>
      </c>
      <c r="G866" s="4">
        <v>124.02</v>
      </c>
      <c r="H866">
        <v>2</v>
      </c>
      <c r="I866" s="4">
        <v>248.04</v>
      </c>
      <c r="J866">
        <v>3.5</v>
      </c>
      <c r="K866" t="s">
        <v>33</v>
      </c>
      <c r="L866" t="s">
        <v>28</v>
      </c>
      <c r="O866"/>
    </row>
    <row r="867" spans="1:15" x14ac:dyDescent="0.3">
      <c r="A867" t="s">
        <v>891</v>
      </c>
      <c r="B867" s="1">
        <v>45691</v>
      </c>
      <c r="C867" t="s">
        <v>21</v>
      </c>
      <c r="D867" t="s">
        <v>13</v>
      </c>
      <c r="E867" s="2">
        <v>13.64</v>
      </c>
      <c r="F867" s="3">
        <v>43.49</v>
      </c>
      <c r="G867" s="4">
        <v>216.83</v>
      </c>
      <c r="H867">
        <v>1.2</v>
      </c>
      <c r="I867" s="4">
        <v>260.2</v>
      </c>
      <c r="J867">
        <v>4.2</v>
      </c>
      <c r="K867" t="s">
        <v>15</v>
      </c>
      <c r="L867" t="s">
        <v>19</v>
      </c>
      <c r="O867"/>
    </row>
    <row r="868" spans="1:15" x14ac:dyDescent="0.3">
      <c r="A868" t="s">
        <v>892</v>
      </c>
      <c r="B868" s="1">
        <v>45705</v>
      </c>
      <c r="C868" t="s">
        <v>22</v>
      </c>
      <c r="D868" t="s">
        <v>22</v>
      </c>
      <c r="E868" s="2">
        <v>6.14</v>
      </c>
      <c r="F868" s="3">
        <v>21.16</v>
      </c>
      <c r="G868" s="4">
        <v>108.84</v>
      </c>
      <c r="H868">
        <v>1</v>
      </c>
      <c r="I868" s="4">
        <v>108.84</v>
      </c>
      <c r="J868">
        <v>3.4</v>
      </c>
      <c r="K868" t="s">
        <v>30</v>
      </c>
      <c r="L868" t="s">
        <v>28</v>
      </c>
      <c r="O868"/>
    </row>
    <row r="869" spans="1:15" x14ac:dyDescent="0.3">
      <c r="A869" t="s">
        <v>893</v>
      </c>
      <c r="B869" s="1">
        <v>45745</v>
      </c>
      <c r="C869" t="s">
        <v>14</v>
      </c>
      <c r="D869" t="s">
        <v>14</v>
      </c>
      <c r="E869" s="2">
        <v>12.61</v>
      </c>
      <c r="F869" s="3">
        <v>45.7</v>
      </c>
      <c r="G869" s="4">
        <v>127.85</v>
      </c>
      <c r="H869">
        <v>1.5</v>
      </c>
      <c r="I869" s="4">
        <v>191.77</v>
      </c>
      <c r="J869">
        <v>4.7</v>
      </c>
      <c r="K869" t="s">
        <v>15</v>
      </c>
      <c r="L869" t="s">
        <v>16</v>
      </c>
      <c r="O869"/>
    </row>
    <row r="870" spans="1:15" x14ac:dyDescent="0.3">
      <c r="A870" t="s">
        <v>894</v>
      </c>
      <c r="B870" s="1">
        <v>45766</v>
      </c>
      <c r="C870" t="s">
        <v>25</v>
      </c>
      <c r="D870" t="s">
        <v>13</v>
      </c>
      <c r="E870" s="2">
        <v>24.16</v>
      </c>
      <c r="F870" s="3">
        <v>93.39</v>
      </c>
      <c r="G870" s="4">
        <v>246.47</v>
      </c>
      <c r="H870">
        <v>1.5</v>
      </c>
      <c r="I870" s="4">
        <v>369.7</v>
      </c>
      <c r="J870">
        <v>4.0999999999999996</v>
      </c>
      <c r="K870" t="s">
        <v>36</v>
      </c>
      <c r="L870" t="s">
        <v>16</v>
      </c>
      <c r="O870"/>
    </row>
    <row r="871" spans="1:15" x14ac:dyDescent="0.3">
      <c r="A871" t="s">
        <v>895</v>
      </c>
      <c r="B871" s="1">
        <v>45726</v>
      </c>
      <c r="C871" t="s">
        <v>25</v>
      </c>
      <c r="D871" t="s">
        <v>13</v>
      </c>
      <c r="E871" s="2">
        <v>14.3</v>
      </c>
      <c r="F871" s="3">
        <v>44.75</v>
      </c>
      <c r="G871" s="4">
        <v>237.81</v>
      </c>
      <c r="H871">
        <v>1.2</v>
      </c>
      <c r="I871" s="4">
        <v>285.37</v>
      </c>
      <c r="J871">
        <v>4.5999999999999996</v>
      </c>
      <c r="K871" t="s">
        <v>15</v>
      </c>
      <c r="L871" t="s">
        <v>26</v>
      </c>
      <c r="O871"/>
    </row>
    <row r="872" spans="1:15" x14ac:dyDescent="0.3">
      <c r="A872" t="s">
        <v>896</v>
      </c>
      <c r="B872" s="1">
        <v>45917</v>
      </c>
      <c r="C872" t="s">
        <v>22</v>
      </c>
      <c r="D872" t="s">
        <v>13</v>
      </c>
      <c r="E872" s="2">
        <v>29.91</v>
      </c>
      <c r="F872" s="3">
        <v>102.9</v>
      </c>
      <c r="G872" s="4">
        <v>385.01</v>
      </c>
      <c r="H872">
        <v>2</v>
      </c>
      <c r="I872" s="4">
        <v>770.02</v>
      </c>
      <c r="J872">
        <v>4.3</v>
      </c>
      <c r="K872" t="s">
        <v>15</v>
      </c>
      <c r="L872" t="s">
        <v>16</v>
      </c>
      <c r="O872"/>
    </row>
    <row r="873" spans="1:15" x14ac:dyDescent="0.3">
      <c r="A873" t="s">
        <v>897</v>
      </c>
      <c r="B873" s="1">
        <v>45848</v>
      </c>
      <c r="C873" t="s">
        <v>14</v>
      </c>
      <c r="D873" t="s">
        <v>13</v>
      </c>
      <c r="E873" s="2">
        <v>7.7</v>
      </c>
      <c r="F873" s="3">
        <v>29.22</v>
      </c>
      <c r="G873" s="4">
        <v>96.73</v>
      </c>
      <c r="H873">
        <v>1.5</v>
      </c>
      <c r="I873" s="4">
        <v>145.1</v>
      </c>
      <c r="J873">
        <v>4.8</v>
      </c>
      <c r="K873" t="s">
        <v>33</v>
      </c>
      <c r="L873" t="s">
        <v>16</v>
      </c>
      <c r="O873"/>
    </row>
    <row r="874" spans="1:15" x14ac:dyDescent="0.3">
      <c r="A874" t="s">
        <v>898</v>
      </c>
      <c r="B874" s="1">
        <v>45955</v>
      </c>
      <c r="C874" t="s">
        <v>21</v>
      </c>
      <c r="D874" t="s">
        <v>13</v>
      </c>
      <c r="E874" s="2">
        <v>25.91</v>
      </c>
      <c r="F874" s="3">
        <v>77.73</v>
      </c>
      <c r="G874" s="4">
        <v>433.96</v>
      </c>
      <c r="H874">
        <v>1.2</v>
      </c>
      <c r="I874" s="4">
        <v>520.75</v>
      </c>
      <c r="J874">
        <v>4.8</v>
      </c>
      <c r="K874" t="s">
        <v>30</v>
      </c>
      <c r="L874" t="s">
        <v>28</v>
      </c>
      <c r="O874"/>
    </row>
    <row r="875" spans="1:15" x14ac:dyDescent="0.3">
      <c r="A875" t="s">
        <v>899</v>
      </c>
      <c r="B875" s="1">
        <v>45730</v>
      </c>
      <c r="C875" t="s">
        <v>13</v>
      </c>
      <c r="D875" t="s">
        <v>21</v>
      </c>
      <c r="E875" s="2">
        <v>23.04</v>
      </c>
      <c r="F875" s="3">
        <v>60.48</v>
      </c>
      <c r="G875" s="4">
        <v>325.02</v>
      </c>
      <c r="H875">
        <v>1.5</v>
      </c>
      <c r="I875" s="4">
        <v>487.53</v>
      </c>
      <c r="J875">
        <v>4.2</v>
      </c>
      <c r="K875" t="s">
        <v>15</v>
      </c>
      <c r="L875" t="s">
        <v>16</v>
      </c>
      <c r="O875"/>
    </row>
    <row r="876" spans="1:15" x14ac:dyDescent="0.3">
      <c r="A876" t="s">
        <v>900</v>
      </c>
      <c r="B876" s="1">
        <v>45977</v>
      </c>
      <c r="C876" t="s">
        <v>21</v>
      </c>
      <c r="D876" t="s">
        <v>13</v>
      </c>
      <c r="E876" s="2">
        <v>19.72</v>
      </c>
      <c r="F876" s="3">
        <v>76.3</v>
      </c>
      <c r="G876" s="4">
        <v>257.02999999999997</v>
      </c>
      <c r="H876">
        <v>1.5</v>
      </c>
      <c r="I876" s="4">
        <v>385.54</v>
      </c>
      <c r="J876">
        <v>4.8</v>
      </c>
      <c r="K876" t="s">
        <v>33</v>
      </c>
      <c r="L876" t="s">
        <v>28</v>
      </c>
      <c r="O876"/>
    </row>
    <row r="877" spans="1:15" x14ac:dyDescent="0.3">
      <c r="A877" t="s">
        <v>901</v>
      </c>
      <c r="B877" s="1">
        <v>45880</v>
      </c>
      <c r="C877" t="s">
        <v>14</v>
      </c>
      <c r="D877" t="s">
        <v>21</v>
      </c>
      <c r="E877" s="2">
        <v>21.06</v>
      </c>
      <c r="F877" s="3">
        <v>82.79</v>
      </c>
      <c r="G877" s="4">
        <v>293.48</v>
      </c>
      <c r="H877">
        <v>1</v>
      </c>
      <c r="I877" s="4">
        <v>293.48</v>
      </c>
      <c r="J877">
        <v>3.4</v>
      </c>
      <c r="K877" t="s">
        <v>36</v>
      </c>
      <c r="L877" t="s">
        <v>16</v>
      </c>
      <c r="O877"/>
    </row>
    <row r="878" spans="1:15" x14ac:dyDescent="0.3">
      <c r="A878" t="s">
        <v>902</v>
      </c>
      <c r="B878" s="1">
        <v>45810</v>
      </c>
      <c r="C878" t="s">
        <v>21</v>
      </c>
      <c r="D878" t="s">
        <v>25</v>
      </c>
      <c r="E878" s="2">
        <v>22.15</v>
      </c>
      <c r="F878" s="3">
        <v>69.78</v>
      </c>
      <c r="G878" s="4">
        <v>267.31</v>
      </c>
      <c r="H878">
        <v>1.2</v>
      </c>
      <c r="I878" s="4">
        <v>320.77</v>
      </c>
      <c r="J878">
        <v>3.7</v>
      </c>
      <c r="K878" t="s">
        <v>33</v>
      </c>
      <c r="L878" t="s">
        <v>16</v>
      </c>
      <c r="O878"/>
    </row>
    <row r="879" spans="1:15" x14ac:dyDescent="0.3">
      <c r="A879" t="s">
        <v>903</v>
      </c>
      <c r="B879" s="1">
        <v>45756</v>
      </c>
      <c r="C879" t="s">
        <v>25</v>
      </c>
      <c r="D879" t="s">
        <v>13</v>
      </c>
      <c r="E879" s="2">
        <v>13.4</v>
      </c>
      <c r="F879" s="3">
        <v>44.09</v>
      </c>
      <c r="G879" s="4">
        <v>233.86</v>
      </c>
      <c r="H879">
        <v>1.5</v>
      </c>
      <c r="I879" s="4">
        <v>350.79</v>
      </c>
      <c r="J879">
        <v>3.8</v>
      </c>
      <c r="K879" t="s">
        <v>15</v>
      </c>
      <c r="L879" t="s">
        <v>26</v>
      </c>
      <c r="O879"/>
    </row>
    <row r="880" spans="1:15" x14ac:dyDescent="0.3">
      <c r="A880" t="s">
        <v>904</v>
      </c>
      <c r="B880" s="1">
        <v>45975</v>
      </c>
      <c r="C880" t="s">
        <v>13</v>
      </c>
      <c r="D880" t="s">
        <v>25</v>
      </c>
      <c r="E880" s="2">
        <v>23.72</v>
      </c>
      <c r="F880" s="3">
        <v>90.57</v>
      </c>
      <c r="G880" s="4">
        <v>325.02</v>
      </c>
      <c r="H880">
        <v>1</v>
      </c>
      <c r="I880" s="4">
        <v>325.02</v>
      </c>
      <c r="J880">
        <v>3.6</v>
      </c>
      <c r="K880" t="s">
        <v>15</v>
      </c>
      <c r="L880" t="s">
        <v>28</v>
      </c>
      <c r="O880"/>
    </row>
    <row r="881" spans="1:15" x14ac:dyDescent="0.3">
      <c r="A881" t="s">
        <v>905</v>
      </c>
      <c r="B881" s="1">
        <v>45692</v>
      </c>
      <c r="C881" t="s">
        <v>25</v>
      </c>
      <c r="D881" t="s">
        <v>25</v>
      </c>
      <c r="E881" s="2">
        <v>25.54</v>
      </c>
      <c r="F881" s="3">
        <v>60.42</v>
      </c>
      <c r="G881" s="4">
        <v>499.64</v>
      </c>
      <c r="H881">
        <v>1.5</v>
      </c>
      <c r="I881" s="4">
        <v>749.46</v>
      </c>
      <c r="J881">
        <v>3.1</v>
      </c>
      <c r="K881" t="s">
        <v>30</v>
      </c>
      <c r="L881" t="s">
        <v>19</v>
      </c>
      <c r="O881"/>
    </row>
    <row r="882" spans="1:15" x14ac:dyDescent="0.3">
      <c r="A882" t="s">
        <v>906</v>
      </c>
      <c r="B882" s="1">
        <v>45962</v>
      </c>
      <c r="C882" t="s">
        <v>21</v>
      </c>
      <c r="D882" t="s">
        <v>14</v>
      </c>
      <c r="E882" s="2">
        <v>2.81</v>
      </c>
      <c r="F882" s="3">
        <v>8.35</v>
      </c>
      <c r="G882" s="4">
        <v>31.16</v>
      </c>
      <c r="H882">
        <v>2</v>
      </c>
      <c r="I882" s="4">
        <v>62.32</v>
      </c>
      <c r="J882">
        <v>3.2</v>
      </c>
      <c r="K882" t="s">
        <v>30</v>
      </c>
      <c r="L882" t="s">
        <v>28</v>
      </c>
      <c r="O882"/>
    </row>
    <row r="883" spans="1:15" x14ac:dyDescent="0.3">
      <c r="A883" t="s">
        <v>907</v>
      </c>
      <c r="B883" s="1">
        <v>45737</v>
      </c>
      <c r="C883" t="s">
        <v>25</v>
      </c>
      <c r="D883" t="s">
        <v>25</v>
      </c>
      <c r="E883" s="2">
        <v>24.46</v>
      </c>
      <c r="F883" s="3">
        <v>91.75</v>
      </c>
      <c r="G883" s="4">
        <v>318.58</v>
      </c>
      <c r="H883">
        <v>1</v>
      </c>
      <c r="I883" s="4">
        <v>318.58</v>
      </c>
      <c r="J883">
        <v>4.7</v>
      </c>
      <c r="K883" t="s">
        <v>30</v>
      </c>
      <c r="L883" t="s">
        <v>28</v>
      </c>
      <c r="O883"/>
    </row>
    <row r="884" spans="1:15" x14ac:dyDescent="0.3">
      <c r="A884" t="s">
        <v>908</v>
      </c>
      <c r="B884" s="1">
        <v>45667</v>
      </c>
      <c r="C884" t="s">
        <v>21</v>
      </c>
      <c r="D884" t="s">
        <v>13</v>
      </c>
      <c r="E884" s="2">
        <v>23.17</v>
      </c>
      <c r="F884" s="3">
        <v>53.14</v>
      </c>
      <c r="G884" s="4">
        <v>391.65</v>
      </c>
      <c r="H884">
        <v>1.5</v>
      </c>
      <c r="I884" s="4">
        <v>587.47</v>
      </c>
      <c r="J884">
        <v>4.7</v>
      </c>
      <c r="K884" t="s">
        <v>18</v>
      </c>
      <c r="L884" t="s">
        <v>28</v>
      </c>
      <c r="O884"/>
    </row>
    <row r="885" spans="1:15" x14ac:dyDescent="0.3">
      <c r="A885" t="s">
        <v>909</v>
      </c>
      <c r="B885" s="1">
        <v>45783</v>
      </c>
      <c r="C885" t="s">
        <v>14</v>
      </c>
      <c r="D885" t="s">
        <v>21</v>
      </c>
      <c r="E885" s="2">
        <v>10.62</v>
      </c>
      <c r="F885" s="3">
        <v>31.87</v>
      </c>
      <c r="G885" s="4">
        <v>174.78</v>
      </c>
      <c r="H885">
        <v>1.2</v>
      </c>
      <c r="I885" s="4">
        <v>209.74</v>
      </c>
      <c r="J885">
        <v>3.5</v>
      </c>
      <c r="K885" t="s">
        <v>15</v>
      </c>
      <c r="L885" t="s">
        <v>16</v>
      </c>
      <c r="O885"/>
    </row>
    <row r="886" spans="1:15" x14ac:dyDescent="0.3">
      <c r="A886" t="s">
        <v>910</v>
      </c>
      <c r="B886" s="1">
        <v>45941</v>
      </c>
      <c r="C886" t="s">
        <v>25</v>
      </c>
      <c r="D886" t="s">
        <v>22</v>
      </c>
      <c r="E886" s="2">
        <v>24.27</v>
      </c>
      <c r="F886" s="3">
        <v>90.35</v>
      </c>
      <c r="G886" s="4">
        <v>276.02</v>
      </c>
      <c r="H886">
        <v>1.2</v>
      </c>
      <c r="I886" s="4">
        <v>331.22</v>
      </c>
      <c r="J886">
        <v>3.2</v>
      </c>
      <c r="K886" t="s">
        <v>36</v>
      </c>
      <c r="L886" t="s">
        <v>19</v>
      </c>
      <c r="O886"/>
    </row>
    <row r="887" spans="1:15" x14ac:dyDescent="0.3">
      <c r="A887" t="s">
        <v>911</v>
      </c>
      <c r="B887" s="1">
        <v>45711</v>
      </c>
      <c r="C887" t="s">
        <v>21</v>
      </c>
      <c r="D887" t="s">
        <v>21</v>
      </c>
      <c r="E887" s="2">
        <v>20.21</v>
      </c>
      <c r="F887" s="3">
        <v>70.81</v>
      </c>
      <c r="G887" s="4">
        <v>366.19</v>
      </c>
      <c r="H887">
        <v>2</v>
      </c>
      <c r="I887" s="4">
        <v>732.38</v>
      </c>
      <c r="J887">
        <v>3.6</v>
      </c>
      <c r="K887" t="s">
        <v>15</v>
      </c>
      <c r="L887" t="s">
        <v>26</v>
      </c>
      <c r="O887"/>
    </row>
    <row r="888" spans="1:15" x14ac:dyDescent="0.3">
      <c r="A888" t="s">
        <v>912</v>
      </c>
      <c r="B888" s="1">
        <v>45871</v>
      </c>
      <c r="C888" t="s">
        <v>25</v>
      </c>
      <c r="D888" t="s">
        <v>25</v>
      </c>
      <c r="E888" s="2">
        <v>25.9</v>
      </c>
      <c r="F888" s="3">
        <v>58.62</v>
      </c>
      <c r="G888" s="4">
        <v>441.61</v>
      </c>
      <c r="H888">
        <v>1.5</v>
      </c>
      <c r="I888" s="4">
        <v>662.42</v>
      </c>
      <c r="J888">
        <v>3.2</v>
      </c>
      <c r="K888" t="s">
        <v>30</v>
      </c>
      <c r="L888" t="s">
        <v>19</v>
      </c>
      <c r="O888"/>
    </row>
    <row r="889" spans="1:15" x14ac:dyDescent="0.3">
      <c r="A889" t="s">
        <v>913</v>
      </c>
      <c r="B889" s="1">
        <v>45853</v>
      </c>
      <c r="C889" t="s">
        <v>21</v>
      </c>
      <c r="D889" t="s">
        <v>13</v>
      </c>
      <c r="E889" s="2">
        <v>19.12</v>
      </c>
      <c r="F889" s="3">
        <v>62.65</v>
      </c>
      <c r="G889" s="4">
        <v>249.93</v>
      </c>
      <c r="H889">
        <v>1.5</v>
      </c>
      <c r="I889" s="4">
        <v>374.9</v>
      </c>
      <c r="J889">
        <v>4.4000000000000004</v>
      </c>
      <c r="K889" t="s">
        <v>30</v>
      </c>
      <c r="L889" t="s">
        <v>28</v>
      </c>
      <c r="O889"/>
    </row>
    <row r="890" spans="1:15" x14ac:dyDescent="0.3">
      <c r="A890" t="s">
        <v>914</v>
      </c>
      <c r="B890" s="1">
        <v>45876</v>
      </c>
      <c r="C890" t="s">
        <v>25</v>
      </c>
      <c r="D890" t="s">
        <v>13</v>
      </c>
      <c r="E890" s="2">
        <v>7.31</v>
      </c>
      <c r="F890" s="3">
        <v>15.91</v>
      </c>
      <c r="G890" s="4">
        <v>87.32</v>
      </c>
      <c r="H890">
        <v>1.5</v>
      </c>
      <c r="I890" s="4">
        <v>130.97999999999999</v>
      </c>
      <c r="J890">
        <v>4.7</v>
      </c>
      <c r="K890" t="s">
        <v>33</v>
      </c>
      <c r="L890" t="s">
        <v>28</v>
      </c>
      <c r="O890"/>
    </row>
    <row r="891" spans="1:15" x14ac:dyDescent="0.3">
      <c r="A891" t="s">
        <v>915</v>
      </c>
      <c r="B891" s="1">
        <v>45835</v>
      </c>
      <c r="C891" t="s">
        <v>21</v>
      </c>
      <c r="D891" t="s">
        <v>22</v>
      </c>
      <c r="E891" s="2">
        <v>12.65</v>
      </c>
      <c r="F891" s="3">
        <v>39.92</v>
      </c>
      <c r="G891" s="4">
        <v>165.45</v>
      </c>
      <c r="H891">
        <v>1</v>
      </c>
      <c r="I891" s="4">
        <v>165.45</v>
      </c>
      <c r="J891">
        <v>3.9</v>
      </c>
      <c r="K891" t="s">
        <v>33</v>
      </c>
      <c r="L891" t="s">
        <v>28</v>
      </c>
      <c r="O891"/>
    </row>
    <row r="892" spans="1:15" x14ac:dyDescent="0.3">
      <c r="A892" t="s">
        <v>916</v>
      </c>
      <c r="B892" s="1">
        <v>45705</v>
      </c>
      <c r="C892" t="s">
        <v>14</v>
      </c>
      <c r="D892" t="s">
        <v>13</v>
      </c>
      <c r="E892" s="2">
        <v>25.06</v>
      </c>
      <c r="F892" s="3">
        <v>85.67</v>
      </c>
      <c r="G892" s="4">
        <v>277.01</v>
      </c>
      <c r="H892">
        <v>2</v>
      </c>
      <c r="I892" s="4">
        <v>554.02</v>
      </c>
      <c r="J892">
        <v>3.9</v>
      </c>
      <c r="K892" t="s">
        <v>30</v>
      </c>
      <c r="L892" t="s">
        <v>19</v>
      </c>
      <c r="O892"/>
    </row>
    <row r="893" spans="1:15" x14ac:dyDescent="0.3">
      <c r="A893" t="s">
        <v>917</v>
      </c>
      <c r="B893" s="1">
        <v>45910</v>
      </c>
      <c r="C893" t="s">
        <v>25</v>
      </c>
      <c r="D893" t="s">
        <v>13</v>
      </c>
      <c r="E893" s="2">
        <v>27.74</v>
      </c>
      <c r="F893" s="3">
        <v>63.36</v>
      </c>
      <c r="G893" s="4">
        <v>361.8</v>
      </c>
      <c r="H893">
        <v>2</v>
      </c>
      <c r="I893" s="4">
        <v>723.6</v>
      </c>
      <c r="J893">
        <v>3.2</v>
      </c>
      <c r="K893" t="s">
        <v>36</v>
      </c>
      <c r="L893" t="s">
        <v>16</v>
      </c>
      <c r="O893"/>
    </row>
    <row r="894" spans="1:15" x14ac:dyDescent="0.3">
      <c r="A894" t="s">
        <v>918</v>
      </c>
      <c r="B894" s="1">
        <v>45707</v>
      </c>
      <c r="C894" t="s">
        <v>14</v>
      </c>
      <c r="D894" t="s">
        <v>13</v>
      </c>
      <c r="E894" s="2">
        <v>9.8800000000000008</v>
      </c>
      <c r="F894" s="3">
        <v>26.2</v>
      </c>
      <c r="G894" s="4">
        <v>105.81</v>
      </c>
      <c r="H894">
        <v>1.5</v>
      </c>
      <c r="I894" s="4">
        <v>158.72</v>
      </c>
      <c r="J894">
        <v>4.4000000000000004</v>
      </c>
      <c r="K894" t="s">
        <v>36</v>
      </c>
      <c r="L894" t="s">
        <v>26</v>
      </c>
      <c r="O894"/>
    </row>
    <row r="895" spans="1:15" x14ac:dyDescent="0.3">
      <c r="A895" t="s">
        <v>919</v>
      </c>
      <c r="B895" s="1">
        <v>45949</v>
      </c>
      <c r="C895" t="s">
        <v>22</v>
      </c>
      <c r="D895" t="s">
        <v>25</v>
      </c>
      <c r="E895" s="2">
        <v>7.76</v>
      </c>
      <c r="F895" s="3">
        <v>26.31</v>
      </c>
      <c r="G895" s="4">
        <v>126.46</v>
      </c>
      <c r="H895">
        <v>1</v>
      </c>
      <c r="I895" s="4">
        <v>126.46</v>
      </c>
      <c r="J895">
        <v>3.6</v>
      </c>
      <c r="K895" t="s">
        <v>15</v>
      </c>
      <c r="L895" t="s">
        <v>26</v>
      </c>
      <c r="O895"/>
    </row>
    <row r="896" spans="1:15" x14ac:dyDescent="0.3">
      <c r="A896" t="s">
        <v>920</v>
      </c>
      <c r="B896" s="1">
        <v>46009</v>
      </c>
      <c r="C896" t="s">
        <v>14</v>
      </c>
      <c r="D896" t="s">
        <v>14</v>
      </c>
      <c r="E896" s="2">
        <v>17.899999999999999</v>
      </c>
      <c r="F896" s="3">
        <v>71.44</v>
      </c>
      <c r="G896" s="4">
        <v>342.16</v>
      </c>
      <c r="H896">
        <v>1</v>
      </c>
      <c r="I896" s="4">
        <v>342.16</v>
      </c>
      <c r="J896">
        <v>5</v>
      </c>
      <c r="K896" t="s">
        <v>15</v>
      </c>
      <c r="L896" t="s">
        <v>19</v>
      </c>
      <c r="O896"/>
    </row>
    <row r="897" spans="1:15" x14ac:dyDescent="0.3">
      <c r="A897" t="s">
        <v>921</v>
      </c>
      <c r="B897" s="1">
        <v>45736</v>
      </c>
      <c r="C897" t="s">
        <v>21</v>
      </c>
      <c r="D897" t="s">
        <v>21</v>
      </c>
      <c r="E897" s="2">
        <v>11.36</v>
      </c>
      <c r="F897" s="3">
        <v>30.54</v>
      </c>
      <c r="G897" s="4">
        <v>172.73</v>
      </c>
      <c r="H897">
        <v>1.2</v>
      </c>
      <c r="I897" s="4">
        <v>207.28</v>
      </c>
      <c r="J897">
        <v>3.9</v>
      </c>
      <c r="K897" t="s">
        <v>15</v>
      </c>
      <c r="L897" t="s">
        <v>16</v>
      </c>
      <c r="O897"/>
    </row>
    <row r="898" spans="1:15" x14ac:dyDescent="0.3">
      <c r="A898" t="s">
        <v>922</v>
      </c>
      <c r="B898" s="1">
        <v>45849</v>
      </c>
      <c r="C898" t="s">
        <v>13</v>
      </c>
      <c r="D898" t="s">
        <v>14</v>
      </c>
      <c r="E898" s="2">
        <v>15.72</v>
      </c>
      <c r="F898" s="3">
        <v>35.79</v>
      </c>
      <c r="G898" s="4">
        <v>311.69</v>
      </c>
      <c r="H898">
        <v>1.2</v>
      </c>
      <c r="I898" s="4">
        <v>374.03</v>
      </c>
      <c r="J898">
        <v>3.9</v>
      </c>
      <c r="K898" t="s">
        <v>33</v>
      </c>
      <c r="L898" t="s">
        <v>19</v>
      </c>
      <c r="O898"/>
    </row>
    <row r="899" spans="1:15" x14ac:dyDescent="0.3">
      <c r="A899" t="s">
        <v>923</v>
      </c>
      <c r="B899" s="1">
        <v>46014</v>
      </c>
      <c r="C899" t="s">
        <v>14</v>
      </c>
      <c r="D899" t="s">
        <v>21</v>
      </c>
      <c r="E899" s="2">
        <v>20.23</v>
      </c>
      <c r="F899" s="3">
        <v>64.55</v>
      </c>
      <c r="G899" s="4">
        <v>286.27999999999997</v>
      </c>
      <c r="H899">
        <v>1</v>
      </c>
      <c r="I899" s="4">
        <v>286.27999999999997</v>
      </c>
      <c r="J899">
        <v>3.8</v>
      </c>
      <c r="K899" t="s">
        <v>33</v>
      </c>
      <c r="L899" t="s">
        <v>19</v>
      </c>
      <c r="O899"/>
    </row>
    <row r="900" spans="1:15" x14ac:dyDescent="0.3">
      <c r="A900" t="s">
        <v>924</v>
      </c>
      <c r="B900" s="1">
        <v>45679</v>
      </c>
      <c r="C900" t="s">
        <v>25</v>
      </c>
      <c r="D900" t="s">
        <v>14</v>
      </c>
      <c r="E900" s="2">
        <v>6.68</v>
      </c>
      <c r="F900" s="3">
        <v>24.32</v>
      </c>
      <c r="G900" s="4">
        <v>110.14</v>
      </c>
      <c r="H900">
        <v>1</v>
      </c>
      <c r="I900" s="4">
        <v>110.14</v>
      </c>
      <c r="J900">
        <v>3.3</v>
      </c>
      <c r="K900" t="s">
        <v>15</v>
      </c>
      <c r="L900" t="s">
        <v>19</v>
      </c>
      <c r="O900"/>
    </row>
    <row r="901" spans="1:15" x14ac:dyDescent="0.3">
      <c r="A901" t="s">
        <v>925</v>
      </c>
      <c r="B901" s="1">
        <v>45993</v>
      </c>
      <c r="C901" t="s">
        <v>21</v>
      </c>
      <c r="D901" t="s">
        <v>13</v>
      </c>
      <c r="E901" s="2">
        <v>8.44</v>
      </c>
      <c r="F901" s="3">
        <v>29.58</v>
      </c>
      <c r="G901" s="4">
        <v>127.69</v>
      </c>
      <c r="H901">
        <v>1.2</v>
      </c>
      <c r="I901" s="4">
        <v>153.22999999999999</v>
      </c>
      <c r="J901">
        <v>4.5</v>
      </c>
      <c r="K901" t="s">
        <v>33</v>
      </c>
      <c r="L901" t="s">
        <v>19</v>
      </c>
      <c r="O901"/>
    </row>
    <row r="902" spans="1:15" x14ac:dyDescent="0.3">
      <c r="A902" t="s">
        <v>926</v>
      </c>
      <c r="B902" s="1">
        <v>45738</v>
      </c>
      <c r="C902" t="s">
        <v>21</v>
      </c>
      <c r="D902" t="s">
        <v>22</v>
      </c>
      <c r="E902" s="2">
        <v>29.88</v>
      </c>
      <c r="F902" s="3">
        <v>85.77</v>
      </c>
      <c r="G902" s="4">
        <v>573.9</v>
      </c>
      <c r="H902">
        <v>2</v>
      </c>
      <c r="I902" s="4">
        <v>1147.8</v>
      </c>
      <c r="J902">
        <v>3.8</v>
      </c>
      <c r="K902" t="s">
        <v>18</v>
      </c>
      <c r="L902" t="s">
        <v>28</v>
      </c>
      <c r="O902"/>
    </row>
    <row r="903" spans="1:15" x14ac:dyDescent="0.3">
      <c r="A903" t="s">
        <v>927</v>
      </c>
      <c r="B903" s="1">
        <v>45822</v>
      </c>
      <c r="C903" t="s">
        <v>14</v>
      </c>
      <c r="D903" t="s">
        <v>25</v>
      </c>
      <c r="E903" s="2">
        <v>6.92</v>
      </c>
      <c r="F903" s="3">
        <v>19.63</v>
      </c>
      <c r="G903" s="4">
        <v>84.4</v>
      </c>
      <c r="H903">
        <v>1</v>
      </c>
      <c r="I903" s="4">
        <v>84.4</v>
      </c>
      <c r="J903">
        <v>4.0999999999999996</v>
      </c>
      <c r="K903" t="s">
        <v>36</v>
      </c>
      <c r="L903" t="s">
        <v>26</v>
      </c>
      <c r="O903"/>
    </row>
    <row r="904" spans="1:15" x14ac:dyDescent="0.3">
      <c r="A904" t="s">
        <v>928</v>
      </c>
      <c r="B904" s="1">
        <v>45999</v>
      </c>
      <c r="C904" t="s">
        <v>13</v>
      </c>
      <c r="D904" t="s">
        <v>14</v>
      </c>
      <c r="E904" s="2">
        <v>25.47</v>
      </c>
      <c r="F904" s="3">
        <v>88.75</v>
      </c>
      <c r="G904" s="4">
        <v>297.44</v>
      </c>
      <c r="H904">
        <v>1.2</v>
      </c>
      <c r="I904" s="4">
        <v>356.93</v>
      </c>
      <c r="J904">
        <v>4.5</v>
      </c>
      <c r="K904" t="s">
        <v>36</v>
      </c>
      <c r="L904" t="s">
        <v>16</v>
      </c>
      <c r="O904"/>
    </row>
    <row r="905" spans="1:15" x14ac:dyDescent="0.3">
      <c r="A905" t="s">
        <v>929</v>
      </c>
      <c r="B905" s="1">
        <v>45754</v>
      </c>
      <c r="C905" t="s">
        <v>21</v>
      </c>
      <c r="D905" t="s">
        <v>25</v>
      </c>
      <c r="E905" s="2">
        <v>22</v>
      </c>
      <c r="F905" s="3">
        <v>84.87</v>
      </c>
      <c r="G905" s="4">
        <v>314.72000000000003</v>
      </c>
      <c r="H905">
        <v>2</v>
      </c>
      <c r="I905" s="4">
        <v>629.44000000000005</v>
      </c>
      <c r="J905">
        <v>3.6</v>
      </c>
      <c r="K905" t="s">
        <v>33</v>
      </c>
      <c r="L905" t="s">
        <v>19</v>
      </c>
      <c r="O905"/>
    </row>
    <row r="906" spans="1:15" x14ac:dyDescent="0.3">
      <c r="A906" t="s">
        <v>930</v>
      </c>
      <c r="B906" s="1">
        <v>45782</v>
      </c>
      <c r="C906" t="s">
        <v>25</v>
      </c>
      <c r="D906" t="s">
        <v>21</v>
      </c>
      <c r="E906" s="2">
        <v>11.12</v>
      </c>
      <c r="F906" s="3">
        <v>30.58</v>
      </c>
      <c r="G906" s="4">
        <v>180.29</v>
      </c>
      <c r="H906">
        <v>2</v>
      </c>
      <c r="I906" s="4">
        <v>360.58</v>
      </c>
      <c r="J906">
        <v>3.5</v>
      </c>
      <c r="K906" t="s">
        <v>36</v>
      </c>
      <c r="L906" t="s">
        <v>26</v>
      </c>
      <c r="O906"/>
    </row>
    <row r="907" spans="1:15" x14ac:dyDescent="0.3">
      <c r="A907" t="s">
        <v>931</v>
      </c>
      <c r="B907" s="1">
        <v>45885</v>
      </c>
      <c r="C907" t="s">
        <v>22</v>
      </c>
      <c r="D907" t="s">
        <v>21</v>
      </c>
      <c r="E907" s="2">
        <v>27.62</v>
      </c>
      <c r="F907" s="3">
        <v>61.21</v>
      </c>
      <c r="G907" s="4">
        <v>340.45</v>
      </c>
      <c r="H907">
        <v>1.2</v>
      </c>
      <c r="I907" s="4">
        <v>408.54</v>
      </c>
      <c r="J907">
        <v>3.4</v>
      </c>
      <c r="K907" t="s">
        <v>18</v>
      </c>
      <c r="L907" t="s">
        <v>26</v>
      </c>
      <c r="O907"/>
    </row>
    <row r="908" spans="1:15" x14ac:dyDescent="0.3">
      <c r="A908" t="s">
        <v>932</v>
      </c>
      <c r="B908" s="1">
        <v>45713</v>
      </c>
      <c r="C908" t="s">
        <v>25</v>
      </c>
      <c r="D908" t="s">
        <v>13</v>
      </c>
      <c r="E908" s="2">
        <v>19.12</v>
      </c>
      <c r="F908" s="3">
        <v>41.34</v>
      </c>
      <c r="G908" s="4">
        <v>277.66000000000003</v>
      </c>
      <c r="H908">
        <v>1</v>
      </c>
      <c r="I908" s="4">
        <v>277.66000000000003</v>
      </c>
      <c r="J908">
        <v>3.9</v>
      </c>
      <c r="K908" t="s">
        <v>36</v>
      </c>
      <c r="L908" t="s">
        <v>28</v>
      </c>
      <c r="O908"/>
    </row>
    <row r="909" spans="1:15" x14ac:dyDescent="0.3">
      <c r="A909" t="s">
        <v>933</v>
      </c>
      <c r="B909" s="1">
        <v>45952</v>
      </c>
      <c r="C909" t="s">
        <v>14</v>
      </c>
      <c r="D909" t="s">
        <v>21</v>
      </c>
      <c r="E909" s="2">
        <v>24.64</v>
      </c>
      <c r="F909" s="3">
        <v>92.52</v>
      </c>
      <c r="G909" s="4">
        <v>436.91</v>
      </c>
      <c r="H909">
        <v>1.2</v>
      </c>
      <c r="I909" s="4">
        <v>524.29</v>
      </c>
      <c r="J909">
        <v>3</v>
      </c>
      <c r="K909" t="s">
        <v>36</v>
      </c>
      <c r="L909" t="s">
        <v>28</v>
      </c>
      <c r="O909"/>
    </row>
    <row r="910" spans="1:15" x14ac:dyDescent="0.3">
      <c r="A910" t="s">
        <v>934</v>
      </c>
      <c r="B910" s="1">
        <v>45907</v>
      </c>
      <c r="C910" t="s">
        <v>22</v>
      </c>
      <c r="D910" t="s">
        <v>14</v>
      </c>
      <c r="E910" s="2">
        <v>16.510000000000002</v>
      </c>
      <c r="F910" s="3">
        <v>34.26</v>
      </c>
      <c r="G910" s="4">
        <v>298.51</v>
      </c>
      <c r="H910">
        <v>1.2</v>
      </c>
      <c r="I910" s="4">
        <v>358.21</v>
      </c>
      <c r="J910">
        <v>5</v>
      </c>
      <c r="K910" t="s">
        <v>18</v>
      </c>
      <c r="L910" t="s">
        <v>19</v>
      </c>
      <c r="O910"/>
    </row>
    <row r="911" spans="1:15" x14ac:dyDescent="0.3">
      <c r="A911" t="s">
        <v>935</v>
      </c>
      <c r="B911" s="1">
        <v>45953</v>
      </c>
      <c r="C911" t="s">
        <v>25</v>
      </c>
      <c r="D911" t="s">
        <v>22</v>
      </c>
      <c r="E911" s="2">
        <v>9.1</v>
      </c>
      <c r="F911" s="3">
        <v>32.44</v>
      </c>
      <c r="G911" s="4">
        <v>171.67</v>
      </c>
      <c r="H911">
        <v>1</v>
      </c>
      <c r="I911" s="4">
        <v>171.67</v>
      </c>
      <c r="J911">
        <v>4.7</v>
      </c>
      <c r="K911" t="s">
        <v>30</v>
      </c>
      <c r="L911" t="s">
        <v>28</v>
      </c>
      <c r="O911"/>
    </row>
    <row r="912" spans="1:15" x14ac:dyDescent="0.3">
      <c r="A912" t="s">
        <v>936</v>
      </c>
      <c r="B912" s="1">
        <v>46020</v>
      </c>
      <c r="C912" t="s">
        <v>25</v>
      </c>
      <c r="D912" t="s">
        <v>25</v>
      </c>
      <c r="E912" s="2">
        <v>8.75</v>
      </c>
      <c r="F912" s="3">
        <v>26.86</v>
      </c>
      <c r="G912" s="4">
        <v>162.63999999999999</v>
      </c>
      <c r="H912">
        <v>1.5</v>
      </c>
      <c r="I912" s="4">
        <v>243.96</v>
      </c>
      <c r="J912">
        <v>3.8</v>
      </c>
      <c r="K912" t="s">
        <v>30</v>
      </c>
      <c r="L912" t="s">
        <v>28</v>
      </c>
      <c r="O912"/>
    </row>
    <row r="913" spans="1:15" x14ac:dyDescent="0.3">
      <c r="A913" t="s">
        <v>937</v>
      </c>
      <c r="B913" s="1">
        <v>45841</v>
      </c>
      <c r="C913" t="s">
        <v>21</v>
      </c>
      <c r="D913" t="s">
        <v>13</v>
      </c>
      <c r="E913" s="2">
        <v>24.75</v>
      </c>
      <c r="F913" s="3">
        <v>66.2</v>
      </c>
      <c r="G913" s="4">
        <v>452.31</v>
      </c>
      <c r="H913">
        <v>1.2</v>
      </c>
      <c r="I913" s="4">
        <v>542.77</v>
      </c>
      <c r="J913">
        <v>5</v>
      </c>
      <c r="K913" t="s">
        <v>30</v>
      </c>
      <c r="L913" t="s">
        <v>16</v>
      </c>
      <c r="O913"/>
    </row>
    <row r="914" spans="1:15" x14ac:dyDescent="0.3">
      <c r="A914" t="s">
        <v>938</v>
      </c>
      <c r="B914" s="1">
        <v>45839</v>
      </c>
      <c r="C914" t="s">
        <v>25</v>
      </c>
      <c r="D914" t="s">
        <v>13</v>
      </c>
      <c r="E914" s="2">
        <v>7.99</v>
      </c>
      <c r="F914" s="3">
        <v>19.71</v>
      </c>
      <c r="G914" s="4">
        <v>85.35</v>
      </c>
      <c r="H914">
        <v>1.5</v>
      </c>
      <c r="I914" s="4">
        <v>128.02000000000001</v>
      </c>
      <c r="J914">
        <v>3.9</v>
      </c>
      <c r="K914" t="s">
        <v>15</v>
      </c>
      <c r="L914" t="s">
        <v>16</v>
      </c>
      <c r="O914"/>
    </row>
    <row r="915" spans="1:15" x14ac:dyDescent="0.3">
      <c r="A915" t="s">
        <v>939</v>
      </c>
      <c r="B915" s="1">
        <v>45842</v>
      </c>
      <c r="C915" t="s">
        <v>22</v>
      </c>
      <c r="D915" t="s">
        <v>21</v>
      </c>
      <c r="E915" s="2">
        <v>9.4499999999999993</v>
      </c>
      <c r="F915" s="3">
        <v>26.79</v>
      </c>
      <c r="G915" s="4">
        <v>130.11000000000001</v>
      </c>
      <c r="H915">
        <v>1.2</v>
      </c>
      <c r="I915" s="4">
        <v>156.13</v>
      </c>
      <c r="J915">
        <v>5</v>
      </c>
      <c r="K915" t="s">
        <v>36</v>
      </c>
      <c r="L915" t="s">
        <v>28</v>
      </c>
      <c r="O915"/>
    </row>
    <row r="916" spans="1:15" x14ac:dyDescent="0.3">
      <c r="A916" t="s">
        <v>940</v>
      </c>
      <c r="B916" s="1">
        <v>45783</v>
      </c>
      <c r="C916" t="s">
        <v>21</v>
      </c>
      <c r="D916" t="s">
        <v>21</v>
      </c>
      <c r="E916" s="2">
        <v>15.3</v>
      </c>
      <c r="F916" s="3">
        <v>40.700000000000003</v>
      </c>
      <c r="G916" s="4">
        <v>169.34</v>
      </c>
      <c r="H916">
        <v>1.5</v>
      </c>
      <c r="I916" s="4">
        <v>254.01</v>
      </c>
      <c r="J916">
        <v>3.7</v>
      </c>
      <c r="K916" t="s">
        <v>15</v>
      </c>
      <c r="L916" t="s">
        <v>19</v>
      </c>
      <c r="O916"/>
    </row>
    <row r="917" spans="1:15" x14ac:dyDescent="0.3">
      <c r="A917" t="s">
        <v>941</v>
      </c>
      <c r="B917" s="1">
        <v>45904</v>
      </c>
      <c r="C917" t="s">
        <v>25</v>
      </c>
      <c r="D917" t="s">
        <v>14</v>
      </c>
      <c r="E917" s="2">
        <v>29.82</v>
      </c>
      <c r="F917" s="3">
        <v>78.400000000000006</v>
      </c>
      <c r="G917" s="4">
        <v>499.19</v>
      </c>
      <c r="H917">
        <v>1.5</v>
      </c>
      <c r="I917" s="4">
        <v>748.78</v>
      </c>
      <c r="J917">
        <v>4.5999999999999996</v>
      </c>
      <c r="K917" t="s">
        <v>33</v>
      </c>
      <c r="L917" t="s">
        <v>26</v>
      </c>
      <c r="O917"/>
    </row>
    <row r="918" spans="1:15" x14ac:dyDescent="0.3">
      <c r="A918" t="s">
        <v>942</v>
      </c>
      <c r="B918" s="1">
        <v>45935</v>
      </c>
      <c r="C918" t="s">
        <v>13</v>
      </c>
      <c r="D918" t="s">
        <v>14</v>
      </c>
      <c r="E918" s="2">
        <v>21.82</v>
      </c>
      <c r="F918" s="3">
        <v>56.02</v>
      </c>
      <c r="G918" s="4">
        <v>289.39</v>
      </c>
      <c r="H918">
        <v>1.2</v>
      </c>
      <c r="I918" s="4">
        <v>347.27</v>
      </c>
      <c r="J918">
        <v>4.8</v>
      </c>
      <c r="K918" t="s">
        <v>18</v>
      </c>
      <c r="L918" t="s">
        <v>19</v>
      </c>
      <c r="O918"/>
    </row>
    <row r="919" spans="1:15" x14ac:dyDescent="0.3">
      <c r="A919" t="s">
        <v>943</v>
      </c>
      <c r="B919" s="1">
        <v>45965</v>
      </c>
      <c r="C919" t="s">
        <v>13</v>
      </c>
      <c r="D919" t="s">
        <v>13</v>
      </c>
      <c r="E919" s="2">
        <v>26.07</v>
      </c>
      <c r="F919" s="3">
        <v>58.33</v>
      </c>
      <c r="G919" s="4">
        <v>305.51</v>
      </c>
      <c r="H919">
        <v>1</v>
      </c>
      <c r="I919" s="4">
        <v>305.51</v>
      </c>
      <c r="J919">
        <v>3.5</v>
      </c>
      <c r="K919" t="s">
        <v>18</v>
      </c>
      <c r="L919" t="s">
        <v>19</v>
      </c>
      <c r="O919"/>
    </row>
    <row r="920" spans="1:15" x14ac:dyDescent="0.3">
      <c r="A920" t="s">
        <v>944</v>
      </c>
      <c r="B920" s="1">
        <v>45673</v>
      </c>
      <c r="C920" t="s">
        <v>13</v>
      </c>
      <c r="D920" t="s">
        <v>22</v>
      </c>
      <c r="E920" s="2">
        <v>5.9</v>
      </c>
      <c r="F920" s="3">
        <v>21.88</v>
      </c>
      <c r="G920" s="4">
        <v>59.78</v>
      </c>
      <c r="H920">
        <v>2</v>
      </c>
      <c r="I920" s="4">
        <v>119.56</v>
      </c>
      <c r="J920">
        <v>3.2</v>
      </c>
      <c r="K920" t="s">
        <v>33</v>
      </c>
      <c r="L920" t="s">
        <v>28</v>
      </c>
      <c r="O920"/>
    </row>
    <row r="921" spans="1:15" x14ac:dyDescent="0.3">
      <c r="A921" t="s">
        <v>945</v>
      </c>
      <c r="B921" s="1">
        <v>45757</v>
      </c>
      <c r="C921" t="s">
        <v>25</v>
      </c>
      <c r="D921" t="s">
        <v>13</v>
      </c>
      <c r="E921" s="2">
        <v>28.11</v>
      </c>
      <c r="F921" s="3">
        <v>107.34</v>
      </c>
      <c r="G921" s="4">
        <v>511.5</v>
      </c>
      <c r="H921">
        <v>1.5</v>
      </c>
      <c r="I921" s="4">
        <v>767.25</v>
      </c>
      <c r="J921">
        <v>5</v>
      </c>
      <c r="K921" t="s">
        <v>36</v>
      </c>
      <c r="L921" t="s">
        <v>16</v>
      </c>
      <c r="O921"/>
    </row>
    <row r="922" spans="1:15" x14ac:dyDescent="0.3">
      <c r="A922" t="s">
        <v>946</v>
      </c>
      <c r="B922" s="1">
        <v>45838</v>
      </c>
      <c r="C922" t="s">
        <v>25</v>
      </c>
      <c r="D922" t="s">
        <v>13</v>
      </c>
      <c r="E922" s="2">
        <v>9.24</v>
      </c>
      <c r="F922" s="3">
        <v>23.82</v>
      </c>
      <c r="G922" s="4">
        <v>127.24</v>
      </c>
      <c r="H922">
        <v>2</v>
      </c>
      <c r="I922" s="4">
        <v>254.48</v>
      </c>
      <c r="J922">
        <v>4.5</v>
      </c>
      <c r="K922" t="s">
        <v>30</v>
      </c>
      <c r="L922" t="s">
        <v>19</v>
      </c>
      <c r="O922"/>
    </row>
    <row r="923" spans="1:15" x14ac:dyDescent="0.3">
      <c r="A923" t="s">
        <v>947</v>
      </c>
      <c r="B923" s="1">
        <v>45673</v>
      </c>
      <c r="C923" t="s">
        <v>25</v>
      </c>
      <c r="D923" t="s">
        <v>25</v>
      </c>
      <c r="E923" s="2">
        <v>5.64</v>
      </c>
      <c r="F923" s="3">
        <v>19.079999999999998</v>
      </c>
      <c r="G923" s="4">
        <v>65.849999999999994</v>
      </c>
      <c r="H923">
        <v>1</v>
      </c>
      <c r="I923" s="4">
        <v>65.849999999999994</v>
      </c>
      <c r="J923">
        <v>3.9</v>
      </c>
      <c r="K923" t="s">
        <v>36</v>
      </c>
      <c r="L923" t="s">
        <v>16</v>
      </c>
      <c r="O923"/>
    </row>
    <row r="924" spans="1:15" x14ac:dyDescent="0.3">
      <c r="A924" t="s">
        <v>948</v>
      </c>
      <c r="B924" s="1">
        <v>45797</v>
      </c>
      <c r="C924" t="s">
        <v>21</v>
      </c>
      <c r="D924" t="s">
        <v>13</v>
      </c>
      <c r="E924" s="2">
        <v>24.1</v>
      </c>
      <c r="F924" s="3">
        <v>83.84</v>
      </c>
      <c r="G924" s="4">
        <v>396.57</v>
      </c>
      <c r="H924">
        <v>1.2</v>
      </c>
      <c r="I924" s="4">
        <v>475.88</v>
      </c>
      <c r="J924">
        <v>3.2</v>
      </c>
      <c r="K924" t="s">
        <v>15</v>
      </c>
      <c r="L924" t="s">
        <v>16</v>
      </c>
      <c r="O924"/>
    </row>
    <row r="925" spans="1:15" x14ac:dyDescent="0.3">
      <c r="A925" t="s">
        <v>949</v>
      </c>
      <c r="B925" s="1">
        <v>45715</v>
      </c>
      <c r="C925" t="s">
        <v>14</v>
      </c>
      <c r="D925" t="s">
        <v>14</v>
      </c>
      <c r="E925" s="2">
        <v>3.54</v>
      </c>
      <c r="F925" s="3">
        <v>9.75</v>
      </c>
      <c r="G925" s="4">
        <v>50.04</v>
      </c>
      <c r="H925">
        <v>1.5</v>
      </c>
      <c r="I925" s="4">
        <v>75.06</v>
      </c>
      <c r="J925">
        <v>4.9000000000000004</v>
      </c>
      <c r="K925" t="s">
        <v>36</v>
      </c>
      <c r="L925" t="s">
        <v>26</v>
      </c>
      <c r="O925"/>
    </row>
    <row r="926" spans="1:15" x14ac:dyDescent="0.3">
      <c r="A926" t="s">
        <v>950</v>
      </c>
      <c r="B926" s="1">
        <v>45992</v>
      </c>
      <c r="C926" t="s">
        <v>22</v>
      </c>
      <c r="D926" t="s">
        <v>14</v>
      </c>
      <c r="E926" s="2">
        <v>28.66</v>
      </c>
      <c r="F926" s="3">
        <v>77.52</v>
      </c>
      <c r="G926" s="4">
        <v>298.95</v>
      </c>
      <c r="H926">
        <v>1</v>
      </c>
      <c r="I926" s="4">
        <v>298.95</v>
      </c>
      <c r="J926">
        <v>4.7</v>
      </c>
      <c r="K926" t="s">
        <v>18</v>
      </c>
      <c r="L926" t="s">
        <v>16</v>
      </c>
      <c r="O926"/>
    </row>
    <row r="927" spans="1:15" x14ac:dyDescent="0.3">
      <c r="A927" t="s">
        <v>951</v>
      </c>
      <c r="B927" s="1">
        <v>45876</v>
      </c>
      <c r="C927" t="s">
        <v>25</v>
      </c>
      <c r="D927" t="s">
        <v>25</v>
      </c>
      <c r="E927" s="2">
        <v>28.49</v>
      </c>
      <c r="F927" s="3">
        <v>65.03</v>
      </c>
      <c r="G927" s="4">
        <v>502.43</v>
      </c>
      <c r="H927">
        <v>1</v>
      </c>
      <c r="I927" s="4">
        <v>502.43</v>
      </c>
      <c r="J927">
        <v>4</v>
      </c>
      <c r="K927" t="s">
        <v>18</v>
      </c>
      <c r="L927" t="s">
        <v>19</v>
      </c>
      <c r="O927"/>
    </row>
    <row r="928" spans="1:15" x14ac:dyDescent="0.3">
      <c r="A928" t="s">
        <v>952</v>
      </c>
      <c r="B928" s="1">
        <v>45951</v>
      </c>
      <c r="C928" t="s">
        <v>13</v>
      </c>
      <c r="D928" t="s">
        <v>25</v>
      </c>
      <c r="E928" s="2">
        <v>12.07</v>
      </c>
      <c r="F928" s="3">
        <v>42.85</v>
      </c>
      <c r="G928" s="4">
        <v>162.05000000000001</v>
      </c>
      <c r="H928">
        <v>1.5</v>
      </c>
      <c r="I928" s="4">
        <v>243.08</v>
      </c>
      <c r="J928">
        <v>4.3</v>
      </c>
      <c r="K928" t="s">
        <v>33</v>
      </c>
      <c r="L928" t="s">
        <v>28</v>
      </c>
      <c r="O928"/>
    </row>
    <row r="929" spans="1:15" x14ac:dyDescent="0.3">
      <c r="A929" t="s">
        <v>953</v>
      </c>
      <c r="B929" s="1">
        <v>45691</v>
      </c>
      <c r="C929" t="s">
        <v>14</v>
      </c>
      <c r="D929" t="s">
        <v>22</v>
      </c>
      <c r="E929" s="2">
        <v>14.06</v>
      </c>
      <c r="F929" s="3">
        <v>43.05</v>
      </c>
      <c r="G929" s="4">
        <v>245.45</v>
      </c>
      <c r="H929">
        <v>1.2</v>
      </c>
      <c r="I929" s="4">
        <v>294.54000000000002</v>
      </c>
      <c r="J929">
        <v>4.3</v>
      </c>
      <c r="K929" t="s">
        <v>30</v>
      </c>
      <c r="L929" t="s">
        <v>16</v>
      </c>
      <c r="O929"/>
    </row>
    <row r="930" spans="1:15" x14ac:dyDescent="0.3">
      <c r="A930" t="s">
        <v>954</v>
      </c>
      <c r="B930" s="1">
        <v>45739</v>
      </c>
      <c r="C930" t="s">
        <v>22</v>
      </c>
      <c r="D930" t="s">
        <v>14</v>
      </c>
      <c r="E930" s="2">
        <v>27.8</v>
      </c>
      <c r="F930" s="3">
        <v>101.21</v>
      </c>
      <c r="G930" s="4">
        <v>434.2</v>
      </c>
      <c r="H930">
        <v>2</v>
      </c>
      <c r="I930" s="4">
        <v>868.4</v>
      </c>
      <c r="J930">
        <v>4.3</v>
      </c>
      <c r="K930" t="s">
        <v>15</v>
      </c>
      <c r="L930" t="s">
        <v>26</v>
      </c>
      <c r="O930"/>
    </row>
    <row r="931" spans="1:15" x14ac:dyDescent="0.3">
      <c r="A931" t="s">
        <v>955</v>
      </c>
      <c r="B931" s="1">
        <v>45760</v>
      </c>
      <c r="C931" t="s">
        <v>14</v>
      </c>
      <c r="D931" t="s">
        <v>22</v>
      </c>
      <c r="E931" s="2">
        <v>18.96</v>
      </c>
      <c r="F931" s="3">
        <v>69.2</v>
      </c>
      <c r="G931" s="4">
        <v>320.2</v>
      </c>
      <c r="H931">
        <v>1</v>
      </c>
      <c r="I931" s="4">
        <v>320.2</v>
      </c>
      <c r="J931">
        <v>3.8</v>
      </c>
      <c r="K931" t="s">
        <v>30</v>
      </c>
      <c r="L931" t="s">
        <v>26</v>
      </c>
      <c r="O931"/>
    </row>
    <row r="932" spans="1:15" x14ac:dyDescent="0.3">
      <c r="A932" t="s">
        <v>956</v>
      </c>
      <c r="B932" s="1">
        <v>45866</v>
      </c>
      <c r="C932" t="s">
        <v>21</v>
      </c>
      <c r="D932" t="s">
        <v>13</v>
      </c>
      <c r="E932" s="2">
        <v>13.35</v>
      </c>
      <c r="F932" s="3">
        <v>52.54</v>
      </c>
      <c r="G932" s="4">
        <v>221.31</v>
      </c>
      <c r="H932">
        <v>1.5</v>
      </c>
      <c r="I932" s="4">
        <v>331.96</v>
      </c>
      <c r="J932">
        <v>4.3</v>
      </c>
      <c r="K932" t="s">
        <v>30</v>
      </c>
      <c r="L932" t="s">
        <v>26</v>
      </c>
      <c r="O932"/>
    </row>
    <row r="933" spans="1:15" x14ac:dyDescent="0.3">
      <c r="A933" t="s">
        <v>957</v>
      </c>
      <c r="B933" s="1">
        <v>45713</v>
      </c>
      <c r="C933" t="s">
        <v>22</v>
      </c>
      <c r="D933" t="s">
        <v>22</v>
      </c>
      <c r="E933" s="2">
        <v>18.010000000000002</v>
      </c>
      <c r="F933" s="3">
        <v>54.97</v>
      </c>
      <c r="G933" s="4">
        <v>316.85000000000002</v>
      </c>
      <c r="H933">
        <v>2</v>
      </c>
      <c r="I933" s="4">
        <v>633.70000000000005</v>
      </c>
      <c r="J933">
        <v>3.4</v>
      </c>
      <c r="K933" t="s">
        <v>33</v>
      </c>
      <c r="L933" t="s">
        <v>26</v>
      </c>
      <c r="O933"/>
    </row>
    <row r="934" spans="1:15" x14ac:dyDescent="0.3">
      <c r="A934" t="s">
        <v>958</v>
      </c>
      <c r="B934" s="1">
        <v>45844</v>
      </c>
      <c r="C934" t="s">
        <v>13</v>
      </c>
      <c r="D934" t="s">
        <v>25</v>
      </c>
      <c r="E934" s="2">
        <v>24.23</v>
      </c>
      <c r="F934" s="3">
        <v>57.19</v>
      </c>
      <c r="G934" s="4">
        <v>268.92</v>
      </c>
      <c r="H934">
        <v>1.5</v>
      </c>
      <c r="I934" s="4">
        <v>403.38</v>
      </c>
      <c r="J934">
        <v>3.8</v>
      </c>
      <c r="K934" t="s">
        <v>18</v>
      </c>
      <c r="L934" t="s">
        <v>28</v>
      </c>
      <c r="O934"/>
    </row>
    <row r="935" spans="1:15" x14ac:dyDescent="0.3">
      <c r="A935" t="s">
        <v>959</v>
      </c>
      <c r="B935" s="1">
        <v>45746</v>
      </c>
      <c r="C935" t="s">
        <v>22</v>
      </c>
      <c r="D935" t="s">
        <v>21</v>
      </c>
      <c r="E935" s="2">
        <v>20.83</v>
      </c>
      <c r="F935" s="3">
        <v>42.72</v>
      </c>
      <c r="G935" s="4">
        <v>352.04</v>
      </c>
      <c r="H935">
        <v>1</v>
      </c>
      <c r="I935" s="4">
        <v>352.04</v>
      </c>
      <c r="J935">
        <v>4.7</v>
      </c>
      <c r="K935" t="s">
        <v>18</v>
      </c>
      <c r="L935" t="s">
        <v>26</v>
      </c>
      <c r="O935"/>
    </row>
    <row r="936" spans="1:15" x14ac:dyDescent="0.3">
      <c r="A936" t="s">
        <v>960</v>
      </c>
      <c r="B936" s="1">
        <v>45682</v>
      </c>
      <c r="C936" t="s">
        <v>25</v>
      </c>
      <c r="D936" t="s">
        <v>13</v>
      </c>
      <c r="E936" s="2">
        <v>18.68</v>
      </c>
      <c r="F936" s="3">
        <v>46.36</v>
      </c>
      <c r="G936" s="4">
        <v>259.06</v>
      </c>
      <c r="H936">
        <v>1</v>
      </c>
      <c r="I936" s="4">
        <v>259.06</v>
      </c>
      <c r="J936">
        <v>4.0999999999999996</v>
      </c>
      <c r="K936" t="s">
        <v>30</v>
      </c>
      <c r="L936" t="s">
        <v>19</v>
      </c>
      <c r="O936"/>
    </row>
    <row r="937" spans="1:15" x14ac:dyDescent="0.3">
      <c r="A937" t="s">
        <v>961</v>
      </c>
      <c r="B937" s="1">
        <v>45777</v>
      </c>
      <c r="C937" t="s">
        <v>22</v>
      </c>
      <c r="D937" t="s">
        <v>22</v>
      </c>
      <c r="E937" s="2">
        <v>16.78</v>
      </c>
      <c r="F937" s="3">
        <v>41.33</v>
      </c>
      <c r="G937" s="4">
        <v>310.25</v>
      </c>
      <c r="H937">
        <v>2</v>
      </c>
      <c r="I937" s="4">
        <v>620.5</v>
      </c>
      <c r="J937">
        <v>4</v>
      </c>
      <c r="K937" t="s">
        <v>15</v>
      </c>
      <c r="L937" t="s">
        <v>26</v>
      </c>
      <c r="O937"/>
    </row>
    <row r="938" spans="1:15" x14ac:dyDescent="0.3">
      <c r="A938" t="s">
        <v>962</v>
      </c>
      <c r="B938" s="1">
        <v>45975</v>
      </c>
      <c r="C938" t="s">
        <v>13</v>
      </c>
      <c r="D938" t="s">
        <v>14</v>
      </c>
      <c r="E938" s="2">
        <v>24.56</v>
      </c>
      <c r="F938" s="3">
        <v>65.959999999999994</v>
      </c>
      <c r="G938" s="4">
        <v>272.98</v>
      </c>
      <c r="H938">
        <v>1.2</v>
      </c>
      <c r="I938" s="4">
        <v>327.58</v>
      </c>
      <c r="J938">
        <v>4.9000000000000004</v>
      </c>
      <c r="K938" t="s">
        <v>18</v>
      </c>
      <c r="L938" t="s">
        <v>26</v>
      </c>
      <c r="O938"/>
    </row>
    <row r="939" spans="1:15" x14ac:dyDescent="0.3">
      <c r="A939" t="s">
        <v>963</v>
      </c>
      <c r="B939" s="1">
        <v>45825</v>
      </c>
      <c r="C939" t="s">
        <v>21</v>
      </c>
      <c r="D939" t="s">
        <v>22</v>
      </c>
      <c r="E939" s="2">
        <v>21.73</v>
      </c>
      <c r="F939" s="3">
        <v>53.9</v>
      </c>
      <c r="G939" s="4">
        <v>313.73</v>
      </c>
      <c r="H939">
        <v>1</v>
      </c>
      <c r="I939" s="4">
        <v>313.73</v>
      </c>
      <c r="J939">
        <v>4.0999999999999996</v>
      </c>
      <c r="K939" t="s">
        <v>30</v>
      </c>
      <c r="L939" t="s">
        <v>19</v>
      </c>
      <c r="O939"/>
    </row>
    <row r="940" spans="1:15" x14ac:dyDescent="0.3">
      <c r="A940" t="s">
        <v>964</v>
      </c>
      <c r="B940" s="1">
        <v>46022</v>
      </c>
      <c r="C940" t="s">
        <v>22</v>
      </c>
      <c r="D940" t="s">
        <v>14</v>
      </c>
      <c r="E940" s="2">
        <v>26.42</v>
      </c>
      <c r="F940" s="3">
        <v>91.35</v>
      </c>
      <c r="G940" s="4">
        <v>343.85</v>
      </c>
      <c r="H940">
        <v>1</v>
      </c>
      <c r="I940" s="4">
        <v>343.85</v>
      </c>
      <c r="J940">
        <v>3.7</v>
      </c>
      <c r="K940" t="s">
        <v>36</v>
      </c>
      <c r="L940" t="s">
        <v>28</v>
      </c>
      <c r="O940"/>
    </row>
    <row r="941" spans="1:15" x14ac:dyDescent="0.3">
      <c r="A941" t="s">
        <v>965</v>
      </c>
      <c r="B941" s="1">
        <v>45730</v>
      </c>
      <c r="C941" t="s">
        <v>13</v>
      </c>
      <c r="D941" t="s">
        <v>22</v>
      </c>
      <c r="E941" s="2">
        <v>26.82</v>
      </c>
      <c r="F941" s="3">
        <v>59.8</v>
      </c>
      <c r="G941" s="4">
        <v>269.23</v>
      </c>
      <c r="H941">
        <v>1.5</v>
      </c>
      <c r="I941" s="4">
        <v>403.84</v>
      </c>
      <c r="J941">
        <v>4.5</v>
      </c>
      <c r="K941" t="s">
        <v>36</v>
      </c>
      <c r="L941" t="s">
        <v>28</v>
      </c>
      <c r="O941"/>
    </row>
    <row r="942" spans="1:15" x14ac:dyDescent="0.3">
      <c r="A942" t="s">
        <v>966</v>
      </c>
      <c r="B942" s="1">
        <v>45704</v>
      </c>
      <c r="C942" t="s">
        <v>21</v>
      </c>
      <c r="D942" t="s">
        <v>21</v>
      </c>
      <c r="E942" s="2">
        <v>26.55</v>
      </c>
      <c r="F942" s="3">
        <v>55.73</v>
      </c>
      <c r="G942" s="4">
        <v>333.75</v>
      </c>
      <c r="H942">
        <v>1.5</v>
      </c>
      <c r="I942" s="4">
        <v>500.62</v>
      </c>
      <c r="J942">
        <v>3.4</v>
      </c>
      <c r="K942" t="s">
        <v>18</v>
      </c>
      <c r="L942" t="s">
        <v>26</v>
      </c>
      <c r="O942"/>
    </row>
    <row r="943" spans="1:15" x14ac:dyDescent="0.3">
      <c r="A943" t="s">
        <v>967</v>
      </c>
      <c r="B943" s="1">
        <v>45904</v>
      </c>
      <c r="C943" t="s">
        <v>25</v>
      </c>
      <c r="D943" t="s">
        <v>13</v>
      </c>
      <c r="E943" s="2">
        <v>22.57</v>
      </c>
      <c r="F943" s="3">
        <v>86.63</v>
      </c>
      <c r="G943" s="4">
        <v>321.33999999999997</v>
      </c>
      <c r="H943">
        <v>1.2</v>
      </c>
      <c r="I943" s="4">
        <v>385.61</v>
      </c>
      <c r="J943">
        <v>3.5</v>
      </c>
      <c r="K943" t="s">
        <v>30</v>
      </c>
      <c r="L943" t="s">
        <v>19</v>
      </c>
      <c r="O943"/>
    </row>
    <row r="944" spans="1:15" x14ac:dyDescent="0.3">
      <c r="A944" t="s">
        <v>968</v>
      </c>
      <c r="B944" s="1">
        <v>45995</v>
      </c>
      <c r="C944" t="s">
        <v>25</v>
      </c>
      <c r="D944" t="s">
        <v>14</v>
      </c>
      <c r="E944" s="2">
        <v>25.05</v>
      </c>
      <c r="F944" s="3">
        <v>59.64</v>
      </c>
      <c r="G944" s="4">
        <v>480.26</v>
      </c>
      <c r="H944">
        <v>1.5</v>
      </c>
      <c r="I944" s="4">
        <v>720.39</v>
      </c>
      <c r="J944">
        <v>4.0999999999999996</v>
      </c>
      <c r="K944" t="s">
        <v>18</v>
      </c>
      <c r="L944" t="s">
        <v>16</v>
      </c>
      <c r="O944"/>
    </row>
    <row r="945" spans="1:15" x14ac:dyDescent="0.3">
      <c r="A945" t="s">
        <v>969</v>
      </c>
      <c r="B945" s="1">
        <v>45733</v>
      </c>
      <c r="C945" t="s">
        <v>21</v>
      </c>
      <c r="D945" t="s">
        <v>21</v>
      </c>
      <c r="E945" s="2">
        <v>24.54</v>
      </c>
      <c r="F945" s="3">
        <v>65.86</v>
      </c>
      <c r="G945" s="4">
        <v>351.83</v>
      </c>
      <c r="H945">
        <v>1.5</v>
      </c>
      <c r="I945" s="4">
        <v>527.74</v>
      </c>
      <c r="J945">
        <v>4.7</v>
      </c>
      <c r="K945" t="s">
        <v>36</v>
      </c>
      <c r="L945" t="s">
        <v>26</v>
      </c>
      <c r="O945"/>
    </row>
    <row r="946" spans="1:15" x14ac:dyDescent="0.3">
      <c r="A946" t="s">
        <v>970</v>
      </c>
      <c r="B946" s="1">
        <v>45857</v>
      </c>
      <c r="C946" t="s">
        <v>14</v>
      </c>
      <c r="D946" t="s">
        <v>25</v>
      </c>
      <c r="E946" s="2">
        <v>24.02</v>
      </c>
      <c r="F946" s="3">
        <v>93.25</v>
      </c>
      <c r="G946" s="4">
        <v>389.9</v>
      </c>
      <c r="H946">
        <v>1.2</v>
      </c>
      <c r="I946" s="4">
        <v>467.88</v>
      </c>
      <c r="J946">
        <v>4.0999999999999996</v>
      </c>
      <c r="K946" t="s">
        <v>15</v>
      </c>
      <c r="L946" t="s">
        <v>16</v>
      </c>
      <c r="O946"/>
    </row>
    <row r="947" spans="1:15" x14ac:dyDescent="0.3">
      <c r="A947" t="s">
        <v>971</v>
      </c>
      <c r="B947" s="1">
        <v>45846</v>
      </c>
      <c r="C947" t="s">
        <v>14</v>
      </c>
      <c r="D947" t="s">
        <v>13</v>
      </c>
      <c r="E947" s="2">
        <v>22.6</v>
      </c>
      <c r="F947" s="3">
        <v>65.36</v>
      </c>
      <c r="G947" s="4">
        <v>230.53</v>
      </c>
      <c r="H947">
        <v>1.2</v>
      </c>
      <c r="I947" s="4">
        <v>276.64</v>
      </c>
      <c r="J947">
        <v>4.3</v>
      </c>
      <c r="K947" t="s">
        <v>33</v>
      </c>
      <c r="L947" t="s">
        <v>28</v>
      </c>
      <c r="O947"/>
    </row>
    <row r="948" spans="1:15" x14ac:dyDescent="0.3">
      <c r="A948" t="s">
        <v>972</v>
      </c>
      <c r="B948" s="1">
        <v>45857</v>
      </c>
      <c r="C948" t="s">
        <v>14</v>
      </c>
      <c r="D948" t="s">
        <v>21</v>
      </c>
      <c r="E948" s="2">
        <v>22.72</v>
      </c>
      <c r="F948" s="3">
        <v>61.66</v>
      </c>
      <c r="G948" s="4">
        <v>371.41</v>
      </c>
      <c r="H948">
        <v>2</v>
      </c>
      <c r="I948" s="4">
        <v>742.82</v>
      </c>
      <c r="J948">
        <v>4.3</v>
      </c>
      <c r="K948" t="s">
        <v>15</v>
      </c>
      <c r="L948" t="s">
        <v>28</v>
      </c>
      <c r="O948"/>
    </row>
    <row r="949" spans="1:15" x14ac:dyDescent="0.3">
      <c r="A949" t="s">
        <v>973</v>
      </c>
      <c r="B949" s="1">
        <v>45991</v>
      </c>
      <c r="C949" t="s">
        <v>13</v>
      </c>
      <c r="D949" t="s">
        <v>25</v>
      </c>
      <c r="E949" s="2">
        <v>16.829999999999998</v>
      </c>
      <c r="F949" s="3">
        <v>40.53</v>
      </c>
      <c r="G949" s="4">
        <v>217.43</v>
      </c>
      <c r="H949">
        <v>1.2</v>
      </c>
      <c r="I949" s="4">
        <v>260.92</v>
      </c>
      <c r="J949">
        <v>3.1</v>
      </c>
      <c r="K949" t="s">
        <v>36</v>
      </c>
      <c r="L949" t="s">
        <v>19</v>
      </c>
      <c r="O949"/>
    </row>
    <row r="950" spans="1:15" x14ac:dyDescent="0.3">
      <c r="A950" t="s">
        <v>974</v>
      </c>
      <c r="B950" s="1">
        <v>45869</v>
      </c>
      <c r="C950" t="s">
        <v>13</v>
      </c>
      <c r="D950" t="s">
        <v>14</v>
      </c>
      <c r="E950" s="2">
        <v>7.26</v>
      </c>
      <c r="F950" s="3">
        <v>28.56</v>
      </c>
      <c r="G950" s="4">
        <v>124.52</v>
      </c>
      <c r="H950">
        <v>1.5</v>
      </c>
      <c r="I950" s="4">
        <v>186.78</v>
      </c>
      <c r="J950">
        <v>4.2</v>
      </c>
      <c r="K950" t="s">
        <v>15</v>
      </c>
      <c r="L950" t="s">
        <v>19</v>
      </c>
      <c r="O950"/>
    </row>
    <row r="951" spans="1:15" x14ac:dyDescent="0.3">
      <c r="A951" t="s">
        <v>975</v>
      </c>
      <c r="B951" s="1">
        <v>45765</v>
      </c>
      <c r="C951" t="s">
        <v>13</v>
      </c>
      <c r="D951" t="s">
        <v>22</v>
      </c>
      <c r="E951" s="2">
        <v>14.78</v>
      </c>
      <c r="F951" s="3">
        <v>56.1</v>
      </c>
      <c r="G951" s="4">
        <v>225.4</v>
      </c>
      <c r="H951">
        <v>1</v>
      </c>
      <c r="I951" s="4">
        <v>225.4</v>
      </c>
      <c r="J951">
        <v>4.2</v>
      </c>
      <c r="K951" t="s">
        <v>36</v>
      </c>
      <c r="L951" t="s">
        <v>28</v>
      </c>
      <c r="O951"/>
    </row>
    <row r="952" spans="1:15" x14ac:dyDescent="0.3">
      <c r="A952" t="s">
        <v>976</v>
      </c>
      <c r="B952" s="1">
        <v>45755</v>
      </c>
      <c r="C952" t="s">
        <v>22</v>
      </c>
      <c r="D952" t="s">
        <v>14</v>
      </c>
      <c r="E952" s="2">
        <v>20.34</v>
      </c>
      <c r="F952" s="3">
        <v>61.47</v>
      </c>
      <c r="G952" s="4">
        <v>290.61</v>
      </c>
      <c r="H952">
        <v>2</v>
      </c>
      <c r="I952" s="4">
        <v>581.22</v>
      </c>
      <c r="J952">
        <v>3.1</v>
      </c>
      <c r="K952" t="s">
        <v>15</v>
      </c>
      <c r="L952" t="s">
        <v>26</v>
      </c>
      <c r="O952"/>
    </row>
    <row r="953" spans="1:15" x14ac:dyDescent="0.3">
      <c r="A953" t="s">
        <v>977</v>
      </c>
      <c r="B953" s="1">
        <v>45744</v>
      </c>
      <c r="C953" t="s">
        <v>25</v>
      </c>
      <c r="D953" t="s">
        <v>25</v>
      </c>
      <c r="E953" s="2">
        <v>8.0299999999999994</v>
      </c>
      <c r="F953" s="3">
        <v>26.71</v>
      </c>
      <c r="G953" s="4">
        <v>147.68</v>
      </c>
      <c r="H953">
        <v>2</v>
      </c>
      <c r="I953" s="4">
        <v>295.36</v>
      </c>
      <c r="J953">
        <v>4.5</v>
      </c>
      <c r="K953" t="s">
        <v>30</v>
      </c>
      <c r="L953" t="s">
        <v>26</v>
      </c>
      <c r="O953"/>
    </row>
    <row r="954" spans="1:15" x14ac:dyDescent="0.3">
      <c r="A954" t="s">
        <v>978</v>
      </c>
      <c r="B954" s="1">
        <v>45933</v>
      </c>
      <c r="C954" t="s">
        <v>21</v>
      </c>
      <c r="D954" t="s">
        <v>14</v>
      </c>
      <c r="E954" s="2">
        <v>22.12</v>
      </c>
      <c r="F954" s="3">
        <v>70.8</v>
      </c>
      <c r="G954" s="4">
        <v>382.95</v>
      </c>
      <c r="H954">
        <v>1.2</v>
      </c>
      <c r="I954" s="4">
        <v>459.54</v>
      </c>
      <c r="J954">
        <v>4.7</v>
      </c>
      <c r="K954" t="s">
        <v>33</v>
      </c>
      <c r="L954" t="s">
        <v>26</v>
      </c>
      <c r="O954"/>
    </row>
    <row r="955" spans="1:15" x14ac:dyDescent="0.3">
      <c r="A955" t="s">
        <v>979</v>
      </c>
      <c r="B955" s="1">
        <v>45735</v>
      </c>
      <c r="C955" t="s">
        <v>25</v>
      </c>
      <c r="D955" t="s">
        <v>21</v>
      </c>
      <c r="E955" s="2">
        <v>17.63</v>
      </c>
      <c r="F955" s="3">
        <v>47.31</v>
      </c>
      <c r="G955" s="4">
        <v>290.62</v>
      </c>
      <c r="H955">
        <v>1.2</v>
      </c>
      <c r="I955" s="4">
        <v>348.74</v>
      </c>
      <c r="J955">
        <v>4</v>
      </c>
      <c r="K955" t="s">
        <v>33</v>
      </c>
      <c r="L955" t="s">
        <v>19</v>
      </c>
      <c r="O955"/>
    </row>
    <row r="956" spans="1:15" x14ac:dyDescent="0.3">
      <c r="A956" t="s">
        <v>980</v>
      </c>
      <c r="B956" s="1">
        <v>46013</v>
      </c>
      <c r="C956" t="s">
        <v>14</v>
      </c>
      <c r="D956" t="s">
        <v>14</v>
      </c>
      <c r="E956" s="2">
        <v>4.46</v>
      </c>
      <c r="F956" s="3">
        <v>11.84</v>
      </c>
      <c r="G956" s="4">
        <v>80.98</v>
      </c>
      <c r="H956">
        <v>1.2</v>
      </c>
      <c r="I956" s="4">
        <v>97.18</v>
      </c>
      <c r="J956">
        <v>3.7</v>
      </c>
      <c r="K956" t="s">
        <v>30</v>
      </c>
      <c r="L956" t="s">
        <v>19</v>
      </c>
      <c r="O956"/>
    </row>
    <row r="957" spans="1:15" x14ac:dyDescent="0.3">
      <c r="A957" t="s">
        <v>981</v>
      </c>
      <c r="B957" s="1">
        <v>45728</v>
      </c>
      <c r="C957" t="s">
        <v>25</v>
      </c>
      <c r="D957" t="s">
        <v>22</v>
      </c>
      <c r="E957" s="2">
        <v>17.11</v>
      </c>
      <c r="F957" s="3">
        <v>54.2</v>
      </c>
      <c r="G957" s="4">
        <v>206.52</v>
      </c>
      <c r="H957">
        <v>1</v>
      </c>
      <c r="I957" s="4">
        <v>206.52</v>
      </c>
      <c r="J957">
        <v>3.2</v>
      </c>
      <c r="K957" t="s">
        <v>18</v>
      </c>
      <c r="L957" t="s">
        <v>19</v>
      </c>
      <c r="O957"/>
    </row>
    <row r="958" spans="1:15" x14ac:dyDescent="0.3">
      <c r="A958" t="s">
        <v>982</v>
      </c>
      <c r="B958" s="1">
        <v>45961</v>
      </c>
      <c r="C958" t="s">
        <v>13</v>
      </c>
      <c r="D958" t="s">
        <v>13</v>
      </c>
      <c r="E958" s="2">
        <v>11.33</v>
      </c>
      <c r="F958" s="3">
        <v>38.08</v>
      </c>
      <c r="G958" s="4">
        <v>144.36000000000001</v>
      </c>
      <c r="H958">
        <v>1.5</v>
      </c>
      <c r="I958" s="4">
        <v>216.54</v>
      </c>
      <c r="J958">
        <v>3.3</v>
      </c>
      <c r="K958" t="s">
        <v>18</v>
      </c>
      <c r="L958" t="s">
        <v>26</v>
      </c>
      <c r="O958"/>
    </row>
    <row r="959" spans="1:15" x14ac:dyDescent="0.3">
      <c r="A959" t="s">
        <v>983</v>
      </c>
      <c r="B959" s="1">
        <v>45680</v>
      </c>
      <c r="C959" t="s">
        <v>25</v>
      </c>
      <c r="D959" t="s">
        <v>22</v>
      </c>
      <c r="E959" s="2">
        <v>23.88</v>
      </c>
      <c r="F959" s="3">
        <v>53.45</v>
      </c>
      <c r="G959" s="4">
        <v>272.36</v>
      </c>
      <c r="H959">
        <v>1.2</v>
      </c>
      <c r="I959" s="4">
        <v>326.83</v>
      </c>
      <c r="J959">
        <v>3.4</v>
      </c>
      <c r="K959" t="s">
        <v>30</v>
      </c>
      <c r="L959" t="s">
        <v>26</v>
      </c>
      <c r="O959"/>
    </row>
    <row r="960" spans="1:15" x14ac:dyDescent="0.3">
      <c r="A960" t="s">
        <v>984</v>
      </c>
      <c r="B960" s="1">
        <v>45985</v>
      </c>
      <c r="C960" t="s">
        <v>14</v>
      </c>
      <c r="D960" t="s">
        <v>14</v>
      </c>
      <c r="E960" s="2">
        <v>10.34</v>
      </c>
      <c r="F960" s="3">
        <v>32.26</v>
      </c>
      <c r="G960" s="4">
        <v>192.11</v>
      </c>
      <c r="H960">
        <v>2</v>
      </c>
      <c r="I960" s="4">
        <v>384.22</v>
      </c>
      <c r="J960">
        <v>4.5</v>
      </c>
      <c r="K960" t="s">
        <v>18</v>
      </c>
      <c r="L960" t="s">
        <v>26</v>
      </c>
      <c r="O960"/>
    </row>
    <row r="961" spans="1:15" x14ac:dyDescent="0.3">
      <c r="A961" t="s">
        <v>985</v>
      </c>
      <c r="B961" s="1">
        <v>45776</v>
      </c>
      <c r="C961" t="s">
        <v>22</v>
      </c>
      <c r="D961" t="s">
        <v>13</v>
      </c>
      <c r="E961" s="2">
        <v>28.64</v>
      </c>
      <c r="F961" s="3">
        <v>98.48</v>
      </c>
      <c r="G961" s="4">
        <v>552.79999999999995</v>
      </c>
      <c r="H961">
        <v>2</v>
      </c>
      <c r="I961" s="4">
        <v>1105.5999999999999</v>
      </c>
      <c r="J961">
        <v>3.2</v>
      </c>
      <c r="K961" t="s">
        <v>30</v>
      </c>
      <c r="L961" t="s">
        <v>28</v>
      </c>
      <c r="O961"/>
    </row>
    <row r="962" spans="1:15" x14ac:dyDescent="0.3">
      <c r="A962" t="s">
        <v>986</v>
      </c>
      <c r="B962" s="1">
        <v>45691</v>
      </c>
      <c r="C962" t="s">
        <v>21</v>
      </c>
      <c r="D962" t="s">
        <v>13</v>
      </c>
      <c r="E962" s="2">
        <v>2.5299999999999998</v>
      </c>
      <c r="F962" s="3">
        <v>8.73</v>
      </c>
      <c r="G962" s="4">
        <v>28.37</v>
      </c>
      <c r="H962">
        <v>1.2</v>
      </c>
      <c r="I962" s="4">
        <v>34.04</v>
      </c>
      <c r="J962">
        <v>4.5999999999999996</v>
      </c>
      <c r="K962" t="s">
        <v>36</v>
      </c>
      <c r="L962" t="s">
        <v>19</v>
      </c>
      <c r="O962"/>
    </row>
    <row r="963" spans="1:15" x14ac:dyDescent="0.3">
      <c r="A963" t="s">
        <v>987</v>
      </c>
      <c r="B963" s="1">
        <v>45914</v>
      </c>
      <c r="C963" t="s">
        <v>14</v>
      </c>
      <c r="D963" t="s">
        <v>22</v>
      </c>
      <c r="E963" s="2">
        <v>17.37</v>
      </c>
      <c r="F963" s="3">
        <v>55.6</v>
      </c>
      <c r="G963" s="4">
        <v>202.58</v>
      </c>
      <c r="H963">
        <v>1.2</v>
      </c>
      <c r="I963" s="4">
        <v>243.1</v>
      </c>
      <c r="J963">
        <v>4.4000000000000004</v>
      </c>
      <c r="K963" t="s">
        <v>36</v>
      </c>
      <c r="L963" t="s">
        <v>16</v>
      </c>
      <c r="O963"/>
    </row>
    <row r="964" spans="1:15" x14ac:dyDescent="0.3">
      <c r="A964" t="s">
        <v>988</v>
      </c>
      <c r="B964" s="1">
        <v>45778</v>
      </c>
      <c r="C964" t="s">
        <v>22</v>
      </c>
      <c r="D964" t="s">
        <v>21</v>
      </c>
      <c r="E964" s="2">
        <v>29.12</v>
      </c>
      <c r="F964" s="3">
        <v>100.62</v>
      </c>
      <c r="G964" s="4">
        <v>559.86</v>
      </c>
      <c r="H964">
        <v>1</v>
      </c>
      <c r="I964" s="4">
        <v>559.86</v>
      </c>
      <c r="J964">
        <v>4.4000000000000004</v>
      </c>
      <c r="K964" t="s">
        <v>15</v>
      </c>
      <c r="L964" t="s">
        <v>19</v>
      </c>
      <c r="O964"/>
    </row>
    <row r="965" spans="1:15" x14ac:dyDescent="0.3">
      <c r="A965" t="s">
        <v>989</v>
      </c>
      <c r="B965" s="1">
        <v>45919</v>
      </c>
      <c r="C965" t="s">
        <v>14</v>
      </c>
      <c r="D965" t="s">
        <v>14</v>
      </c>
      <c r="E965" s="2">
        <v>6.57</v>
      </c>
      <c r="F965" s="3">
        <v>21.9</v>
      </c>
      <c r="G965" s="4">
        <v>106.66</v>
      </c>
      <c r="H965">
        <v>1.5</v>
      </c>
      <c r="I965" s="4">
        <v>159.99</v>
      </c>
      <c r="J965">
        <v>3.5</v>
      </c>
      <c r="K965" t="s">
        <v>33</v>
      </c>
      <c r="L965" t="s">
        <v>16</v>
      </c>
      <c r="O965"/>
    </row>
    <row r="966" spans="1:15" x14ac:dyDescent="0.3">
      <c r="A966" t="s">
        <v>990</v>
      </c>
      <c r="B966" s="1">
        <v>45659</v>
      </c>
      <c r="C966" t="s">
        <v>21</v>
      </c>
      <c r="D966" t="s">
        <v>13</v>
      </c>
      <c r="E966" s="2">
        <v>16.329999999999998</v>
      </c>
      <c r="F966" s="3">
        <v>43.58</v>
      </c>
      <c r="G966" s="4">
        <v>248.1</v>
      </c>
      <c r="H966">
        <v>1.2</v>
      </c>
      <c r="I966" s="4">
        <v>297.72000000000003</v>
      </c>
      <c r="J966">
        <v>4.5999999999999996</v>
      </c>
      <c r="K966" t="s">
        <v>30</v>
      </c>
      <c r="L966" t="s">
        <v>16</v>
      </c>
      <c r="O966"/>
    </row>
    <row r="967" spans="1:15" x14ac:dyDescent="0.3">
      <c r="A967" t="s">
        <v>991</v>
      </c>
      <c r="B967" s="1">
        <v>45769</v>
      </c>
      <c r="C967" t="s">
        <v>13</v>
      </c>
      <c r="D967" t="s">
        <v>13</v>
      </c>
      <c r="E967" s="2">
        <v>6.39</v>
      </c>
      <c r="F967" s="3">
        <v>13.87</v>
      </c>
      <c r="G967" s="4">
        <v>91.78</v>
      </c>
      <c r="H967">
        <v>1.2</v>
      </c>
      <c r="I967" s="4">
        <v>110.14</v>
      </c>
      <c r="J967">
        <v>4.7</v>
      </c>
      <c r="K967" t="s">
        <v>18</v>
      </c>
      <c r="L967" t="s">
        <v>28</v>
      </c>
      <c r="O967"/>
    </row>
    <row r="968" spans="1:15" x14ac:dyDescent="0.3">
      <c r="A968" t="s">
        <v>992</v>
      </c>
      <c r="B968" s="1">
        <v>45899</v>
      </c>
      <c r="C968" t="s">
        <v>13</v>
      </c>
      <c r="D968" t="s">
        <v>21</v>
      </c>
      <c r="E968" s="2">
        <v>9.0299999999999994</v>
      </c>
      <c r="F968" s="3">
        <v>28.14</v>
      </c>
      <c r="G968" s="4">
        <v>121.63</v>
      </c>
      <c r="H968">
        <v>1.5</v>
      </c>
      <c r="I968" s="4">
        <v>182.44</v>
      </c>
      <c r="J968">
        <v>4.8</v>
      </c>
      <c r="K968" t="s">
        <v>18</v>
      </c>
      <c r="L968" t="s">
        <v>26</v>
      </c>
      <c r="O968"/>
    </row>
    <row r="969" spans="1:15" x14ac:dyDescent="0.3">
      <c r="A969" t="s">
        <v>993</v>
      </c>
      <c r="B969" s="1">
        <v>46000</v>
      </c>
      <c r="C969" t="s">
        <v>13</v>
      </c>
      <c r="D969" t="s">
        <v>14</v>
      </c>
      <c r="E969" s="2">
        <v>15.57</v>
      </c>
      <c r="F969" s="3">
        <v>41.35</v>
      </c>
      <c r="G969" s="4">
        <v>270.47000000000003</v>
      </c>
      <c r="H969">
        <v>1.2</v>
      </c>
      <c r="I969" s="4">
        <v>324.56</v>
      </c>
      <c r="J969">
        <v>4.7</v>
      </c>
      <c r="K969" t="s">
        <v>30</v>
      </c>
      <c r="L969" t="s">
        <v>16</v>
      </c>
      <c r="O969"/>
    </row>
    <row r="970" spans="1:15" x14ac:dyDescent="0.3">
      <c r="A970" t="s">
        <v>994</v>
      </c>
      <c r="B970" s="1">
        <v>45743</v>
      </c>
      <c r="C970" t="s">
        <v>25</v>
      </c>
      <c r="D970" t="s">
        <v>25</v>
      </c>
      <c r="E970" s="2">
        <v>10.75</v>
      </c>
      <c r="F970" s="3">
        <v>41.29</v>
      </c>
      <c r="G970" s="4">
        <v>108.79</v>
      </c>
      <c r="H970">
        <v>1</v>
      </c>
      <c r="I970" s="4">
        <v>108.79</v>
      </c>
      <c r="J970">
        <v>4.2</v>
      </c>
      <c r="K970" t="s">
        <v>33</v>
      </c>
      <c r="L970" t="s">
        <v>19</v>
      </c>
      <c r="O970"/>
    </row>
    <row r="971" spans="1:15" x14ac:dyDescent="0.3">
      <c r="A971" t="s">
        <v>995</v>
      </c>
      <c r="B971" s="1">
        <v>45951</v>
      </c>
      <c r="C971" t="s">
        <v>21</v>
      </c>
      <c r="D971" t="s">
        <v>13</v>
      </c>
      <c r="E971" s="2">
        <v>15.07</v>
      </c>
      <c r="F971" s="3">
        <v>32.71</v>
      </c>
      <c r="G971" s="4">
        <v>297.25</v>
      </c>
      <c r="H971">
        <v>2</v>
      </c>
      <c r="I971" s="4">
        <v>594.5</v>
      </c>
      <c r="J971">
        <v>3.4</v>
      </c>
      <c r="K971" t="s">
        <v>18</v>
      </c>
      <c r="L971" t="s">
        <v>16</v>
      </c>
      <c r="O971"/>
    </row>
    <row r="972" spans="1:15" x14ac:dyDescent="0.3">
      <c r="A972" t="s">
        <v>996</v>
      </c>
      <c r="B972" s="1">
        <v>45714</v>
      </c>
      <c r="C972" t="s">
        <v>21</v>
      </c>
      <c r="D972" t="s">
        <v>13</v>
      </c>
      <c r="E972" s="2">
        <v>7.86</v>
      </c>
      <c r="F972" s="3">
        <v>23.32</v>
      </c>
      <c r="G972" s="4">
        <v>112.33</v>
      </c>
      <c r="H972">
        <v>2</v>
      </c>
      <c r="I972" s="4">
        <v>224.66</v>
      </c>
      <c r="J972">
        <v>4.5</v>
      </c>
      <c r="K972" t="s">
        <v>18</v>
      </c>
      <c r="L972" t="s">
        <v>28</v>
      </c>
      <c r="O972"/>
    </row>
    <row r="973" spans="1:15" x14ac:dyDescent="0.3">
      <c r="A973" t="s">
        <v>997</v>
      </c>
      <c r="B973" s="1">
        <v>45901</v>
      </c>
      <c r="C973" t="s">
        <v>21</v>
      </c>
      <c r="D973" t="s">
        <v>13</v>
      </c>
      <c r="E973" s="2">
        <v>25.29</v>
      </c>
      <c r="F973" s="3">
        <v>62.71</v>
      </c>
      <c r="G973" s="4">
        <v>302.2</v>
      </c>
      <c r="H973">
        <v>1.2</v>
      </c>
      <c r="I973" s="4">
        <v>362.64</v>
      </c>
      <c r="J973">
        <v>4.7</v>
      </c>
      <c r="K973" t="s">
        <v>36</v>
      </c>
      <c r="L973" t="s">
        <v>16</v>
      </c>
      <c r="O973"/>
    </row>
    <row r="974" spans="1:15" x14ac:dyDescent="0.3">
      <c r="A974" t="s">
        <v>998</v>
      </c>
      <c r="B974" s="1">
        <v>45689</v>
      </c>
      <c r="C974" t="s">
        <v>21</v>
      </c>
      <c r="D974" t="s">
        <v>13</v>
      </c>
      <c r="E974" s="2">
        <v>29.45</v>
      </c>
      <c r="F974" s="3">
        <v>86.36</v>
      </c>
      <c r="G974" s="4">
        <v>527.73</v>
      </c>
      <c r="H974">
        <v>1</v>
      </c>
      <c r="I974" s="4">
        <v>527.73</v>
      </c>
      <c r="J974">
        <v>3.1</v>
      </c>
      <c r="K974" t="s">
        <v>18</v>
      </c>
      <c r="L974" t="s">
        <v>16</v>
      </c>
      <c r="O974"/>
    </row>
    <row r="975" spans="1:15" x14ac:dyDescent="0.3">
      <c r="A975" t="s">
        <v>999</v>
      </c>
      <c r="B975" s="1">
        <v>46000</v>
      </c>
      <c r="C975" t="s">
        <v>22</v>
      </c>
      <c r="D975" t="s">
        <v>25</v>
      </c>
      <c r="E975" s="2">
        <v>4.42</v>
      </c>
      <c r="F975" s="3">
        <v>9.24</v>
      </c>
      <c r="G975" s="4">
        <v>63.56</v>
      </c>
      <c r="H975">
        <v>1</v>
      </c>
      <c r="I975" s="4">
        <v>63.56</v>
      </c>
      <c r="J975">
        <v>3.5</v>
      </c>
      <c r="K975" t="s">
        <v>15</v>
      </c>
      <c r="L975" t="s">
        <v>19</v>
      </c>
      <c r="O975"/>
    </row>
    <row r="976" spans="1:15" x14ac:dyDescent="0.3">
      <c r="A976" t="s">
        <v>1000</v>
      </c>
      <c r="B976" s="1">
        <v>45832</v>
      </c>
      <c r="C976" t="s">
        <v>13</v>
      </c>
      <c r="D976" t="s">
        <v>25</v>
      </c>
      <c r="E976" s="2">
        <v>13.23</v>
      </c>
      <c r="F976" s="3">
        <v>27.52</v>
      </c>
      <c r="G976" s="4">
        <v>191.71</v>
      </c>
      <c r="H976">
        <v>1.2</v>
      </c>
      <c r="I976" s="4">
        <v>230.05</v>
      </c>
      <c r="J976">
        <v>3.7</v>
      </c>
      <c r="K976" t="s">
        <v>30</v>
      </c>
      <c r="L976" t="s">
        <v>16</v>
      </c>
      <c r="O976"/>
    </row>
    <row r="977" spans="1:15" x14ac:dyDescent="0.3">
      <c r="A977" t="s">
        <v>1001</v>
      </c>
      <c r="B977" s="1">
        <v>45767</v>
      </c>
      <c r="C977" t="s">
        <v>21</v>
      </c>
      <c r="D977" t="s">
        <v>13</v>
      </c>
      <c r="E977" s="2">
        <v>11.16</v>
      </c>
      <c r="F977" s="3">
        <v>36.1</v>
      </c>
      <c r="G977" s="4">
        <v>210.34</v>
      </c>
      <c r="H977">
        <v>1</v>
      </c>
      <c r="I977" s="4">
        <v>210.34</v>
      </c>
      <c r="J977">
        <v>3.2</v>
      </c>
      <c r="K977" t="s">
        <v>33</v>
      </c>
      <c r="L977" t="s">
        <v>28</v>
      </c>
      <c r="O977"/>
    </row>
    <row r="978" spans="1:15" x14ac:dyDescent="0.3">
      <c r="A978" t="s">
        <v>1002</v>
      </c>
      <c r="B978" s="1">
        <v>45834</v>
      </c>
      <c r="C978" t="s">
        <v>14</v>
      </c>
      <c r="D978" t="s">
        <v>21</v>
      </c>
      <c r="E978" s="2">
        <v>29.02</v>
      </c>
      <c r="F978" s="3">
        <v>114.34</v>
      </c>
      <c r="G978" s="4">
        <v>541.24</v>
      </c>
      <c r="H978">
        <v>1.5</v>
      </c>
      <c r="I978" s="4">
        <v>811.86</v>
      </c>
      <c r="J978">
        <v>3.6</v>
      </c>
      <c r="K978" t="s">
        <v>15</v>
      </c>
      <c r="L978" t="s">
        <v>19</v>
      </c>
      <c r="O978"/>
    </row>
    <row r="979" spans="1:15" x14ac:dyDescent="0.3">
      <c r="A979" t="s">
        <v>1003</v>
      </c>
      <c r="B979" s="1">
        <v>45746</v>
      </c>
      <c r="C979" t="s">
        <v>13</v>
      </c>
      <c r="D979" t="s">
        <v>25</v>
      </c>
      <c r="E979" s="2">
        <v>9.27</v>
      </c>
      <c r="F979" s="3">
        <v>30.23</v>
      </c>
      <c r="G979" s="4">
        <v>134.94</v>
      </c>
      <c r="H979">
        <v>1.5</v>
      </c>
      <c r="I979" s="4">
        <v>202.41</v>
      </c>
      <c r="J979">
        <v>3.4</v>
      </c>
      <c r="K979" t="s">
        <v>30</v>
      </c>
      <c r="L979" t="s">
        <v>28</v>
      </c>
      <c r="O979"/>
    </row>
    <row r="980" spans="1:15" x14ac:dyDescent="0.3">
      <c r="A980" t="s">
        <v>1004</v>
      </c>
      <c r="B980" s="1">
        <v>45908</v>
      </c>
      <c r="C980" t="s">
        <v>21</v>
      </c>
      <c r="D980" t="s">
        <v>14</v>
      </c>
      <c r="E980" s="2">
        <v>9.18</v>
      </c>
      <c r="F980" s="3">
        <v>24.2</v>
      </c>
      <c r="G980" s="4">
        <v>176.68</v>
      </c>
      <c r="H980">
        <v>1</v>
      </c>
      <c r="I980" s="4">
        <v>176.68</v>
      </c>
      <c r="J980">
        <v>3.2</v>
      </c>
      <c r="K980" t="s">
        <v>15</v>
      </c>
      <c r="L980" t="s">
        <v>16</v>
      </c>
      <c r="O980"/>
    </row>
    <row r="981" spans="1:15" x14ac:dyDescent="0.3">
      <c r="A981" t="s">
        <v>1005</v>
      </c>
      <c r="B981" s="1">
        <v>45675</v>
      </c>
      <c r="C981" t="s">
        <v>13</v>
      </c>
      <c r="D981" t="s">
        <v>25</v>
      </c>
      <c r="E981" s="2">
        <v>27.47</v>
      </c>
      <c r="F981" s="3">
        <v>88.47</v>
      </c>
      <c r="G981" s="4">
        <v>424.8</v>
      </c>
      <c r="H981">
        <v>1</v>
      </c>
      <c r="I981" s="4">
        <v>424.8</v>
      </c>
      <c r="J981">
        <v>3.6</v>
      </c>
      <c r="K981" t="s">
        <v>30</v>
      </c>
      <c r="L981" t="s">
        <v>26</v>
      </c>
      <c r="O981"/>
    </row>
    <row r="982" spans="1:15" x14ac:dyDescent="0.3">
      <c r="A982" t="s">
        <v>1006</v>
      </c>
      <c r="B982" s="1">
        <v>45916</v>
      </c>
      <c r="C982" t="s">
        <v>25</v>
      </c>
      <c r="D982" t="s">
        <v>14</v>
      </c>
      <c r="E982" s="2">
        <v>25.71</v>
      </c>
      <c r="F982" s="3">
        <v>80.17</v>
      </c>
      <c r="G982" s="4">
        <v>389.44</v>
      </c>
      <c r="H982">
        <v>2</v>
      </c>
      <c r="I982" s="4">
        <v>778.88</v>
      </c>
      <c r="J982">
        <v>4.8</v>
      </c>
      <c r="K982" t="s">
        <v>18</v>
      </c>
      <c r="L982" t="s">
        <v>28</v>
      </c>
      <c r="O982"/>
    </row>
    <row r="983" spans="1:15" x14ac:dyDescent="0.3">
      <c r="A983" t="s">
        <v>1007</v>
      </c>
      <c r="B983" s="1">
        <v>45765</v>
      </c>
      <c r="C983" t="s">
        <v>14</v>
      </c>
      <c r="D983" t="s">
        <v>22</v>
      </c>
      <c r="E983" s="2">
        <v>28.95</v>
      </c>
      <c r="F983" s="3">
        <v>79.73</v>
      </c>
      <c r="G983" s="4">
        <v>464.13</v>
      </c>
      <c r="H983">
        <v>1.2</v>
      </c>
      <c r="I983" s="4">
        <v>556.96</v>
      </c>
      <c r="J983">
        <v>3</v>
      </c>
      <c r="K983" t="s">
        <v>33</v>
      </c>
      <c r="L983" t="s">
        <v>28</v>
      </c>
      <c r="O983"/>
    </row>
    <row r="984" spans="1:15" x14ac:dyDescent="0.3">
      <c r="A984" t="s">
        <v>1008</v>
      </c>
      <c r="B984" s="1">
        <v>45939</v>
      </c>
      <c r="C984" t="s">
        <v>14</v>
      </c>
      <c r="D984" t="s">
        <v>13</v>
      </c>
      <c r="E984" s="2">
        <v>25.68</v>
      </c>
      <c r="F984" s="3">
        <v>69.12</v>
      </c>
      <c r="G984" s="4">
        <v>265.83999999999997</v>
      </c>
      <c r="H984">
        <v>1.2</v>
      </c>
      <c r="I984" s="4">
        <v>319.01</v>
      </c>
      <c r="J984">
        <v>4.5</v>
      </c>
      <c r="K984" t="s">
        <v>33</v>
      </c>
      <c r="L984" t="s">
        <v>16</v>
      </c>
      <c r="O984"/>
    </row>
    <row r="985" spans="1:15" x14ac:dyDescent="0.3">
      <c r="A985" t="s">
        <v>1009</v>
      </c>
      <c r="B985" s="1">
        <v>45689</v>
      </c>
      <c r="C985" t="s">
        <v>21</v>
      </c>
      <c r="D985" t="s">
        <v>21</v>
      </c>
      <c r="E985" s="2">
        <v>5.66</v>
      </c>
      <c r="F985" s="3">
        <v>17.399999999999999</v>
      </c>
      <c r="G985" s="4">
        <v>67.459999999999994</v>
      </c>
      <c r="H985">
        <v>2</v>
      </c>
      <c r="I985" s="4">
        <v>134.91999999999999</v>
      </c>
      <c r="J985">
        <v>4.2</v>
      </c>
      <c r="K985" t="s">
        <v>15</v>
      </c>
      <c r="L985" t="s">
        <v>19</v>
      </c>
      <c r="O985"/>
    </row>
    <row r="986" spans="1:15" x14ac:dyDescent="0.3">
      <c r="A986" t="s">
        <v>1010</v>
      </c>
      <c r="B986" s="1">
        <v>45838</v>
      </c>
      <c r="C986" t="s">
        <v>14</v>
      </c>
      <c r="D986" t="s">
        <v>13</v>
      </c>
      <c r="E986" s="2">
        <v>10.17</v>
      </c>
      <c r="F986" s="3">
        <v>37.53</v>
      </c>
      <c r="G986" s="4">
        <v>150.13999999999999</v>
      </c>
      <c r="H986">
        <v>1.5</v>
      </c>
      <c r="I986" s="4">
        <v>225.21</v>
      </c>
      <c r="J986">
        <v>4.5</v>
      </c>
      <c r="K986" t="s">
        <v>36</v>
      </c>
      <c r="L986" t="s">
        <v>26</v>
      </c>
      <c r="O986"/>
    </row>
    <row r="987" spans="1:15" x14ac:dyDescent="0.3">
      <c r="A987" t="s">
        <v>1011</v>
      </c>
      <c r="B987" s="1">
        <v>46012</v>
      </c>
      <c r="C987" t="s">
        <v>21</v>
      </c>
      <c r="D987" t="s">
        <v>14</v>
      </c>
      <c r="E987" s="2">
        <v>9.73</v>
      </c>
      <c r="F987" s="3">
        <v>23.04</v>
      </c>
      <c r="G987" s="4">
        <v>170.9</v>
      </c>
      <c r="H987">
        <v>1</v>
      </c>
      <c r="I987" s="4">
        <v>170.9</v>
      </c>
      <c r="J987">
        <v>3.4</v>
      </c>
      <c r="K987" t="s">
        <v>18</v>
      </c>
      <c r="L987" t="s">
        <v>26</v>
      </c>
      <c r="O987"/>
    </row>
    <row r="988" spans="1:15" x14ac:dyDescent="0.3">
      <c r="A988" t="s">
        <v>1012</v>
      </c>
      <c r="B988" s="1">
        <v>45765</v>
      </c>
      <c r="C988" t="s">
        <v>25</v>
      </c>
      <c r="D988" t="s">
        <v>13</v>
      </c>
      <c r="E988" s="2">
        <v>18.88</v>
      </c>
      <c r="F988" s="3">
        <v>39.28</v>
      </c>
      <c r="G988" s="4">
        <v>250.38</v>
      </c>
      <c r="H988">
        <v>2</v>
      </c>
      <c r="I988" s="4">
        <v>500.76</v>
      </c>
      <c r="J988">
        <v>3.5</v>
      </c>
      <c r="K988" t="s">
        <v>18</v>
      </c>
      <c r="L988" t="s">
        <v>26</v>
      </c>
      <c r="O988"/>
    </row>
    <row r="989" spans="1:15" x14ac:dyDescent="0.3">
      <c r="A989" t="s">
        <v>1013</v>
      </c>
      <c r="B989" s="1">
        <v>45876</v>
      </c>
      <c r="C989" t="s">
        <v>13</v>
      </c>
      <c r="D989" t="s">
        <v>14</v>
      </c>
      <c r="E989" s="2">
        <v>25.57</v>
      </c>
      <c r="F989" s="3">
        <v>61.68</v>
      </c>
      <c r="G989" s="4">
        <v>499.15</v>
      </c>
      <c r="H989">
        <v>1.2</v>
      </c>
      <c r="I989" s="4">
        <v>598.98</v>
      </c>
      <c r="J989">
        <v>4.5</v>
      </c>
      <c r="K989" t="s">
        <v>33</v>
      </c>
      <c r="L989" t="s">
        <v>28</v>
      </c>
      <c r="O989"/>
    </row>
    <row r="990" spans="1:15" x14ac:dyDescent="0.3">
      <c r="A990" t="s">
        <v>1014</v>
      </c>
      <c r="B990" s="1">
        <v>45725</v>
      </c>
      <c r="C990" t="s">
        <v>14</v>
      </c>
      <c r="D990" t="s">
        <v>22</v>
      </c>
      <c r="E990" s="2">
        <v>25.32</v>
      </c>
      <c r="F990" s="3">
        <v>91.59</v>
      </c>
      <c r="G990" s="4">
        <v>333.69</v>
      </c>
      <c r="H990">
        <v>2</v>
      </c>
      <c r="I990" s="4">
        <v>667.38</v>
      </c>
      <c r="J990">
        <v>3.9</v>
      </c>
      <c r="K990" t="s">
        <v>15</v>
      </c>
      <c r="L990" t="s">
        <v>19</v>
      </c>
      <c r="O990"/>
    </row>
    <row r="991" spans="1:15" x14ac:dyDescent="0.3">
      <c r="A991" t="s">
        <v>1015</v>
      </c>
      <c r="B991" s="1">
        <v>46014</v>
      </c>
      <c r="C991" t="s">
        <v>25</v>
      </c>
      <c r="D991" t="s">
        <v>22</v>
      </c>
      <c r="E991" s="2">
        <v>9.75</v>
      </c>
      <c r="F991" s="3">
        <v>20.23</v>
      </c>
      <c r="G991" s="4">
        <v>146.77000000000001</v>
      </c>
      <c r="H991">
        <v>1</v>
      </c>
      <c r="I991" s="4">
        <v>146.77000000000001</v>
      </c>
      <c r="J991">
        <v>4.8</v>
      </c>
      <c r="K991" t="s">
        <v>15</v>
      </c>
      <c r="L991" t="s">
        <v>19</v>
      </c>
      <c r="O991"/>
    </row>
    <row r="992" spans="1:15" x14ac:dyDescent="0.3">
      <c r="A992" t="s">
        <v>1016</v>
      </c>
      <c r="B992" s="1">
        <v>45839</v>
      </c>
      <c r="C992" t="s">
        <v>22</v>
      </c>
      <c r="D992" t="s">
        <v>25</v>
      </c>
      <c r="E992" s="2">
        <v>19.010000000000002</v>
      </c>
      <c r="F992" s="3">
        <v>42.61</v>
      </c>
      <c r="G992" s="4">
        <v>375.82</v>
      </c>
      <c r="H992">
        <v>1.2</v>
      </c>
      <c r="I992" s="4">
        <v>450.98</v>
      </c>
      <c r="J992">
        <v>4.5</v>
      </c>
      <c r="K992" t="s">
        <v>18</v>
      </c>
      <c r="L992" t="s">
        <v>28</v>
      </c>
      <c r="O992"/>
    </row>
    <row r="993" spans="1:15" x14ac:dyDescent="0.3">
      <c r="A993" t="s">
        <v>1017</v>
      </c>
      <c r="B993" s="1">
        <v>45763</v>
      </c>
      <c r="C993" t="s">
        <v>25</v>
      </c>
      <c r="D993" t="s">
        <v>13</v>
      </c>
      <c r="E993" s="2">
        <v>15.16</v>
      </c>
      <c r="F993" s="3">
        <v>54.97</v>
      </c>
      <c r="G993" s="4">
        <v>166.64</v>
      </c>
      <c r="H993">
        <v>1.2</v>
      </c>
      <c r="I993" s="4">
        <v>199.97</v>
      </c>
      <c r="J993">
        <v>3.6</v>
      </c>
      <c r="K993" t="s">
        <v>30</v>
      </c>
      <c r="L993" t="s">
        <v>26</v>
      </c>
      <c r="O993"/>
    </row>
    <row r="994" spans="1:15" x14ac:dyDescent="0.3">
      <c r="A994" t="s">
        <v>1018</v>
      </c>
      <c r="B994" s="1">
        <v>45690</v>
      </c>
      <c r="C994" t="s">
        <v>21</v>
      </c>
      <c r="D994" t="s">
        <v>25</v>
      </c>
      <c r="E994" s="2">
        <v>7.24</v>
      </c>
      <c r="F994" s="3">
        <v>23.57</v>
      </c>
      <c r="G994" s="4">
        <v>139.27000000000001</v>
      </c>
      <c r="H994">
        <v>1.5</v>
      </c>
      <c r="I994" s="4">
        <v>208.91</v>
      </c>
      <c r="J994">
        <v>3.4</v>
      </c>
      <c r="K994" t="s">
        <v>36</v>
      </c>
      <c r="L994" t="s">
        <v>28</v>
      </c>
      <c r="O994"/>
    </row>
    <row r="995" spans="1:15" x14ac:dyDescent="0.3">
      <c r="A995" t="s">
        <v>1019</v>
      </c>
      <c r="B995" s="1">
        <v>45800</v>
      </c>
      <c r="C995" t="s">
        <v>13</v>
      </c>
      <c r="D995" t="s">
        <v>22</v>
      </c>
      <c r="E995" s="2">
        <v>22.42</v>
      </c>
      <c r="F995" s="3">
        <v>47.7</v>
      </c>
      <c r="G995" s="4">
        <v>311.02</v>
      </c>
      <c r="H995">
        <v>1.5</v>
      </c>
      <c r="I995" s="4">
        <v>466.53</v>
      </c>
      <c r="J995">
        <v>3.4</v>
      </c>
      <c r="K995" t="s">
        <v>36</v>
      </c>
      <c r="L995" t="s">
        <v>28</v>
      </c>
      <c r="O995"/>
    </row>
    <row r="996" spans="1:15" x14ac:dyDescent="0.3">
      <c r="A996" t="s">
        <v>1020</v>
      </c>
      <c r="B996" s="1">
        <v>45661</v>
      </c>
      <c r="C996" t="s">
        <v>22</v>
      </c>
      <c r="D996" t="s">
        <v>22</v>
      </c>
      <c r="E996" s="2">
        <v>27.64</v>
      </c>
      <c r="F996" s="3">
        <v>57.88</v>
      </c>
      <c r="G996" s="4">
        <v>370.05</v>
      </c>
      <c r="H996">
        <v>1.5</v>
      </c>
      <c r="I996" s="4">
        <v>555.08000000000004</v>
      </c>
      <c r="J996">
        <v>3.8</v>
      </c>
      <c r="K996" t="s">
        <v>36</v>
      </c>
      <c r="L996" t="s">
        <v>28</v>
      </c>
      <c r="O996"/>
    </row>
    <row r="997" spans="1:15" x14ac:dyDescent="0.3">
      <c r="A997" t="s">
        <v>1021</v>
      </c>
      <c r="B997" s="1">
        <v>45758</v>
      </c>
      <c r="C997" t="s">
        <v>21</v>
      </c>
      <c r="D997" t="s">
        <v>22</v>
      </c>
      <c r="E997" s="2">
        <v>13.6</v>
      </c>
      <c r="F997" s="3">
        <v>50.85</v>
      </c>
      <c r="G997" s="4">
        <v>160.57</v>
      </c>
      <c r="H997">
        <v>1.5</v>
      </c>
      <c r="I997" s="4">
        <v>240.86</v>
      </c>
      <c r="J997">
        <v>4.0999999999999996</v>
      </c>
      <c r="K997" t="s">
        <v>33</v>
      </c>
      <c r="L997" t="s">
        <v>16</v>
      </c>
      <c r="O997"/>
    </row>
    <row r="998" spans="1:15" x14ac:dyDescent="0.3">
      <c r="A998" t="s">
        <v>1022</v>
      </c>
      <c r="B998" s="1">
        <v>45778</v>
      </c>
      <c r="C998" t="s">
        <v>25</v>
      </c>
      <c r="D998" t="s">
        <v>25</v>
      </c>
      <c r="E998" s="2">
        <v>10.46</v>
      </c>
      <c r="F998" s="3">
        <v>36.74</v>
      </c>
      <c r="G998" s="4">
        <v>145.79</v>
      </c>
      <c r="H998">
        <v>1</v>
      </c>
      <c r="I998" s="4">
        <v>145.79</v>
      </c>
      <c r="J998">
        <v>3.3</v>
      </c>
      <c r="K998" t="s">
        <v>30</v>
      </c>
      <c r="L998" t="s">
        <v>28</v>
      </c>
      <c r="O998"/>
    </row>
    <row r="999" spans="1:15" x14ac:dyDescent="0.3">
      <c r="A999" t="s">
        <v>1023</v>
      </c>
      <c r="B999" s="1">
        <v>45864</v>
      </c>
      <c r="C999" t="s">
        <v>25</v>
      </c>
      <c r="D999" t="s">
        <v>22</v>
      </c>
      <c r="E999" s="2">
        <v>9.4600000000000009</v>
      </c>
      <c r="F999" s="3">
        <v>36.409999999999997</v>
      </c>
      <c r="G999" s="4">
        <v>116.39</v>
      </c>
      <c r="H999">
        <v>1.2</v>
      </c>
      <c r="I999" s="4">
        <v>139.66999999999999</v>
      </c>
      <c r="J999">
        <v>3.9</v>
      </c>
      <c r="K999" t="s">
        <v>33</v>
      </c>
      <c r="L999" t="s">
        <v>26</v>
      </c>
      <c r="O999"/>
    </row>
    <row r="1000" spans="1:15" x14ac:dyDescent="0.3">
      <c r="A1000" t="s">
        <v>1024</v>
      </c>
      <c r="B1000" s="1">
        <v>45824</v>
      </c>
      <c r="C1000" t="s">
        <v>21</v>
      </c>
      <c r="D1000" t="s">
        <v>21</v>
      </c>
      <c r="E1000" s="2">
        <v>20.25</v>
      </c>
      <c r="F1000" s="3">
        <v>45.29</v>
      </c>
      <c r="G1000" s="4">
        <v>395.67</v>
      </c>
      <c r="H1000">
        <v>2</v>
      </c>
      <c r="I1000" s="4">
        <v>791.34</v>
      </c>
      <c r="J1000">
        <v>4.2</v>
      </c>
      <c r="K1000" t="s">
        <v>18</v>
      </c>
      <c r="L1000" t="s">
        <v>26</v>
      </c>
      <c r="O1000"/>
    </row>
    <row r="1001" spans="1:15" x14ac:dyDescent="0.3">
      <c r="A1001" t="s">
        <v>1025</v>
      </c>
      <c r="B1001" s="1">
        <v>45827</v>
      </c>
      <c r="C1001" t="s">
        <v>21</v>
      </c>
      <c r="D1001" t="s">
        <v>13</v>
      </c>
      <c r="E1001" s="2">
        <v>20.55</v>
      </c>
      <c r="F1001" s="3">
        <v>41.78</v>
      </c>
      <c r="G1001" s="4">
        <v>275.14999999999998</v>
      </c>
      <c r="H1001">
        <v>1.5</v>
      </c>
      <c r="I1001" s="4">
        <v>412.72</v>
      </c>
      <c r="J1001">
        <v>3.8</v>
      </c>
      <c r="K1001" t="s">
        <v>30</v>
      </c>
      <c r="L1001" t="s">
        <v>16</v>
      </c>
      <c r="O1001"/>
    </row>
    <row r="1002" spans="1:15" x14ac:dyDescent="0.3">
      <c r="A1002" t="s">
        <v>1026</v>
      </c>
      <c r="B1002" s="1">
        <v>45716</v>
      </c>
      <c r="C1002" t="s">
        <v>13</v>
      </c>
      <c r="D1002" t="s">
        <v>25</v>
      </c>
      <c r="E1002" s="2">
        <v>12.91</v>
      </c>
      <c r="F1002" s="3">
        <v>38.85</v>
      </c>
      <c r="G1002" s="4">
        <v>130.05000000000001</v>
      </c>
      <c r="H1002">
        <v>2</v>
      </c>
      <c r="I1002" s="4">
        <v>260.10000000000002</v>
      </c>
      <c r="J1002">
        <v>3.3</v>
      </c>
      <c r="K1002" t="s">
        <v>15</v>
      </c>
      <c r="L1002" t="s">
        <v>28</v>
      </c>
      <c r="O1002"/>
    </row>
    <row r="1003" spans="1:15" x14ac:dyDescent="0.3">
      <c r="A1003" t="s">
        <v>1027</v>
      </c>
      <c r="B1003" s="1">
        <v>45896</v>
      </c>
      <c r="C1003" t="s">
        <v>25</v>
      </c>
      <c r="D1003" t="s">
        <v>13</v>
      </c>
      <c r="E1003" s="2">
        <v>11.68</v>
      </c>
      <c r="F1003" s="3">
        <v>46.23</v>
      </c>
      <c r="G1003" s="4">
        <v>165.94</v>
      </c>
      <c r="H1003">
        <v>1.2</v>
      </c>
      <c r="I1003" s="4">
        <v>199.13</v>
      </c>
      <c r="J1003">
        <v>4.7</v>
      </c>
      <c r="K1003" t="s">
        <v>30</v>
      </c>
      <c r="L1003" t="s">
        <v>16</v>
      </c>
      <c r="O1003"/>
    </row>
    <row r="1004" spans="1:15" x14ac:dyDescent="0.3">
      <c r="A1004" t="s">
        <v>1028</v>
      </c>
      <c r="B1004" s="1">
        <v>45834</v>
      </c>
      <c r="C1004" t="s">
        <v>22</v>
      </c>
      <c r="D1004" t="s">
        <v>14</v>
      </c>
      <c r="E1004" s="2">
        <v>21.8</v>
      </c>
      <c r="F1004" s="3">
        <v>68.98</v>
      </c>
      <c r="G1004" s="4">
        <v>391.92</v>
      </c>
      <c r="H1004">
        <v>1.5</v>
      </c>
      <c r="I1004" s="4">
        <v>587.88</v>
      </c>
      <c r="J1004">
        <v>3.9</v>
      </c>
      <c r="K1004" t="s">
        <v>18</v>
      </c>
      <c r="L1004" t="s">
        <v>28</v>
      </c>
      <c r="O1004"/>
    </row>
    <row r="1005" spans="1:15" x14ac:dyDescent="0.3">
      <c r="A1005" t="s">
        <v>1029</v>
      </c>
      <c r="B1005" s="1">
        <v>45852</v>
      </c>
      <c r="C1005" t="s">
        <v>14</v>
      </c>
      <c r="D1005" t="s">
        <v>13</v>
      </c>
      <c r="E1005" s="2">
        <v>21.22</v>
      </c>
      <c r="F1005" s="3">
        <v>45.97</v>
      </c>
      <c r="G1005" s="4">
        <v>395.32</v>
      </c>
      <c r="H1005">
        <v>1.5</v>
      </c>
      <c r="I1005" s="4">
        <v>592.98</v>
      </c>
      <c r="J1005">
        <v>3.9</v>
      </c>
      <c r="K1005" t="s">
        <v>30</v>
      </c>
      <c r="L1005" t="s">
        <v>16</v>
      </c>
      <c r="O1005"/>
    </row>
    <row r="1006" spans="1:15" x14ac:dyDescent="0.3">
      <c r="A1006" t="s">
        <v>1030</v>
      </c>
      <c r="B1006" s="1">
        <v>45733</v>
      </c>
      <c r="C1006" t="s">
        <v>14</v>
      </c>
      <c r="D1006" t="s">
        <v>21</v>
      </c>
      <c r="E1006" s="2">
        <v>16.940000000000001</v>
      </c>
      <c r="F1006" s="3">
        <v>48.01</v>
      </c>
      <c r="G1006" s="4">
        <v>318.08999999999997</v>
      </c>
      <c r="H1006">
        <v>1.5</v>
      </c>
      <c r="I1006" s="4">
        <v>477.14</v>
      </c>
      <c r="J1006">
        <v>3.4</v>
      </c>
      <c r="K1006" t="s">
        <v>15</v>
      </c>
      <c r="L1006" t="s">
        <v>16</v>
      </c>
      <c r="O1006"/>
    </row>
    <row r="1007" spans="1:15" x14ac:dyDescent="0.3">
      <c r="A1007" t="s">
        <v>1031</v>
      </c>
      <c r="B1007" s="1">
        <v>45903</v>
      </c>
      <c r="C1007" t="s">
        <v>21</v>
      </c>
      <c r="D1007" t="s">
        <v>21</v>
      </c>
      <c r="E1007" s="2">
        <v>17.170000000000002</v>
      </c>
      <c r="F1007" s="3">
        <v>36.22</v>
      </c>
      <c r="G1007" s="4">
        <v>338.57</v>
      </c>
      <c r="H1007">
        <v>1</v>
      </c>
      <c r="I1007" s="4">
        <v>338.57</v>
      </c>
      <c r="J1007">
        <v>3.8</v>
      </c>
      <c r="K1007" t="s">
        <v>18</v>
      </c>
      <c r="L1007" t="s">
        <v>28</v>
      </c>
      <c r="O1007"/>
    </row>
    <row r="1008" spans="1:15" x14ac:dyDescent="0.3">
      <c r="A1008" t="s">
        <v>1032</v>
      </c>
      <c r="B1008" s="1">
        <v>45802</v>
      </c>
      <c r="C1008" t="s">
        <v>25</v>
      </c>
      <c r="D1008" t="s">
        <v>25</v>
      </c>
      <c r="E1008" s="2">
        <v>14.61</v>
      </c>
      <c r="F1008" s="3">
        <v>54.29</v>
      </c>
      <c r="G1008" s="4">
        <v>190.65</v>
      </c>
      <c r="H1008">
        <v>1.2</v>
      </c>
      <c r="I1008" s="4">
        <v>228.78</v>
      </c>
      <c r="J1008">
        <v>3.4</v>
      </c>
      <c r="K1008" t="s">
        <v>15</v>
      </c>
      <c r="L1008" t="s">
        <v>19</v>
      </c>
      <c r="O1008"/>
    </row>
    <row r="1009" spans="1:15" x14ac:dyDescent="0.3">
      <c r="A1009" t="s">
        <v>1033</v>
      </c>
      <c r="B1009" s="1">
        <v>46013</v>
      </c>
      <c r="C1009" t="s">
        <v>22</v>
      </c>
      <c r="D1009" t="s">
        <v>14</v>
      </c>
      <c r="E1009" s="2">
        <v>21.75</v>
      </c>
      <c r="F1009" s="3">
        <v>85.84</v>
      </c>
      <c r="G1009" s="4">
        <v>261.31</v>
      </c>
      <c r="H1009">
        <v>1</v>
      </c>
      <c r="I1009" s="4">
        <v>261.31</v>
      </c>
      <c r="J1009">
        <v>3.3</v>
      </c>
      <c r="K1009" t="s">
        <v>30</v>
      </c>
      <c r="L1009" t="s">
        <v>26</v>
      </c>
      <c r="O1009"/>
    </row>
    <row r="1010" spans="1:15" x14ac:dyDescent="0.3">
      <c r="A1010" t="s">
        <v>1034</v>
      </c>
      <c r="B1010" s="1">
        <v>45725</v>
      </c>
      <c r="C1010" t="s">
        <v>14</v>
      </c>
      <c r="D1010" t="s">
        <v>13</v>
      </c>
      <c r="E1010" s="2">
        <v>11.9</v>
      </c>
      <c r="F1010" s="3">
        <v>43.33</v>
      </c>
      <c r="G1010" s="4">
        <v>119.85</v>
      </c>
      <c r="H1010">
        <v>2</v>
      </c>
      <c r="I1010" s="4">
        <v>239.7</v>
      </c>
      <c r="J1010">
        <v>4</v>
      </c>
      <c r="K1010" t="s">
        <v>18</v>
      </c>
      <c r="L1010" t="s">
        <v>19</v>
      </c>
      <c r="O1010"/>
    </row>
    <row r="1011" spans="1:15" x14ac:dyDescent="0.3">
      <c r="A1011" t="s">
        <v>1035</v>
      </c>
      <c r="B1011" s="1">
        <v>45888</v>
      </c>
      <c r="C1011" t="s">
        <v>22</v>
      </c>
      <c r="D1011" t="s">
        <v>22</v>
      </c>
      <c r="E1011" s="2">
        <v>26.84</v>
      </c>
      <c r="F1011" s="3">
        <v>78.39</v>
      </c>
      <c r="G1011" s="4">
        <v>458.88</v>
      </c>
      <c r="H1011">
        <v>2</v>
      </c>
      <c r="I1011" s="4">
        <v>917.76</v>
      </c>
      <c r="J1011">
        <v>4.4000000000000004</v>
      </c>
      <c r="K1011" t="s">
        <v>36</v>
      </c>
      <c r="L1011" t="s">
        <v>28</v>
      </c>
      <c r="O1011"/>
    </row>
    <row r="1012" spans="1:15" x14ac:dyDescent="0.3">
      <c r="A1012" t="s">
        <v>1036</v>
      </c>
      <c r="B1012" s="1">
        <v>45850</v>
      </c>
      <c r="C1012" t="s">
        <v>13</v>
      </c>
      <c r="D1012" t="s">
        <v>22</v>
      </c>
      <c r="E1012" s="2">
        <v>21.89</v>
      </c>
      <c r="F1012" s="3">
        <v>56.12</v>
      </c>
      <c r="G1012" s="4">
        <v>259.24</v>
      </c>
      <c r="H1012">
        <v>1</v>
      </c>
      <c r="I1012" s="4">
        <v>259.24</v>
      </c>
      <c r="J1012">
        <v>3.2</v>
      </c>
      <c r="K1012" t="s">
        <v>33</v>
      </c>
      <c r="L1012" t="s">
        <v>19</v>
      </c>
      <c r="O1012"/>
    </row>
    <row r="1013" spans="1:15" x14ac:dyDescent="0.3">
      <c r="A1013" t="s">
        <v>1037</v>
      </c>
      <c r="B1013" s="1">
        <v>45802</v>
      </c>
      <c r="C1013" t="s">
        <v>25</v>
      </c>
      <c r="D1013" t="s">
        <v>13</v>
      </c>
      <c r="E1013" s="2">
        <v>23.46</v>
      </c>
      <c r="F1013" s="3">
        <v>53.23</v>
      </c>
      <c r="G1013" s="4">
        <v>344.33</v>
      </c>
      <c r="H1013">
        <v>1</v>
      </c>
      <c r="I1013" s="4">
        <v>344.33</v>
      </c>
      <c r="J1013">
        <v>4.9000000000000004</v>
      </c>
      <c r="K1013" t="s">
        <v>18</v>
      </c>
      <c r="L1013" t="s">
        <v>26</v>
      </c>
      <c r="O1013"/>
    </row>
    <row r="1014" spans="1:15" x14ac:dyDescent="0.3">
      <c r="A1014" t="s">
        <v>1038</v>
      </c>
      <c r="B1014" s="1">
        <v>45828</v>
      </c>
      <c r="C1014" t="s">
        <v>13</v>
      </c>
      <c r="D1014" t="s">
        <v>21</v>
      </c>
      <c r="E1014" s="2">
        <v>1.79</v>
      </c>
      <c r="F1014" s="3">
        <v>6.38</v>
      </c>
      <c r="G1014" s="4">
        <v>18.09</v>
      </c>
      <c r="H1014">
        <v>1.2</v>
      </c>
      <c r="I1014" s="4">
        <v>21.71</v>
      </c>
      <c r="J1014">
        <v>4.2</v>
      </c>
      <c r="K1014" t="s">
        <v>30</v>
      </c>
      <c r="L1014" t="s">
        <v>28</v>
      </c>
      <c r="O1014"/>
    </row>
    <row r="1015" spans="1:15" x14ac:dyDescent="0.3">
      <c r="A1015" t="s">
        <v>1039</v>
      </c>
      <c r="B1015" s="1">
        <v>45878</v>
      </c>
      <c r="C1015" t="s">
        <v>13</v>
      </c>
      <c r="D1015" t="s">
        <v>13</v>
      </c>
      <c r="E1015" s="2">
        <v>23.97</v>
      </c>
      <c r="F1015" s="3">
        <v>95.24</v>
      </c>
      <c r="G1015" s="4">
        <v>299.83</v>
      </c>
      <c r="H1015">
        <v>1.5</v>
      </c>
      <c r="I1015" s="4">
        <v>449.74</v>
      </c>
      <c r="J1015">
        <v>4.8</v>
      </c>
      <c r="K1015" t="s">
        <v>30</v>
      </c>
      <c r="L1015" t="s">
        <v>28</v>
      </c>
      <c r="O1015"/>
    </row>
    <row r="1016" spans="1:15" x14ac:dyDescent="0.3">
      <c r="A1016" t="s">
        <v>1040</v>
      </c>
      <c r="B1016" s="1">
        <v>45728</v>
      </c>
      <c r="C1016" t="s">
        <v>22</v>
      </c>
      <c r="D1016" t="s">
        <v>21</v>
      </c>
      <c r="E1016" s="2">
        <v>10.74</v>
      </c>
      <c r="F1016" s="3">
        <v>34.69</v>
      </c>
      <c r="G1016" s="4">
        <v>206.95</v>
      </c>
      <c r="H1016">
        <v>2</v>
      </c>
      <c r="I1016" s="4">
        <v>413.9</v>
      </c>
      <c r="J1016">
        <v>4.9000000000000004</v>
      </c>
      <c r="K1016" t="s">
        <v>18</v>
      </c>
      <c r="L1016" t="s">
        <v>19</v>
      </c>
      <c r="O1016"/>
    </row>
    <row r="1017" spans="1:15" x14ac:dyDescent="0.3">
      <c r="A1017" t="s">
        <v>1041</v>
      </c>
      <c r="B1017" s="1">
        <v>45839</v>
      </c>
      <c r="C1017" t="s">
        <v>13</v>
      </c>
      <c r="D1017" t="s">
        <v>14</v>
      </c>
      <c r="E1017" s="2">
        <v>26.82</v>
      </c>
      <c r="F1017" s="3">
        <v>67.73</v>
      </c>
      <c r="G1017" s="4">
        <v>394.86</v>
      </c>
      <c r="H1017">
        <v>1.5</v>
      </c>
      <c r="I1017" s="4">
        <v>592.29</v>
      </c>
      <c r="J1017">
        <v>3.6</v>
      </c>
      <c r="K1017" t="s">
        <v>36</v>
      </c>
      <c r="L1017" t="s">
        <v>28</v>
      </c>
      <c r="O1017"/>
    </row>
    <row r="1018" spans="1:15" x14ac:dyDescent="0.3">
      <c r="A1018" t="s">
        <v>1042</v>
      </c>
      <c r="B1018" s="1">
        <v>45750</v>
      </c>
      <c r="C1018" t="s">
        <v>21</v>
      </c>
      <c r="D1018" t="s">
        <v>22</v>
      </c>
      <c r="E1018" s="2">
        <v>24.89</v>
      </c>
      <c r="F1018" s="3">
        <v>85.07</v>
      </c>
      <c r="G1018" s="4">
        <v>395.16</v>
      </c>
      <c r="H1018">
        <v>1.2</v>
      </c>
      <c r="I1018" s="4">
        <v>474.19</v>
      </c>
      <c r="J1018">
        <v>4.2</v>
      </c>
      <c r="K1018" t="s">
        <v>15</v>
      </c>
      <c r="L1018" t="s">
        <v>26</v>
      </c>
      <c r="O1018"/>
    </row>
    <row r="1019" spans="1:15" x14ac:dyDescent="0.3">
      <c r="A1019" t="s">
        <v>1043</v>
      </c>
      <c r="B1019" s="1">
        <v>45890</v>
      </c>
      <c r="C1019" t="s">
        <v>13</v>
      </c>
      <c r="D1019" t="s">
        <v>22</v>
      </c>
      <c r="E1019" s="2">
        <v>13.98</v>
      </c>
      <c r="F1019" s="3">
        <v>48.37</v>
      </c>
      <c r="G1019" s="4">
        <v>189.81</v>
      </c>
      <c r="H1019">
        <v>1</v>
      </c>
      <c r="I1019" s="4">
        <v>189.81</v>
      </c>
      <c r="J1019">
        <v>3.5</v>
      </c>
      <c r="K1019" t="s">
        <v>33</v>
      </c>
      <c r="L1019" t="s">
        <v>16</v>
      </c>
      <c r="O1019"/>
    </row>
    <row r="1020" spans="1:15" x14ac:dyDescent="0.3">
      <c r="A1020" t="s">
        <v>1044</v>
      </c>
      <c r="B1020" s="1">
        <v>45829</v>
      </c>
      <c r="C1020" t="s">
        <v>13</v>
      </c>
      <c r="D1020" t="s">
        <v>21</v>
      </c>
      <c r="E1020" s="2">
        <v>3.52</v>
      </c>
      <c r="F1020" s="3">
        <v>9.17</v>
      </c>
      <c r="G1020" s="4">
        <v>69.22</v>
      </c>
      <c r="H1020">
        <v>1.5</v>
      </c>
      <c r="I1020" s="4">
        <v>103.83</v>
      </c>
      <c r="J1020">
        <v>3.8</v>
      </c>
      <c r="K1020" t="s">
        <v>18</v>
      </c>
      <c r="L1020" t="s">
        <v>28</v>
      </c>
      <c r="O1020"/>
    </row>
    <row r="1021" spans="1:15" x14ac:dyDescent="0.3">
      <c r="A1021" t="s">
        <v>1045</v>
      </c>
      <c r="B1021" s="1">
        <v>45744</v>
      </c>
      <c r="C1021" t="s">
        <v>25</v>
      </c>
      <c r="D1021" t="s">
        <v>25</v>
      </c>
      <c r="E1021" s="2">
        <v>24.03</v>
      </c>
      <c r="F1021" s="3">
        <v>78.11</v>
      </c>
      <c r="G1021" s="4">
        <v>465.61</v>
      </c>
      <c r="H1021">
        <v>2</v>
      </c>
      <c r="I1021" s="4">
        <v>931.22</v>
      </c>
      <c r="J1021">
        <v>3.2</v>
      </c>
      <c r="K1021" t="s">
        <v>15</v>
      </c>
      <c r="L1021" t="s">
        <v>26</v>
      </c>
      <c r="O1021"/>
    </row>
    <row r="1022" spans="1:15" x14ac:dyDescent="0.3">
      <c r="A1022" t="s">
        <v>1046</v>
      </c>
      <c r="B1022" s="1">
        <v>45848</v>
      </c>
      <c r="C1022" t="s">
        <v>22</v>
      </c>
      <c r="D1022" t="s">
        <v>14</v>
      </c>
      <c r="E1022" s="2">
        <v>18.7</v>
      </c>
      <c r="F1022" s="3">
        <v>72.64</v>
      </c>
      <c r="G1022" s="4">
        <v>334.39</v>
      </c>
      <c r="H1022">
        <v>1.5</v>
      </c>
      <c r="I1022" s="4">
        <v>501.58</v>
      </c>
      <c r="J1022">
        <v>3.5</v>
      </c>
      <c r="K1022" t="s">
        <v>30</v>
      </c>
      <c r="L1022" t="s">
        <v>26</v>
      </c>
      <c r="O1022"/>
    </row>
    <row r="1023" spans="1:15" x14ac:dyDescent="0.3">
      <c r="A1023" t="s">
        <v>1047</v>
      </c>
      <c r="B1023" s="1">
        <v>45720</v>
      </c>
      <c r="C1023" t="s">
        <v>21</v>
      </c>
      <c r="D1023" t="s">
        <v>22</v>
      </c>
      <c r="E1023" s="2">
        <v>20.96</v>
      </c>
      <c r="F1023" s="3">
        <v>73.31</v>
      </c>
      <c r="G1023" s="4">
        <v>254.27</v>
      </c>
      <c r="H1023">
        <v>1.2</v>
      </c>
      <c r="I1023" s="4">
        <v>305.12</v>
      </c>
      <c r="J1023">
        <v>3.6</v>
      </c>
      <c r="K1023" t="s">
        <v>36</v>
      </c>
      <c r="L1023" t="s">
        <v>28</v>
      </c>
      <c r="O1023"/>
    </row>
    <row r="1024" spans="1:15" x14ac:dyDescent="0.3">
      <c r="A1024" t="s">
        <v>1048</v>
      </c>
      <c r="B1024" s="1">
        <v>45908</v>
      </c>
      <c r="C1024" t="s">
        <v>21</v>
      </c>
      <c r="D1024" t="s">
        <v>21</v>
      </c>
      <c r="E1024" s="2">
        <v>7.86</v>
      </c>
      <c r="F1024" s="3">
        <v>29.59</v>
      </c>
      <c r="G1024" s="4">
        <v>86.22</v>
      </c>
      <c r="H1024">
        <v>2</v>
      </c>
      <c r="I1024" s="4">
        <v>172.44</v>
      </c>
      <c r="J1024">
        <v>5</v>
      </c>
      <c r="K1024" t="s">
        <v>33</v>
      </c>
      <c r="L1024" t="s">
        <v>26</v>
      </c>
      <c r="O1024"/>
    </row>
    <row r="1025" spans="1:15" x14ac:dyDescent="0.3">
      <c r="A1025" t="s">
        <v>1049</v>
      </c>
      <c r="B1025" s="1">
        <v>45854</v>
      </c>
      <c r="C1025" t="s">
        <v>13</v>
      </c>
      <c r="D1025" t="s">
        <v>13</v>
      </c>
      <c r="E1025" s="2">
        <v>2.67</v>
      </c>
      <c r="F1025" s="3">
        <v>9.85</v>
      </c>
      <c r="G1025" s="4">
        <v>28.28</v>
      </c>
      <c r="H1025">
        <v>2</v>
      </c>
      <c r="I1025" s="4">
        <v>56.56</v>
      </c>
      <c r="J1025">
        <v>4.0999999999999996</v>
      </c>
      <c r="K1025" t="s">
        <v>33</v>
      </c>
      <c r="L1025" t="s">
        <v>28</v>
      </c>
      <c r="O1025"/>
    </row>
    <row r="1026" spans="1:15" x14ac:dyDescent="0.3">
      <c r="A1026" t="s">
        <v>1050</v>
      </c>
      <c r="B1026" s="1">
        <v>45671</v>
      </c>
      <c r="C1026" t="s">
        <v>21</v>
      </c>
      <c r="D1026" t="s">
        <v>14</v>
      </c>
      <c r="E1026" s="2">
        <v>9.57</v>
      </c>
      <c r="F1026" s="3">
        <v>20.87</v>
      </c>
      <c r="G1026" s="4">
        <v>159.63</v>
      </c>
      <c r="H1026">
        <v>1.2</v>
      </c>
      <c r="I1026" s="4">
        <v>191.56</v>
      </c>
      <c r="J1026">
        <v>3.7</v>
      </c>
      <c r="K1026" t="s">
        <v>33</v>
      </c>
      <c r="L1026" t="s">
        <v>19</v>
      </c>
      <c r="O1026"/>
    </row>
    <row r="1027" spans="1:15" x14ac:dyDescent="0.3">
      <c r="A1027" t="s">
        <v>1051</v>
      </c>
      <c r="B1027" s="1">
        <v>46001</v>
      </c>
      <c r="C1027" t="s">
        <v>14</v>
      </c>
      <c r="D1027" t="s">
        <v>21</v>
      </c>
      <c r="E1027" s="2">
        <v>24.7</v>
      </c>
      <c r="F1027" s="3">
        <v>50.07</v>
      </c>
      <c r="G1027" s="4">
        <v>468.24</v>
      </c>
      <c r="H1027">
        <v>2</v>
      </c>
      <c r="I1027" s="4">
        <v>936.48</v>
      </c>
      <c r="J1027">
        <v>3.9</v>
      </c>
      <c r="K1027" t="s">
        <v>30</v>
      </c>
      <c r="L1027" t="s">
        <v>26</v>
      </c>
      <c r="O1027"/>
    </row>
    <row r="1028" spans="1:15" x14ac:dyDescent="0.3">
      <c r="A1028" t="s">
        <v>1052</v>
      </c>
      <c r="B1028" s="1">
        <v>45928</v>
      </c>
      <c r="C1028" t="s">
        <v>13</v>
      </c>
      <c r="D1028" t="s">
        <v>21</v>
      </c>
      <c r="E1028" s="2">
        <v>1.94</v>
      </c>
      <c r="F1028" s="3">
        <v>5.18</v>
      </c>
      <c r="G1028" s="4">
        <v>29.37</v>
      </c>
      <c r="H1028">
        <v>1.5</v>
      </c>
      <c r="I1028" s="4">
        <v>44.06</v>
      </c>
      <c r="J1028">
        <v>3.7</v>
      </c>
      <c r="K1028" t="s">
        <v>33</v>
      </c>
      <c r="L1028" t="s">
        <v>28</v>
      </c>
      <c r="O1028"/>
    </row>
    <row r="1029" spans="1:15" x14ac:dyDescent="0.3">
      <c r="A1029" t="s">
        <v>1053</v>
      </c>
      <c r="B1029" s="1">
        <v>45733</v>
      </c>
      <c r="C1029" t="s">
        <v>13</v>
      </c>
      <c r="D1029" t="s">
        <v>14</v>
      </c>
      <c r="E1029" s="2">
        <v>21.46</v>
      </c>
      <c r="F1029" s="3">
        <v>50.97</v>
      </c>
      <c r="G1029" s="4">
        <v>375.68</v>
      </c>
      <c r="H1029">
        <v>1.2</v>
      </c>
      <c r="I1029" s="4">
        <v>450.82</v>
      </c>
      <c r="J1029">
        <v>3.5</v>
      </c>
      <c r="K1029" t="s">
        <v>18</v>
      </c>
      <c r="L1029" t="s">
        <v>26</v>
      </c>
      <c r="O1029"/>
    </row>
    <row r="1030" spans="1:15" x14ac:dyDescent="0.3">
      <c r="A1030" t="s">
        <v>1054</v>
      </c>
      <c r="B1030" s="1">
        <v>45972</v>
      </c>
      <c r="C1030" t="s">
        <v>22</v>
      </c>
      <c r="D1030" t="s">
        <v>14</v>
      </c>
      <c r="E1030" s="2">
        <v>6.38</v>
      </c>
      <c r="F1030" s="3">
        <v>15.08</v>
      </c>
      <c r="G1030" s="4">
        <v>96.52</v>
      </c>
      <c r="H1030">
        <v>2</v>
      </c>
      <c r="I1030" s="4">
        <v>193.04</v>
      </c>
      <c r="J1030">
        <v>4.9000000000000004</v>
      </c>
      <c r="K1030" t="s">
        <v>33</v>
      </c>
      <c r="L1030" t="s">
        <v>19</v>
      </c>
      <c r="O1030"/>
    </row>
    <row r="1031" spans="1:15" x14ac:dyDescent="0.3">
      <c r="A1031" t="s">
        <v>1055</v>
      </c>
      <c r="B1031" s="1">
        <v>45684</v>
      </c>
      <c r="C1031" t="s">
        <v>13</v>
      </c>
      <c r="D1031" t="s">
        <v>21</v>
      </c>
      <c r="E1031" s="2">
        <v>21.5</v>
      </c>
      <c r="F1031" s="3">
        <v>71.14</v>
      </c>
      <c r="G1031" s="4">
        <v>402.59</v>
      </c>
      <c r="H1031">
        <v>1.2</v>
      </c>
      <c r="I1031" s="4">
        <v>483.11</v>
      </c>
      <c r="J1031">
        <v>4.7</v>
      </c>
      <c r="K1031" t="s">
        <v>33</v>
      </c>
      <c r="L1031" t="s">
        <v>16</v>
      </c>
      <c r="O1031"/>
    </row>
    <row r="1032" spans="1:15" x14ac:dyDescent="0.3">
      <c r="A1032" t="s">
        <v>1056</v>
      </c>
      <c r="B1032" s="1">
        <v>45967</v>
      </c>
      <c r="C1032" t="s">
        <v>25</v>
      </c>
      <c r="D1032" t="s">
        <v>13</v>
      </c>
      <c r="E1032" s="2">
        <v>27.85</v>
      </c>
      <c r="F1032" s="3">
        <v>92.46</v>
      </c>
      <c r="G1032" s="4">
        <v>386.77</v>
      </c>
      <c r="H1032">
        <v>2</v>
      </c>
      <c r="I1032" s="4">
        <v>773.54</v>
      </c>
      <c r="J1032">
        <v>3.9</v>
      </c>
      <c r="K1032" t="s">
        <v>30</v>
      </c>
      <c r="L1032" t="s">
        <v>16</v>
      </c>
      <c r="O1032"/>
    </row>
    <row r="1033" spans="1:15" x14ac:dyDescent="0.3">
      <c r="A1033" t="s">
        <v>1057</v>
      </c>
      <c r="B1033" s="1">
        <v>45858</v>
      </c>
      <c r="C1033" t="s">
        <v>13</v>
      </c>
      <c r="D1033" t="s">
        <v>21</v>
      </c>
      <c r="E1033" s="2">
        <v>8.08</v>
      </c>
      <c r="F1033" s="3">
        <v>31.78</v>
      </c>
      <c r="G1033" s="4">
        <v>158.22</v>
      </c>
      <c r="H1033">
        <v>1</v>
      </c>
      <c r="I1033" s="4">
        <v>158.22</v>
      </c>
      <c r="J1033">
        <v>4</v>
      </c>
      <c r="K1033" t="s">
        <v>36</v>
      </c>
      <c r="L1033" t="s">
        <v>16</v>
      </c>
      <c r="O1033"/>
    </row>
    <row r="1034" spans="1:15" x14ac:dyDescent="0.3">
      <c r="A1034" t="s">
        <v>1058</v>
      </c>
      <c r="B1034" s="1">
        <v>45815</v>
      </c>
      <c r="C1034" t="s">
        <v>21</v>
      </c>
      <c r="D1034" t="s">
        <v>25</v>
      </c>
      <c r="E1034" s="2">
        <v>26.97</v>
      </c>
      <c r="F1034" s="3">
        <v>106.08</v>
      </c>
      <c r="G1034" s="4">
        <v>389.3</v>
      </c>
      <c r="H1034">
        <v>2</v>
      </c>
      <c r="I1034" s="4">
        <v>778.6</v>
      </c>
      <c r="J1034">
        <v>3.3</v>
      </c>
      <c r="K1034" t="s">
        <v>33</v>
      </c>
      <c r="L1034" t="s">
        <v>26</v>
      </c>
      <c r="O1034"/>
    </row>
    <row r="1035" spans="1:15" x14ac:dyDescent="0.3">
      <c r="A1035" t="s">
        <v>1059</v>
      </c>
      <c r="B1035" s="1">
        <v>45863</v>
      </c>
      <c r="C1035" t="s">
        <v>13</v>
      </c>
      <c r="D1035" t="s">
        <v>21</v>
      </c>
      <c r="E1035" s="2">
        <v>20.95</v>
      </c>
      <c r="F1035" s="3">
        <v>53.36</v>
      </c>
      <c r="G1035" s="4">
        <v>363.79</v>
      </c>
      <c r="H1035">
        <v>1.2</v>
      </c>
      <c r="I1035" s="4">
        <v>436.55</v>
      </c>
      <c r="J1035">
        <v>3.2</v>
      </c>
      <c r="K1035" t="s">
        <v>18</v>
      </c>
      <c r="L1035" t="s">
        <v>26</v>
      </c>
      <c r="O1035"/>
    </row>
    <row r="1036" spans="1:15" x14ac:dyDescent="0.3">
      <c r="A1036" t="s">
        <v>1060</v>
      </c>
      <c r="B1036" s="1">
        <v>45745</v>
      </c>
      <c r="C1036" t="s">
        <v>21</v>
      </c>
      <c r="D1036" t="s">
        <v>21</v>
      </c>
      <c r="E1036" s="2">
        <v>5.03</v>
      </c>
      <c r="F1036" s="3">
        <v>17.579999999999998</v>
      </c>
      <c r="G1036" s="4">
        <v>52.71</v>
      </c>
      <c r="H1036">
        <v>1.2</v>
      </c>
      <c r="I1036" s="4">
        <v>63.25</v>
      </c>
      <c r="J1036">
        <v>3.6</v>
      </c>
      <c r="K1036" t="s">
        <v>30</v>
      </c>
      <c r="L1036" t="s">
        <v>26</v>
      </c>
      <c r="O1036"/>
    </row>
    <row r="1037" spans="1:15" x14ac:dyDescent="0.3">
      <c r="A1037" t="s">
        <v>1061</v>
      </c>
      <c r="B1037" s="1">
        <v>45835</v>
      </c>
      <c r="C1037" t="s">
        <v>14</v>
      </c>
      <c r="D1037" t="s">
        <v>25</v>
      </c>
      <c r="E1037" s="2">
        <v>1.2</v>
      </c>
      <c r="F1037" s="3">
        <v>4.2300000000000004</v>
      </c>
      <c r="G1037" s="4">
        <v>18.170000000000002</v>
      </c>
      <c r="H1037">
        <v>1.2</v>
      </c>
      <c r="I1037" s="4">
        <v>21.8</v>
      </c>
      <c r="J1037">
        <v>3.9</v>
      </c>
      <c r="K1037" t="s">
        <v>30</v>
      </c>
      <c r="L1037" t="s">
        <v>26</v>
      </c>
      <c r="O1037"/>
    </row>
    <row r="1038" spans="1:15" x14ac:dyDescent="0.3">
      <c r="A1038" t="s">
        <v>1062</v>
      </c>
      <c r="B1038" s="1">
        <v>45765</v>
      </c>
      <c r="C1038" t="s">
        <v>13</v>
      </c>
      <c r="D1038" t="s">
        <v>22</v>
      </c>
      <c r="E1038" s="2">
        <v>29.52</v>
      </c>
      <c r="F1038" s="3">
        <v>73.3</v>
      </c>
      <c r="G1038" s="4">
        <v>496.31</v>
      </c>
      <c r="H1038">
        <v>1.5</v>
      </c>
      <c r="I1038" s="4">
        <v>744.46</v>
      </c>
      <c r="J1038">
        <v>4.7</v>
      </c>
      <c r="K1038" t="s">
        <v>36</v>
      </c>
      <c r="L1038" t="s">
        <v>28</v>
      </c>
      <c r="O1038"/>
    </row>
    <row r="1039" spans="1:15" x14ac:dyDescent="0.3">
      <c r="A1039" t="s">
        <v>1063</v>
      </c>
      <c r="B1039" s="1">
        <v>45776</v>
      </c>
      <c r="C1039" t="s">
        <v>25</v>
      </c>
      <c r="D1039" t="s">
        <v>21</v>
      </c>
      <c r="E1039" s="2">
        <v>1.23</v>
      </c>
      <c r="F1039" s="3">
        <v>3.67</v>
      </c>
      <c r="G1039" s="4">
        <v>24.43</v>
      </c>
      <c r="H1039">
        <v>1.5</v>
      </c>
      <c r="I1039" s="4">
        <v>36.64</v>
      </c>
      <c r="J1039">
        <v>3.4</v>
      </c>
      <c r="K1039" t="s">
        <v>15</v>
      </c>
      <c r="L1039" t="s">
        <v>26</v>
      </c>
      <c r="O1039"/>
    </row>
    <row r="1040" spans="1:15" x14ac:dyDescent="0.3">
      <c r="A1040" t="s">
        <v>1064</v>
      </c>
      <c r="B1040" s="1">
        <v>45701</v>
      </c>
      <c r="C1040" t="s">
        <v>25</v>
      </c>
      <c r="D1040" t="s">
        <v>14</v>
      </c>
      <c r="E1040" s="2">
        <v>20.93</v>
      </c>
      <c r="F1040" s="3">
        <v>75.97</v>
      </c>
      <c r="G1040" s="4">
        <v>296.66000000000003</v>
      </c>
      <c r="H1040">
        <v>2</v>
      </c>
      <c r="I1040" s="4">
        <v>593.32000000000005</v>
      </c>
      <c r="J1040">
        <v>3.4</v>
      </c>
      <c r="K1040" t="s">
        <v>30</v>
      </c>
      <c r="L1040" t="s">
        <v>26</v>
      </c>
      <c r="O1040"/>
    </row>
    <row r="1041" spans="1:15" x14ac:dyDescent="0.3">
      <c r="A1041" t="s">
        <v>1065</v>
      </c>
      <c r="B1041" s="1">
        <v>45871</v>
      </c>
      <c r="C1041" t="s">
        <v>21</v>
      </c>
      <c r="D1041" t="s">
        <v>25</v>
      </c>
      <c r="E1041" s="2">
        <v>20.64</v>
      </c>
      <c r="F1041" s="3">
        <v>46.19</v>
      </c>
      <c r="G1041" s="4">
        <v>220.63</v>
      </c>
      <c r="H1041">
        <v>1</v>
      </c>
      <c r="I1041" s="4">
        <v>220.63</v>
      </c>
      <c r="J1041">
        <v>3.7</v>
      </c>
      <c r="K1041" t="s">
        <v>15</v>
      </c>
      <c r="L1041" t="s">
        <v>16</v>
      </c>
      <c r="O1041"/>
    </row>
    <row r="1042" spans="1:15" x14ac:dyDescent="0.3">
      <c r="A1042" t="s">
        <v>1066</v>
      </c>
      <c r="B1042" s="1">
        <v>45664</v>
      </c>
      <c r="C1042" t="s">
        <v>25</v>
      </c>
      <c r="D1042" t="s">
        <v>22</v>
      </c>
      <c r="E1042" s="2">
        <v>8.3699999999999992</v>
      </c>
      <c r="F1042" s="3">
        <v>31.43</v>
      </c>
      <c r="G1042" s="4">
        <v>91.2</v>
      </c>
      <c r="H1042">
        <v>2</v>
      </c>
      <c r="I1042" s="4">
        <v>182.4</v>
      </c>
      <c r="J1042">
        <v>3.5</v>
      </c>
      <c r="K1042" t="s">
        <v>30</v>
      </c>
      <c r="L1042" t="s">
        <v>16</v>
      </c>
      <c r="O1042"/>
    </row>
    <row r="1043" spans="1:15" x14ac:dyDescent="0.3">
      <c r="A1043" t="s">
        <v>1067</v>
      </c>
      <c r="B1043" s="1">
        <v>45791</v>
      </c>
      <c r="C1043" t="s">
        <v>13</v>
      </c>
      <c r="D1043" t="s">
        <v>14</v>
      </c>
      <c r="E1043" s="2">
        <v>23.05</v>
      </c>
      <c r="F1043" s="3">
        <v>79.400000000000006</v>
      </c>
      <c r="G1043" s="4">
        <v>232.2</v>
      </c>
      <c r="H1043">
        <v>1</v>
      </c>
      <c r="I1043" s="4">
        <v>232.2</v>
      </c>
      <c r="J1043">
        <v>3.7</v>
      </c>
      <c r="K1043" t="s">
        <v>33</v>
      </c>
      <c r="L1043" t="s">
        <v>28</v>
      </c>
      <c r="O1043"/>
    </row>
    <row r="1044" spans="1:15" x14ac:dyDescent="0.3">
      <c r="A1044" t="s">
        <v>1068</v>
      </c>
      <c r="B1044" s="1">
        <v>45681</v>
      </c>
      <c r="C1044" t="s">
        <v>22</v>
      </c>
      <c r="D1044" t="s">
        <v>13</v>
      </c>
      <c r="E1044" s="2">
        <v>26.12</v>
      </c>
      <c r="F1044" s="3">
        <v>97.77</v>
      </c>
      <c r="G1044" s="4">
        <v>370.47</v>
      </c>
      <c r="H1044">
        <v>2</v>
      </c>
      <c r="I1044" s="4">
        <v>740.94</v>
      </c>
      <c r="J1044">
        <v>3.5</v>
      </c>
      <c r="K1044" t="s">
        <v>33</v>
      </c>
      <c r="L1044" t="s">
        <v>26</v>
      </c>
      <c r="O1044"/>
    </row>
    <row r="1045" spans="1:15" x14ac:dyDescent="0.3">
      <c r="A1045" t="s">
        <v>1069</v>
      </c>
      <c r="B1045" s="1">
        <v>45825</v>
      </c>
      <c r="C1045" t="s">
        <v>21</v>
      </c>
      <c r="D1045" t="s">
        <v>22</v>
      </c>
      <c r="E1045" s="2">
        <v>21.78</v>
      </c>
      <c r="F1045" s="3">
        <v>59.18</v>
      </c>
      <c r="G1045" s="4">
        <v>276.13</v>
      </c>
      <c r="H1045">
        <v>1</v>
      </c>
      <c r="I1045" s="4">
        <v>276.13</v>
      </c>
      <c r="J1045">
        <v>4.5999999999999996</v>
      </c>
      <c r="K1045" t="s">
        <v>30</v>
      </c>
      <c r="L1045" t="s">
        <v>19</v>
      </c>
      <c r="O1045"/>
    </row>
    <row r="1046" spans="1:15" x14ac:dyDescent="0.3">
      <c r="A1046" t="s">
        <v>1070</v>
      </c>
      <c r="B1046" s="1">
        <v>45981</v>
      </c>
      <c r="C1046" t="s">
        <v>14</v>
      </c>
      <c r="D1046" t="s">
        <v>14</v>
      </c>
      <c r="E1046" s="2">
        <v>22.65</v>
      </c>
      <c r="F1046" s="3">
        <v>45.87</v>
      </c>
      <c r="G1046" s="4">
        <v>372.48</v>
      </c>
      <c r="H1046">
        <v>2</v>
      </c>
      <c r="I1046" s="4">
        <v>744.96</v>
      </c>
      <c r="J1046">
        <v>3.6</v>
      </c>
      <c r="K1046" t="s">
        <v>30</v>
      </c>
      <c r="L1046" t="s">
        <v>26</v>
      </c>
      <c r="O1046"/>
    </row>
    <row r="1047" spans="1:15" x14ac:dyDescent="0.3">
      <c r="A1047" t="s">
        <v>1071</v>
      </c>
      <c r="B1047" s="1">
        <v>46012</v>
      </c>
      <c r="C1047" t="s">
        <v>21</v>
      </c>
      <c r="D1047" t="s">
        <v>22</v>
      </c>
      <c r="E1047" s="2">
        <v>19.43</v>
      </c>
      <c r="F1047" s="3">
        <v>77.45</v>
      </c>
      <c r="G1047" s="4">
        <v>345.41</v>
      </c>
      <c r="H1047">
        <v>1.2</v>
      </c>
      <c r="I1047" s="4">
        <v>414.49</v>
      </c>
      <c r="J1047">
        <v>3.7</v>
      </c>
      <c r="K1047" t="s">
        <v>33</v>
      </c>
      <c r="L1047" t="s">
        <v>19</v>
      </c>
      <c r="O1047"/>
    </row>
    <row r="1048" spans="1:15" x14ac:dyDescent="0.3">
      <c r="A1048" t="s">
        <v>1072</v>
      </c>
      <c r="B1048" s="1">
        <v>45828</v>
      </c>
      <c r="C1048" t="s">
        <v>14</v>
      </c>
      <c r="D1048" t="s">
        <v>22</v>
      </c>
      <c r="E1048" s="2">
        <v>26.12</v>
      </c>
      <c r="F1048" s="3">
        <v>75.44</v>
      </c>
      <c r="G1048" s="4">
        <v>297</v>
      </c>
      <c r="H1048">
        <v>1.5</v>
      </c>
      <c r="I1048" s="4">
        <v>445.5</v>
      </c>
      <c r="J1048">
        <v>3.6</v>
      </c>
      <c r="K1048" t="s">
        <v>36</v>
      </c>
      <c r="L1048" t="s">
        <v>19</v>
      </c>
      <c r="O1048"/>
    </row>
    <row r="1049" spans="1:15" x14ac:dyDescent="0.3">
      <c r="A1049" t="s">
        <v>1073</v>
      </c>
      <c r="B1049" s="1">
        <v>45873</v>
      </c>
      <c r="C1049" t="s">
        <v>22</v>
      </c>
      <c r="D1049" t="s">
        <v>13</v>
      </c>
      <c r="E1049" s="2">
        <v>27.38</v>
      </c>
      <c r="F1049" s="3">
        <v>101.4</v>
      </c>
      <c r="G1049" s="4">
        <v>288.19</v>
      </c>
      <c r="H1049">
        <v>1</v>
      </c>
      <c r="I1049" s="4">
        <v>288.19</v>
      </c>
      <c r="J1049">
        <v>4.3</v>
      </c>
      <c r="K1049" t="s">
        <v>33</v>
      </c>
      <c r="L1049" t="s">
        <v>26</v>
      </c>
      <c r="O1049"/>
    </row>
    <row r="1050" spans="1:15" x14ac:dyDescent="0.3">
      <c r="A1050" t="s">
        <v>1074</v>
      </c>
      <c r="B1050" s="1">
        <v>45925</v>
      </c>
      <c r="C1050" t="s">
        <v>14</v>
      </c>
      <c r="D1050" t="s">
        <v>14</v>
      </c>
      <c r="E1050" s="2">
        <v>16.41</v>
      </c>
      <c r="F1050" s="3">
        <v>47.85</v>
      </c>
      <c r="G1050" s="4">
        <v>229.21</v>
      </c>
      <c r="H1050">
        <v>1.2</v>
      </c>
      <c r="I1050" s="4">
        <v>275.05</v>
      </c>
      <c r="J1050">
        <v>4.0999999999999996</v>
      </c>
      <c r="K1050" t="s">
        <v>15</v>
      </c>
      <c r="L1050" t="s">
        <v>28</v>
      </c>
      <c r="O1050"/>
    </row>
    <row r="1051" spans="1:15" x14ac:dyDescent="0.3">
      <c r="A1051" t="s">
        <v>1075</v>
      </c>
      <c r="B1051" s="1">
        <v>45830</v>
      </c>
      <c r="C1051" t="s">
        <v>25</v>
      </c>
      <c r="D1051" t="s">
        <v>22</v>
      </c>
      <c r="E1051" s="2">
        <v>1.06</v>
      </c>
      <c r="F1051" s="3">
        <v>2.67</v>
      </c>
      <c r="G1051" s="4">
        <v>16.09</v>
      </c>
      <c r="H1051">
        <v>1.2</v>
      </c>
      <c r="I1051" s="4">
        <v>19.309999999999999</v>
      </c>
      <c r="J1051">
        <v>4.8</v>
      </c>
      <c r="K1051" t="s">
        <v>36</v>
      </c>
      <c r="L1051" t="s">
        <v>28</v>
      </c>
      <c r="O1051"/>
    </row>
    <row r="1052" spans="1:15" x14ac:dyDescent="0.3">
      <c r="A1052" t="s">
        <v>1076</v>
      </c>
      <c r="B1052" s="1">
        <v>45841</v>
      </c>
      <c r="C1052" t="s">
        <v>21</v>
      </c>
      <c r="D1052" t="s">
        <v>25</v>
      </c>
      <c r="E1052" s="2">
        <v>16.86</v>
      </c>
      <c r="F1052" s="3">
        <v>57.81</v>
      </c>
      <c r="G1052" s="4">
        <v>243.56</v>
      </c>
      <c r="H1052">
        <v>1.5</v>
      </c>
      <c r="I1052" s="4">
        <v>365.34</v>
      </c>
      <c r="J1052">
        <v>3.5</v>
      </c>
      <c r="K1052" t="s">
        <v>33</v>
      </c>
      <c r="L1052" t="s">
        <v>16</v>
      </c>
      <c r="O1052"/>
    </row>
    <row r="1053" spans="1:15" x14ac:dyDescent="0.3">
      <c r="A1053" t="s">
        <v>1077</v>
      </c>
      <c r="B1053" s="1">
        <v>45984</v>
      </c>
      <c r="C1053" t="s">
        <v>14</v>
      </c>
      <c r="D1053" t="s">
        <v>22</v>
      </c>
      <c r="E1053" s="2">
        <v>9.6</v>
      </c>
      <c r="F1053" s="3">
        <v>37.049999999999997</v>
      </c>
      <c r="G1053" s="4">
        <v>107.96</v>
      </c>
      <c r="H1053">
        <v>2</v>
      </c>
      <c r="I1053" s="4">
        <v>215.92</v>
      </c>
      <c r="J1053">
        <v>3.6</v>
      </c>
      <c r="K1053" t="s">
        <v>36</v>
      </c>
      <c r="L1053" t="s">
        <v>26</v>
      </c>
      <c r="O1053"/>
    </row>
    <row r="1054" spans="1:15" x14ac:dyDescent="0.3">
      <c r="A1054" t="s">
        <v>1078</v>
      </c>
      <c r="B1054" s="1">
        <v>45856</v>
      </c>
      <c r="C1054" t="s">
        <v>14</v>
      </c>
      <c r="D1054" t="s">
        <v>13</v>
      </c>
      <c r="E1054" s="2">
        <v>9.64</v>
      </c>
      <c r="F1054" s="3">
        <v>28.05</v>
      </c>
      <c r="G1054" s="4">
        <v>112.17</v>
      </c>
      <c r="H1054">
        <v>1.5</v>
      </c>
      <c r="I1054" s="4">
        <v>168.26</v>
      </c>
      <c r="J1054">
        <v>3.2</v>
      </c>
      <c r="K1054" t="s">
        <v>36</v>
      </c>
      <c r="L1054" t="s">
        <v>16</v>
      </c>
      <c r="O1054"/>
    </row>
    <row r="1055" spans="1:15" x14ac:dyDescent="0.3">
      <c r="A1055" t="s">
        <v>1079</v>
      </c>
      <c r="B1055" s="1">
        <v>45727</v>
      </c>
      <c r="C1055" t="s">
        <v>22</v>
      </c>
      <c r="D1055" t="s">
        <v>21</v>
      </c>
      <c r="E1055" s="2">
        <v>9.75</v>
      </c>
      <c r="F1055" s="3">
        <v>37.04</v>
      </c>
      <c r="G1055" s="4">
        <v>158.77000000000001</v>
      </c>
      <c r="H1055">
        <v>1.5</v>
      </c>
      <c r="I1055" s="4">
        <v>238.16</v>
      </c>
      <c r="J1055">
        <v>4.3</v>
      </c>
      <c r="K1055" t="s">
        <v>36</v>
      </c>
      <c r="L1055" t="s">
        <v>28</v>
      </c>
      <c r="O1055"/>
    </row>
    <row r="1056" spans="1:15" x14ac:dyDescent="0.3">
      <c r="A1056" t="s">
        <v>1080</v>
      </c>
      <c r="B1056" s="1">
        <v>46006</v>
      </c>
      <c r="C1056" t="s">
        <v>25</v>
      </c>
      <c r="D1056" t="s">
        <v>21</v>
      </c>
      <c r="E1056" s="2">
        <v>15.49</v>
      </c>
      <c r="F1056" s="3">
        <v>54.67</v>
      </c>
      <c r="G1056" s="4">
        <v>196.03</v>
      </c>
      <c r="H1056">
        <v>1.2</v>
      </c>
      <c r="I1056" s="4">
        <v>235.24</v>
      </c>
      <c r="J1056">
        <v>4.0999999999999996</v>
      </c>
      <c r="K1056" t="s">
        <v>36</v>
      </c>
      <c r="L1056" t="s">
        <v>19</v>
      </c>
      <c r="O1056"/>
    </row>
    <row r="1057" spans="1:15" x14ac:dyDescent="0.3">
      <c r="A1057" t="s">
        <v>1081</v>
      </c>
      <c r="B1057" s="1">
        <v>45931</v>
      </c>
      <c r="C1057" t="s">
        <v>22</v>
      </c>
      <c r="D1057" t="s">
        <v>21</v>
      </c>
      <c r="E1057" s="2">
        <v>19.53</v>
      </c>
      <c r="F1057" s="3">
        <v>42.24</v>
      </c>
      <c r="G1057" s="4">
        <v>280.26</v>
      </c>
      <c r="H1057">
        <v>1.5</v>
      </c>
      <c r="I1057" s="4">
        <v>420.39</v>
      </c>
      <c r="J1057">
        <v>3.6</v>
      </c>
      <c r="K1057" t="s">
        <v>33</v>
      </c>
      <c r="L1057" t="s">
        <v>26</v>
      </c>
      <c r="O1057"/>
    </row>
    <row r="1058" spans="1:15" x14ac:dyDescent="0.3">
      <c r="A1058" t="s">
        <v>1082</v>
      </c>
      <c r="B1058" s="1">
        <v>45736</v>
      </c>
      <c r="C1058" t="s">
        <v>22</v>
      </c>
      <c r="D1058" t="s">
        <v>14</v>
      </c>
      <c r="E1058" s="2">
        <v>4.87</v>
      </c>
      <c r="F1058" s="3">
        <v>16.48</v>
      </c>
      <c r="G1058" s="4">
        <v>87.42</v>
      </c>
      <c r="H1058">
        <v>1</v>
      </c>
      <c r="I1058" s="4">
        <v>87.42</v>
      </c>
      <c r="J1058">
        <v>3.2</v>
      </c>
      <c r="K1058" t="s">
        <v>18</v>
      </c>
      <c r="L1058" t="s">
        <v>26</v>
      </c>
      <c r="O1058"/>
    </row>
    <row r="1059" spans="1:15" x14ac:dyDescent="0.3">
      <c r="A1059" t="s">
        <v>1083</v>
      </c>
      <c r="B1059" s="1">
        <v>46015</v>
      </c>
      <c r="C1059" t="s">
        <v>13</v>
      </c>
      <c r="D1059" t="s">
        <v>22</v>
      </c>
      <c r="E1059" s="2">
        <v>5.22</v>
      </c>
      <c r="F1059" s="3">
        <v>19.600000000000001</v>
      </c>
      <c r="G1059" s="4">
        <v>79.77</v>
      </c>
      <c r="H1059">
        <v>1</v>
      </c>
      <c r="I1059" s="4">
        <v>79.77</v>
      </c>
      <c r="J1059">
        <v>3.5</v>
      </c>
      <c r="K1059" t="s">
        <v>18</v>
      </c>
      <c r="L1059" t="s">
        <v>28</v>
      </c>
      <c r="O1059"/>
    </row>
    <row r="1060" spans="1:15" x14ac:dyDescent="0.3">
      <c r="A1060" t="s">
        <v>1084</v>
      </c>
      <c r="B1060" s="1">
        <v>45982</v>
      </c>
      <c r="C1060" t="s">
        <v>25</v>
      </c>
      <c r="D1060" t="s">
        <v>22</v>
      </c>
      <c r="E1060" s="2">
        <v>19.84</v>
      </c>
      <c r="F1060" s="3">
        <v>74.12</v>
      </c>
      <c r="G1060" s="4">
        <v>362.71</v>
      </c>
      <c r="H1060">
        <v>2</v>
      </c>
      <c r="I1060" s="4">
        <v>725.42</v>
      </c>
      <c r="J1060">
        <v>4.3</v>
      </c>
      <c r="K1060" t="s">
        <v>15</v>
      </c>
      <c r="L1060" t="s">
        <v>19</v>
      </c>
      <c r="O1060"/>
    </row>
    <row r="1061" spans="1:15" x14ac:dyDescent="0.3">
      <c r="A1061" t="s">
        <v>1085</v>
      </c>
      <c r="B1061" s="1">
        <v>46007</v>
      </c>
      <c r="C1061" t="s">
        <v>14</v>
      </c>
      <c r="D1061" t="s">
        <v>13</v>
      </c>
      <c r="E1061" s="2">
        <v>4.26</v>
      </c>
      <c r="F1061" s="3">
        <v>8.94</v>
      </c>
      <c r="G1061" s="4">
        <v>53.57</v>
      </c>
      <c r="H1061">
        <v>1.2</v>
      </c>
      <c r="I1061" s="4">
        <v>64.28</v>
      </c>
      <c r="J1061">
        <v>4.8</v>
      </c>
      <c r="K1061" t="s">
        <v>36</v>
      </c>
      <c r="L1061" t="s">
        <v>28</v>
      </c>
      <c r="O1061"/>
    </row>
    <row r="1062" spans="1:15" x14ac:dyDescent="0.3">
      <c r="A1062" t="s">
        <v>1086</v>
      </c>
      <c r="B1062" s="1">
        <v>45844</v>
      </c>
      <c r="C1062" t="s">
        <v>21</v>
      </c>
      <c r="D1062" t="s">
        <v>13</v>
      </c>
      <c r="E1062" s="2">
        <v>12.17</v>
      </c>
      <c r="F1062" s="3">
        <v>47.29</v>
      </c>
      <c r="G1062" s="4">
        <v>195.98</v>
      </c>
      <c r="H1062">
        <v>1.5</v>
      </c>
      <c r="I1062" s="4">
        <v>293.97000000000003</v>
      </c>
      <c r="J1062">
        <v>3.9</v>
      </c>
      <c r="K1062" t="s">
        <v>36</v>
      </c>
      <c r="L1062" t="s">
        <v>26</v>
      </c>
      <c r="O1062"/>
    </row>
    <row r="1063" spans="1:15" x14ac:dyDescent="0.3">
      <c r="A1063" t="s">
        <v>1087</v>
      </c>
      <c r="B1063" s="1">
        <v>45705</v>
      </c>
      <c r="C1063" t="s">
        <v>22</v>
      </c>
      <c r="D1063" t="s">
        <v>25</v>
      </c>
      <c r="E1063" s="2">
        <v>4.26</v>
      </c>
      <c r="F1063" s="3">
        <v>14.79</v>
      </c>
      <c r="G1063" s="4">
        <v>54.32</v>
      </c>
      <c r="H1063">
        <v>1</v>
      </c>
      <c r="I1063" s="4">
        <v>54.32</v>
      </c>
      <c r="J1063">
        <v>3.3</v>
      </c>
      <c r="K1063" t="s">
        <v>33</v>
      </c>
      <c r="L1063" t="s">
        <v>19</v>
      </c>
      <c r="O1063"/>
    </row>
    <row r="1064" spans="1:15" x14ac:dyDescent="0.3">
      <c r="A1064" t="s">
        <v>1088</v>
      </c>
      <c r="B1064" s="1">
        <v>45696</v>
      </c>
      <c r="C1064" t="s">
        <v>14</v>
      </c>
      <c r="D1064" t="s">
        <v>14</v>
      </c>
      <c r="E1064" s="2">
        <v>29.93</v>
      </c>
      <c r="F1064" s="3">
        <v>75.64</v>
      </c>
      <c r="G1064" s="4">
        <v>382.84</v>
      </c>
      <c r="H1064">
        <v>2</v>
      </c>
      <c r="I1064" s="4">
        <v>765.68</v>
      </c>
      <c r="J1064">
        <v>4.3</v>
      </c>
      <c r="K1064" t="s">
        <v>15</v>
      </c>
      <c r="L1064" t="s">
        <v>16</v>
      </c>
      <c r="O1064"/>
    </row>
    <row r="1065" spans="1:15" x14ac:dyDescent="0.3">
      <c r="A1065" t="s">
        <v>1089</v>
      </c>
      <c r="B1065" s="1">
        <v>46015</v>
      </c>
      <c r="C1065" t="s">
        <v>14</v>
      </c>
      <c r="D1065" t="s">
        <v>14</v>
      </c>
      <c r="E1065" s="2">
        <v>21.2</v>
      </c>
      <c r="F1065" s="3">
        <v>73.150000000000006</v>
      </c>
      <c r="G1065" s="4">
        <v>389.31</v>
      </c>
      <c r="H1065">
        <v>1.5</v>
      </c>
      <c r="I1065" s="4">
        <v>583.96</v>
      </c>
      <c r="J1065">
        <v>3.7</v>
      </c>
      <c r="K1065" t="s">
        <v>15</v>
      </c>
      <c r="L1065" t="s">
        <v>28</v>
      </c>
      <c r="O1065"/>
    </row>
    <row r="1066" spans="1:15" x14ac:dyDescent="0.3">
      <c r="A1066" t="s">
        <v>1090</v>
      </c>
      <c r="B1066" s="1">
        <v>45723</v>
      </c>
      <c r="C1066" t="s">
        <v>22</v>
      </c>
      <c r="D1066" t="s">
        <v>21</v>
      </c>
      <c r="E1066" s="2">
        <v>2.89</v>
      </c>
      <c r="F1066" s="3">
        <v>10.53</v>
      </c>
      <c r="G1066" s="4">
        <v>47.58</v>
      </c>
      <c r="H1066">
        <v>1</v>
      </c>
      <c r="I1066" s="4">
        <v>47.58</v>
      </c>
      <c r="J1066">
        <v>4</v>
      </c>
      <c r="K1066" t="s">
        <v>36</v>
      </c>
      <c r="L1066" t="s">
        <v>16</v>
      </c>
      <c r="O1066"/>
    </row>
    <row r="1067" spans="1:15" x14ac:dyDescent="0.3">
      <c r="A1067" t="s">
        <v>1091</v>
      </c>
      <c r="B1067" s="1">
        <v>45948</v>
      </c>
      <c r="C1067" t="s">
        <v>22</v>
      </c>
      <c r="D1067" t="s">
        <v>14</v>
      </c>
      <c r="E1067" s="2">
        <v>19.86</v>
      </c>
      <c r="F1067" s="3">
        <v>78.739999999999995</v>
      </c>
      <c r="G1067" s="4">
        <v>379.69</v>
      </c>
      <c r="H1067">
        <v>1.2</v>
      </c>
      <c r="I1067" s="4">
        <v>455.63</v>
      </c>
      <c r="J1067">
        <v>4.2</v>
      </c>
      <c r="K1067" t="s">
        <v>30</v>
      </c>
      <c r="L1067" t="s">
        <v>16</v>
      </c>
      <c r="O1067"/>
    </row>
    <row r="1068" spans="1:15" x14ac:dyDescent="0.3">
      <c r="A1068" t="s">
        <v>1092</v>
      </c>
      <c r="B1068" s="1">
        <v>45848</v>
      </c>
      <c r="C1068" t="s">
        <v>14</v>
      </c>
      <c r="D1068" t="s">
        <v>21</v>
      </c>
      <c r="E1068" s="2">
        <v>11.51</v>
      </c>
      <c r="F1068" s="3">
        <v>42.04</v>
      </c>
      <c r="G1068" s="4">
        <v>195.84</v>
      </c>
      <c r="H1068">
        <v>2</v>
      </c>
      <c r="I1068" s="4">
        <v>391.68</v>
      </c>
      <c r="J1068">
        <v>4.7</v>
      </c>
      <c r="K1068" t="s">
        <v>15</v>
      </c>
      <c r="L1068" t="s">
        <v>26</v>
      </c>
      <c r="O1068"/>
    </row>
    <row r="1069" spans="1:15" x14ac:dyDescent="0.3">
      <c r="A1069" t="s">
        <v>1093</v>
      </c>
      <c r="B1069" s="1">
        <v>45922</v>
      </c>
      <c r="C1069" t="s">
        <v>21</v>
      </c>
      <c r="D1069" t="s">
        <v>22</v>
      </c>
      <c r="E1069" s="2">
        <v>13.38</v>
      </c>
      <c r="F1069" s="3">
        <v>39.31</v>
      </c>
      <c r="G1069" s="4">
        <v>258.04000000000002</v>
      </c>
      <c r="H1069">
        <v>1.2</v>
      </c>
      <c r="I1069" s="4">
        <v>309.64999999999998</v>
      </c>
      <c r="J1069">
        <v>3.6</v>
      </c>
      <c r="K1069" t="s">
        <v>33</v>
      </c>
      <c r="L1069" t="s">
        <v>28</v>
      </c>
      <c r="O1069"/>
    </row>
    <row r="1070" spans="1:15" x14ac:dyDescent="0.3">
      <c r="A1070" t="s">
        <v>1094</v>
      </c>
      <c r="B1070" s="1">
        <v>45821</v>
      </c>
      <c r="C1070" t="s">
        <v>14</v>
      </c>
      <c r="D1070" t="s">
        <v>14</v>
      </c>
      <c r="E1070" s="2">
        <v>16.23</v>
      </c>
      <c r="F1070" s="3">
        <v>34.6</v>
      </c>
      <c r="G1070" s="4">
        <v>320.14999999999998</v>
      </c>
      <c r="H1070">
        <v>1</v>
      </c>
      <c r="I1070" s="4">
        <v>320.14999999999998</v>
      </c>
      <c r="J1070">
        <v>5</v>
      </c>
      <c r="K1070" t="s">
        <v>36</v>
      </c>
      <c r="L1070" t="s">
        <v>26</v>
      </c>
      <c r="O1070"/>
    </row>
    <row r="1071" spans="1:15" x14ac:dyDescent="0.3">
      <c r="A1071" t="s">
        <v>1095</v>
      </c>
      <c r="B1071" s="1">
        <v>45875</v>
      </c>
      <c r="C1071" t="s">
        <v>14</v>
      </c>
      <c r="D1071" t="s">
        <v>14</v>
      </c>
      <c r="E1071" s="2">
        <v>20.79</v>
      </c>
      <c r="F1071" s="3">
        <v>69.12</v>
      </c>
      <c r="G1071" s="4">
        <v>356.62</v>
      </c>
      <c r="H1071">
        <v>2</v>
      </c>
      <c r="I1071" s="4">
        <v>713.24</v>
      </c>
      <c r="J1071">
        <v>3.1</v>
      </c>
      <c r="K1071" t="s">
        <v>30</v>
      </c>
      <c r="L1071" t="s">
        <v>19</v>
      </c>
      <c r="O1071"/>
    </row>
    <row r="1072" spans="1:15" x14ac:dyDescent="0.3">
      <c r="A1072" t="s">
        <v>1096</v>
      </c>
      <c r="B1072" s="1">
        <v>45918</v>
      </c>
      <c r="C1072" t="s">
        <v>21</v>
      </c>
      <c r="D1072" t="s">
        <v>22</v>
      </c>
      <c r="E1072" s="2">
        <v>4.63</v>
      </c>
      <c r="F1072" s="3">
        <v>15.33</v>
      </c>
      <c r="G1072" s="4">
        <v>48.14</v>
      </c>
      <c r="H1072">
        <v>1</v>
      </c>
      <c r="I1072" s="4">
        <v>48.14</v>
      </c>
      <c r="J1072">
        <v>3.3</v>
      </c>
      <c r="K1072" t="s">
        <v>15</v>
      </c>
      <c r="L1072" t="s">
        <v>16</v>
      </c>
      <c r="O1072"/>
    </row>
    <row r="1073" spans="1:15" x14ac:dyDescent="0.3">
      <c r="A1073" t="s">
        <v>1097</v>
      </c>
      <c r="B1073" s="1">
        <v>45704</v>
      </c>
      <c r="C1073" t="s">
        <v>22</v>
      </c>
      <c r="D1073" t="s">
        <v>21</v>
      </c>
      <c r="E1073" s="2">
        <v>26.83</v>
      </c>
      <c r="F1073" s="3">
        <v>77.760000000000005</v>
      </c>
      <c r="G1073" s="4">
        <v>391.53</v>
      </c>
      <c r="H1073">
        <v>1</v>
      </c>
      <c r="I1073" s="4">
        <v>391.53</v>
      </c>
      <c r="J1073">
        <v>4.7</v>
      </c>
      <c r="K1073" t="s">
        <v>36</v>
      </c>
      <c r="L1073" t="s">
        <v>19</v>
      </c>
      <c r="O1073"/>
    </row>
    <row r="1074" spans="1:15" x14ac:dyDescent="0.3">
      <c r="A1074" t="s">
        <v>1098</v>
      </c>
      <c r="B1074" s="1">
        <v>45812</v>
      </c>
      <c r="C1074" t="s">
        <v>21</v>
      </c>
      <c r="D1074" t="s">
        <v>21</v>
      </c>
      <c r="E1074" s="2">
        <v>24.82</v>
      </c>
      <c r="F1074" s="3">
        <v>61.78</v>
      </c>
      <c r="G1074" s="4">
        <v>352.77</v>
      </c>
      <c r="H1074">
        <v>1.2</v>
      </c>
      <c r="I1074" s="4">
        <v>423.32</v>
      </c>
      <c r="J1074">
        <v>4.9000000000000004</v>
      </c>
      <c r="K1074" t="s">
        <v>30</v>
      </c>
      <c r="L1074" t="s">
        <v>26</v>
      </c>
      <c r="O1074"/>
    </row>
    <row r="1075" spans="1:15" x14ac:dyDescent="0.3">
      <c r="A1075" t="s">
        <v>1099</v>
      </c>
      <c r="B1075" s="1">
        <v>45921</v>
      </c>
      <c r="C1075" t="s">
        <v>25</v>
      </c>
      <c r="D1075" t="s">
        <v>14</v>
      </c>
      <c r="E1075" s="2">
        <v>13.94</v>
      </c>
      <c r="F1075" s="3">
        <v>46.61</v>
      </c>
      <c r="G1075" s="4">
        <v>185.95</v>
      </c>
      <c r="H1075">
        <v>2</v>
      </c>
      <c r="I1075" s="4">
        <v>371.9</v>
      </c>
      <c r="J1075">
        <v>4.8</v>
      </c>
      <c r="K1075" t="s">
        <v>30</v>
      </c>
      <c r="L1075" t="s">
        <v>19</v>
      </c>
      <c r="O1075"/>
    </row>
    <row r="1076" spans="1:15" x14ac:dyDescent="0.3">
      <c r="A1076" t="s">
        <v>1100</v>
      </c>
      <c r="B1076" s="1">
        <v>45998</v>
      </c>
      <c r="C1076" t="s">
        <v>22</v>
      </c>
      <c r="D1076" t="s">
        <v>25</v>
      </c>
      <c r="E1076" s="2">
        <v>23.04</v>
      </c>
      <c r="F1076" s="3">
        <v>48.33</v>
      </c>
      <c r="G1076" s="4">
        <v>424.8</v>
      </c>
      <c r="H1076">
        <v>1.5</v>
      </c>
      <c r="I1076" s="4">
        <v>637.20000000000005</v>
      </c>
      <c r="J1076">
        <v>4.3</v>
      </c>
      <c r="K1076" t="s">
        <v>30</v>
      </c>
      <c r="L1076" t="s">
        <v>19</v>
      </c>
      <c r="O1076"/>
    </row>
    <row r="1077" spans="1:15" x14ac:dyDescent="0.3">
      <c r="A1077" t="s">
        <v>1101</v>
      </c>
      <c r="B1077" s="1">
        <v>45750</v>
      </c>
      <c r="C1077" t="s">
        <v>21</v>
      </c>
      <c r="D1077" t="s">
        <v>22</v>
      </c>
      <c r="E1077" s="2">
        <v>16.850000000000001</v>
      </c>
      <c r="F1077" s="3">
        <v>36.78</v>
      </c>
      <c r="G1077" s="4">
        <v>295.99</v>
      </c>
      <c r="H1077">
        <v>1</v>
      </c>
      <c r="I1077" s="4">
        <v>295.99</v>
      </c>
      <c r="J1077">
        <v>4.5</v>
      </c>
      <c r="K1077" t="s">
        <v>18</v>
      </c>
      <c r="L1077" t="s">
        <v>19</v>
      </c>
      <c r="O1077"/>
    </row>
    <row r="1078" spans="1:15" x14ac:dyDescent="0.3">
      <c r="A1078" t="s">
        <v>1102</v>
      </c>
      <c r="B1078" s="1">
        <v>45949</v>
      </c>
      <c r="C1078" t="s">
        <v>25</v>
      </c>
      <c r="D1078" t="s">
        <v>22</v>
      </c>
      <c r="E1078" s="2">
        <v>6.46</v>
      </c>
      <c r="F1078" s="3">
        <v>15.3</v>
      </c>
      <c r="G1078" s="4">
        <v>68.28</v>
      </c>
      <c r="H1078">
        <v>1.5</v>
      </c>
      <c r="I1078" s="4">
        <v>102.42</v>
      </c>
      <c r="J1078">
        <v>3.8</v>
      </c>
      <c r="K1078" t="s">
        <v>30</v>
      </c>
      <c r="L1078" t="s">
        <v>19</v>
      </c>
      <c r="O1078"/>
    </row>
    <row r="1079" spans="1:15" x14ac:dyDescent="0.3">
      <c r="A1079" t="s">
        <v>1103</v>
      </c>
      <c r="B1079" s="1">
        <v>45750</v>
      </c>
      <c r="C1079" t="s">
        <v>25</v>
      </c>
      <c r="D1079" t="s">
        <v>13</v>
      </c>
      <c r="E1079" s="2">
        <v>1.51</v>
      </c>
      <c r="F1079" s="3">
        <v>3.17</v>
      </c>
      <c r="G1079" s="4">
        <v>23.75</v>
      </c>
      <c r="H1079">
        <v>1.2</v>
      </c>
      <c r="I1079" s="4">
        <v>28.5</v>
      </c>
      <c r="J1079">
        <v>5</v>
      </c>
      <c r="K1079" t="s">
        <v>15</v>
      </c>
      <c r="L1079" t="s">
        <v>16</v>
      </c>
      <c r="O1079"/>
    </row>
    <row r="1080" spans="1:15" x14ac:dyDescent="0.3">
      <c r="A1080" t="s">
        <v>1104</v>
      </c>
      <c r="B1080" s="1">
        <v>45730</v>
      </c>
      <c r="C1080" t="s">
        <v>13</v>
      </c>
      <c r="D1080" t="s">
        <v>14</v>
      </c>
      <c r="E1080" s="2">
        <v>9.24</v>
      </c>
      <c r="F1080" s="3">
        <v>36.86</v>
      </c>
      <c r="G1080" s="4">
        <v>181.71</v>
      </c>
      <c r="H1080">
        <v>1</v>
      </c>
      <c r="I1080" s="4">
        <v>181.71</v>
      </c>
      <c r="J1080">
        <v>4.5</v>
      </c>
      <c r="K1080" t="s">
        <v>18</v>
      </c>
      <c r="L1080" t="s">
        <v>26</v>
      </c>
      <c r="O1080"/>
    </row>
    <row r="1081" spans="1:15" x14ac:dyDescent="0.3">
      <c r="A1081" t="s">
        <v>1105</v>
      </c>
      <c r="B1081" s="1">
        <v>45877</v>
      </c>
      <c r="C1081" t="s">
        <v>21</v>
      </c>
      <c r="D1081" t="s">
        <v>22</v>
      </c>
      <c r="E1081" s="2">
        <v>21.75</v>
      </c>
      <c r="F1081" s="3">
        <v>73.38</v>
      </c>
      <c r="G1081" s="4">
        <v>411.75</v>
      </c>
      <c r="H1081">
        <v>1.2</v>
      </c>
      <c r="I1081" s="4">
        <v>494.1</v>
      </c>
      <c r="J1081">
        <v>3.7</v>
      </c>
      <c r="K1081" t="s">
        <v>15</v>
      </c>
      <c r="L1081" t="s">
        <v>16</v>
      </c>
      <c r="O1081"/>
    </row>
    <row r="1082" spans="1:15" x14ac:dyDescent="0.3">
      <c r="A1082" t="s">
        <v>1106</v>
      </c>
      <c r="B1082" s="1">
        <v>45940</v>
      </c>
      <c r="C1082" t="s">
        <v>22</v>
      </c>
      <c r="D1082" t="s">
        <v>21</v>
      </c>
      <c r="E1082" s="2">
        <v>21.12</v>
      </c>
      <c r="F1082" s="3">
        <v>55.16</v>
      </c>
      <c r="G1082" s="4">
        <v>371.55</v>
      </c>
      <c r="H1082">
        <v>1.5</v>
      </c>
      <c r="I1082" s="4">
        <v>557.33000000000004</v>
      </c>
      <c r="J1082">
        <v>4.9000000000000004</v>
      </c>
      <c r="K1082" t="s">
        <v>36</v>
      </c>
      <c r="L1082" t="s">
        <v>19</v>
      </c>
      <c r="O1082"/>
    </row>
    <row r="1083" spans="1:15" x14ac:dyDescent="0.3">
      <c r="A1083" t="s">
        <v>1107</v>
      </c>
      <c r="B1083" s="1">
        <v>45987</v>
      </c>
      <c r="C1083" t="s">
        <v>21</v>
      </c>
      <c r="D1083" t="s">
        <v>22</v>
      </c>
      <c r="E1083" s="2">
        <v>15.87</v>
      </c>
      <c r="F1083" s="3">
        <v>42.64</v>
      </c>
      <c r="G1083" s="4">
        <v>210.84</v>
      </c>
      <c r="H1083">
        <v>1.2</v>
      </c>
      <c r="I1083" s="4">
        <v>253.01</v>
      </c>
      <c r="J1083">
        <v>4.2</v>
      </c>
      <c r="K1083" t="s">
        <v>30</v>
      </c>
      <c r="L1083" t="s">
        <v>19</v>
      </c>
      <c r="O1083"/>
    </row>
    <row r="1084" spans="1:15" x14ac:dyDescent="0.3">
      <c r="A1084" t="s">
        <v>1108</v>
      </c>
      <c r="B1084" s="1">
        <v>45983</v>
      </c>
      <c r="C1084" t="s">
        <v>21</v>
      </c>
      <c r="D1084" t="s">
        <v>25</v>
      </c>
      <c r="E1084" s="2">
        <v>23.53</v>
      </c>
      <c r="F1084" s="3">
        <v>50.39</v>
      </c>
      <c r="G1084" s="4">
        <v>390.69</v>
      </c>
      <c r="H1084">
        <v>1.2</v>
      </c>
      <c r="I1084" s="4">
        <v>468.83</v>
      </c>
      <c r="J1084">
        <v>3.1</v>
      </c>
      <c r="K1084" t="s">
        <v>36</v>
      </c>
      <c r="L1084" t="s">
        <v>28</v>
      </c>
      <c r="O1084"/>
    </row>
    <row r="1085" spans="1:15" x14ac:dyDescent="0.3">
      <c r="A1085" t="s">
        <v>1109</v>
      </c>
      <c r="B1085" s="1">
        <v>45950</v>
      </c>
      <c r="C1085" t="s">
        <v>13</v>
      </c>
      <c r="D1085" t="s">
        <v>21</v>
      </c>
      <c r="E1085" s="2">
        <v>15.42</v>
      </c>
      <c r="F1085" s="3">
        <v>60.15</v>
      </c>
      <c r="G1085" s="4">
        <v>200.45</v>
      </c>
      <c r="H1085">
        <v>1</v>
      </c>
      <c r="I1085" s="4">
        <v>200.45</v>
      </c>
      <c r="J1085">
        <v>3.6</v>
      </c>
      <c r="K1085" t="s">
        <v>15</v>
      </c>
      <c r="L1085" t="s">
        <v>19</v>
      </c>
      <c r="O1085"/>
    </row>
    <row r="1086" spans="1:15" x14ac:dyDescent="0.3">
      <c r="A1086" t="s">
        <v>1110</v>
      </c>
      <c r="B1086" s="1">
        <v>45774</v>
      </c>
      <c r="C1086" t="s">
        <v>14</v>
      </c>
      <c r="D1086" t="s">
        <v>14</v>
      </c>
      <c r="E1086" s="2">
        <v>1.97</v>
      </c>
      <c r="F1086" s="3">
        <v>6.22</v>
      </c>
      <c r="G1086" s="4">
        <v>22.98</v>
      </c>
      <c r="H1086">
        <v>1.2</v>
      </c>
      <c r="I1086" s="4">
        <v>27.58</v>
      </c>
      <c r="J1086">
        <v>4.5</v>
      </c>
      <c r="K1086" t="s">
        <v>36</v>
      </c>
      <c r="L1086" t="s">
        <v>28</v>
      </c>
      <c r="O1086"/>
    </row>
    <row r="1087" spans="1:15" x14ac:dyDescent="0.3">
      <c r="A1087" t="s">
        <v>1111</v>
      </c>
      <c r="B1087" s="1">
        <v>45873</v>
      </c>
      <c r="C1087" t="s">
        <v>25</v>
      </c>
      <c r="D1087" t="s">
        <v>21</v>
      </c>
      <c r="E1087" s="2">
        <v>7.83</v>
      </c>
      <c r="F1087" s="3">
        <v>23.4</v>
      </c>
      <c r="G1087" s="4">
        <v>149.93</v>
      </c>
      <c r="H1087">
        <v>1</v>
      </c>
      <c r="I1087" s="4">
        <v>149.93</v>
      </c>
      <c r="J1087">
        <v>3</v>
      </c>
      <c r="K1087" t="s">
        <v>30</v>
      </c>
      <c r="L1087" t="s">
        <v>28</v>
      </c>
      <c r="O1087"/>
    </row>
    <row r="1088" spans="1:15" x14ac:dyDescent="0.3">
      <c r="A1088" t="s">
        <v>1112</v>
      </c>
      <c r="B1088" s="1">
        <v>45692</v>
      </c>
      <c r="C1088" t="s">
        <v>13</v>
      </c>
      <c r="D1088" t="s">
        <v>22</v>
      </c>
      <c r="E1088" s="2">
        <v>29.31</v>
      </c>
      <c r="F1088" s="3">
        <v>71.650000000000006</v>
      </c>
      <c r="G1088" s="4">
        <v>354.1</v>
      </c>
      <c r="H1088">
        <v>1.5</v>
      </c>
      <c r="I1088" s="4">
        <v>531.15</v>
      </c>
      <c r="J1088">
        <v>4.3</v>
      </c>
      <c r="K1088" t="s">
        <v>36</v>
      </c>
      <c r="L1088" t="s">
        <v>19</v>
      </c>
      <c r="O1088"/>
    </row>
    <row r="1089" spans="1:15" x14ac:dyDescent="0.3">
      <c r="A1089" t="s">
        <v>1113</v>
      </c>
      <c r="B1089" s="1">
        <v>45864</v>
      </c>
      <c r="C1089" t="s">
        <v>21</v>
      </c>
      <c r="D1089" t="s">
        <v>25</v>
      </c>
      <c r="E1089" s="2">
        <v>5.55</v>
      </c>
      <c r="F1089" s="3">
        <v>18.690000000000001</v>
      </c>
      <c r="G1089" s="4">
        <v>88.45</v>
      </c>
      <c r="H1089">
        <v>1.5</v>
      </c>
      <c r="I1089" s="4">
        <v>132.68</v>
      </c>
      <c r="J1089">
        <v>4</v>
      </c>
      <c r="K1089" t="s">
        <v>36</v>
      </c>
      <c r="L1089" t="s">
        <v>19</v>
      </c>
      <c r="O1089"/>
    </row>
    <row r="1090" spans="1:15" x14ac:dyDescent="0.3">
      <c r="A1090" t="s">
        <v>1114</v>
      </c>
      <c r="B1090" s="1">
        <v>45725</v>
      </c>
      <c r="C1090" t="s">
        <v>25</v>
      </c>
      <c r="D1090" t="s">
        <v>14</v>
      </c>
      <c r="E1090" s="2">
        <v>13.99</v>
      </c>
      <c r="F1090" s="3">
        <v>39.33</v>
      </c>
      <c r="G1090" s="4">
        <v>277.57</v>
      </c>
      <c r="H1090">
        <v>1.2</v>
      </c>
      <c r="I1090" s="4">
        <v>333.08</v>
      </c>
      <c r="J1090">
        <v>5</v>
      </c>
      <c r="K1090" t="s">
        <v>36</v>
      </c>
      <c r="L1090" t="s">
        <v>26</v>
      </c>
      <c r="O1090"/>
    </row>
    <row r="1091" spans="1:15" x14ac:dyDescent="0.3">
      <c r="A1091" t="s">
        <v>1115</v>
      </c>
      <c r="B1091" s="1">
        <v>45954</v>
      </c>
      <c r="C1091" t="s">
        <v>25</v>
      </c>
      <c r="D1091" t="s">
        <v>13</v>
      </c>
      <c r="E1091" s="2">
        <v>11.28</v>
      </c>
      <c r="F1091" s="3">
        <v>35.299999999999997</v>
      </c>
      <c r="G1091" s="4">
        <v>141.26</v>
      </c>
      <c r="H1091">
        <v>1.5</v>
      </c>
      <c r="I1091" s="4">
        <v>211.89</v>
      </c>
      <c r="J1091">
        <v>3.5</v>
      </c>
      <c r="K1091" t="s">
        <v>18</v>
      </c>
      <c r="L1091" t="s">
        <v>26</v>
      </c>
      <c r="O1091"/>
    </row>
    <row r="1092" spans="1:15" x14ac:dyDescent="0.3">
      <c r="A1092" t="s">
        <v>1116</v>
      </c>
      <c r="B1092" s="1">
        <v>45706</v>
      </c>
      <c r="C1092" t="s">
        <v>14</v>
      </c>
      <c r="D1092" t="s">
        <v>14</v>
      </c>
      <c r="E1092" s="2">
        <v>26.98</v>
      </c>
      <c r="F1092" s="3">
        <v>59.54</v>
      </c>
      <c r="G1092" s="4">
        <v>446.94</v>
      </c>
      <c r="H1092">
        <v>1</v>
      </c>
      <c r="I1092" s="4">
        <v>446.94</v>
      </c>
      <c r="J1092">
        <v>4.2</v>
      </c>
      <c r="K1092" t="s">
        <v>33</v>
      </c>
      <c r="L1092" t="s">
        <v>26</v>
      </c>
      <c r="O1092"/>
    </row>
    <row r="1093" spans="1:15" x14ac:dyDescent="0.3">
      <c r="A1093" t="s">
        <v>1117</v>
      </c>
      <c r="B1093" s="1">
        <v>45789</v>
      </c>
      <c r="C1093" t="s">
        <v>13</v>
      </c>
      <c r="D1093" t="s">
        <v>21</v>
      </c>
      <c r="E1093" s="2">
        <v>16.82</v>
      </c>
      <c r="F1093" s="3">
        <v>56.65</v>
      </c>
      <c r="G1093" s="4">
        <v>200.2</v>
      </c>
      <c r="H1093">
        <v>1</v>
      </c>
      <c r="I1093" s="4">
        <v>200.2</v>
      </c>
      <c r="J1093">
        <v>3.6</v>
      </c>
      <c r="K1093" t="s">
        <v>18</v>
      </c>
      <c r="L1093" t="s">
        <v>16</v>
      </c>
      <c r="O1093"/>
    </row>
    <row r="1094" spans="1:15" x14ac:dyDescent="0.3">
      <c r="A1094" t="s">
        <v>1118</v>
      </c>
      <c r="B1094" s="1">
        <v>45713</v>
      </c>
      <c r="C1094" t="s">
        <v>14</v>
      </c>
      <c r="D1094" t="s">
        <v>25</v>
      </c>
      <c r="E1094" s="2">
        <v>3.06</v>
      </c>
      <c r="F1094" s="3">
        <v>11.13</v>
      </c>
      <c r="G1094" s="4">
        <v>40.869999999999997</v>
      </c>
      <c r="H1094">
        <v>1.5</v>
      </c>
      <c r="I1094" s="4">
        <v>61.3</v>
      </c>
      <c r="J1094">
        <v>3.2</v>
      </c>
      <c r="K1094" t="s">
        <v>18</v>
      </c>
      <c r="L1094" t="s">
        <v>16</v>
      </c>
      <c r="O1094"/>
    </row>
    <row r="1095" spans="1:15" x14ac:dyDescent="0.3">
      <c r="A1095" t="s">
        <v>1119</v>
      </c>
      <c r="B1095" s="1">
        <v>45971</v>
      </c>
      <c r="C1095" t="s">
        <v>14</v>
      </c>
      <c r="D1095" t="s">
        <v>25</v>
      </c>
      <c r="E1095" s="2">
        <v>15.88</v>
      </c>
      <c r="F1095" s="3">
        <v>35.17</v>
      </c>
      <c r="G1095" s="4">
        <v>226.05</v>
      </c>
      <c r="H1095">
        <v>2</v>
      </c>
      <c r="I1095" s="4">
        <v>452.1</v>
      </c>
      <c r="J1095">
        <v>4.3</v>
      </c>
      <c r="K1095" t="s">
        <v>18</v>
      </c>
      <c r="L1095" t="s">
        <v>26</v>
      </c>
      <c r="O1095"/>
    </row>
    <row r="1096" spans="1:15" x14ac:dyDescent="0.3">
      <c r="A1096" t="s">
        <v>1120</v>
      </c>
      <c r="B1096" s="1">
        <v>46014</v>
      </c>
      <c r="C1096" t="s">
        <v>25</v>
      </c>
      <c r="D1096" t="s">
        <v>22</v>
      </c>
      <c r="E1096" s="2">
        <v>3.83</v>
      </c>
      <c r="F1096" s="3">
        <v>8.94</v>
      </c>
      <c r="G1096" s="4">
        <v>73.680000000000007</v>
      </c>
      <c r="H1096">
        <v>1</v>
      </c>
      <c r="I1096" s="4">
        <v>73.680000000000007</v>
      </c>
      <c r="J1096">
        <v>3.3</v>
      </c>
      <c r="K1096" t="s">
        <v>36</v>
      </c>
      <c r="L1096" t="s">
        <v>28</v>
      </c>
      <c r="O1096"/>
    </row>
    <row r="1097" spans="1:15" x14ac:dyDescent="0.3">
      <c r="A1097" t="s">
        <v>1121</v>
      </c>
      <c r="B1097" s="1">
        <v>45826</v>
      </c>
      <c r="C1097" t="s">
        <v>25</v>
      </c>
      <c r="D1097" t="s">
        <v>13</v>
      </c>
      <c r="E1097" s="2">
        <v>11.61</v>
      </c>
      <c r="F1097" s="3">
        <v>28.55</v>
      </c>
      <c r="G1097" s="4">
        <v>141.44</v>
      </c>
      <c r="H1097">
        <v>2</v>
      </c>
      <c r="I1097" s="4">
        <v>282.88</v>
      </c>
      <c r="J1097">
        <v>4.3</v>
      </c>
      <c r="K1097" t="s">
        <v>18</v>
      </c>
      <c r="L1097" t="s">
        <v>26</v>
      </c>
      <c r="O1097"/>
    </row>
    <row r="1098" spans="1:15" x14ac:dyDescent="0.3">
      <c r="A1098" t="s">
        <v>1122</v>
      </c>
      <c r="B1098" s="1">
        <v>45696</v>
      </c>
      <c r="C1098" t="s">
        <v>21</v>
      </c>
      <c r="D1098" t="s">
        <v>13</v>
      </c>
      <c r="E1098" s="2">
        <v>3.98</v>
      </c>
      <c r="F1098" s="3">
        <v>9.33</v>
      </c>
      <c r="G1098" s="4">
        <v>56.95</v>
      </c>
      <c r="H1098">
        <v>2</v>
      </c>
      <c r="I1098" s="4">
        <v>113.9</v>
      </c>
      <c r="J1098">
        <v>4.0999999999999996</v>
      </c>
      <c r="K1098" t="s">
        <v>33</v>
      </c>
      <c r="L1098" t="s">
        <v>19</v>
      </c>
      <c r="O1098"/>
    </row>
    <row r="1099" spans="1:15" x14ac:dyDescent="0.3">
      <c r="A1099" t="s">
        <v>1123</v>
      </c>
      <c r="B1099" s="1">
        <v>45730</v>
      </c>
      <c r="C1099" t="s">
        <v>13</v>
      </c>
      <c r="D1099" t="s">
        <v>13</v>
      </c>
      <c r="E1099" s="2">
        <v>13.32</v>
      </c>
      <c r="F1099" s="3">
        <v>35.74</v>
      </c>
      <c r="G1099" s="4">
        <v>157.63</v>
      </c>
      <c r="H1099">
        <v>2</v>
      </c>
      <c r="I1099" s="4">
        <v>315.26</v>
      </c>
      <c r="J1099">
        <v>4.3</v>
      </c>
      <c r="K1099" t="s">
        <v>18</v>
      </c>
      <c r="L1099" t="s">
        <v>26</v>
      </c>
      <c r="O1099"/>
    </row>
    <row r="1100" spans="1:15" x14ac:dyDescent="0.3">
      <c r="A1100" t="s">
        <v>1124</v>
      </c>
      <c r="B1100" s="1">
        <v>45716</v>
      </c>
      <c r="C1100" t="s">
        <v>14</v>
      </c>
      <c r="D1100" t="s">
        <v>25</v>
      </c>
      <c r="E1100" s="2">
        <v>20.88</v>
      </c>
      <c r="F1100" s="3">
        <v>51.21</v>
      </c>
      <c r="G1100" s="4">
        <v>236.32</v>
      </c>
      <c r="H1100">
        <v>1.5</v>
      </c>
      <c r="I1100" s="4">
        <v>354.48</v>
      </c>
      <c r="J1100">
        <v>4.5999999999999996</v>
      </c>
      <c r="K1100" t="s">
        <v>33</v>
      </c>
      <c r="L1100" t="s">
        <v>16</v>
      </c>
      <c r="O1100"/>
    </row>
    <row r="1101" spans="1:15" x14ac:dyDescent="0.3">
      <c r="A1101" t="s">
        <v>1125</v>
      </c>
      <c r="B1101" s="1">
        <v>45900</v>
      </c>
      <c r="C1101" t="s">
        <v>14</v>
      </c>
      <c r="D1101" t="s">
        <v>13</v>
      </c>
      <c r="E1101" s="2">
        <v>7.48</v>
      </c>
      <c r="F1101" s="3">
        <v>27.78</v>
      </c>
      <c r="G1101" s="4">
        <v>135.91999999999999</v>
      </c>
      <c r="H1101">
        <v>2</v>
      </c>
      <c r="I1101" s="4">
        <v>271.83999999999997</v>
      </c>
      <c r="J1101">
        <v>4.3</v>
      </c>
      <c r="K1101" t="s">
        <v>36</v>
      </c>
      <c r="L1101" t="s">
        <v>16</v>
      </c>
      <c r="O1101"/>
    </row>
    <row r="1102" spans="1:15" x14ac:dyDescent="0.3">
      <c r="A1102" t="s">
        <v>1126</v>
      </c>
      <c r="B1102" s="1">
        <v>45927</v>
      </c>
      <c r="C1102" t="s">
        <v>21</v>
      </c>
      <c r="D1102" t="s">
        <v>13</v>
      </c>
      <c r="E1102" s="2">
        <v>13.7</v>
      </c>
      <c r="F1102" s="3">
        <v>35.9</v>
      </c>
      <c r="G1102" s="4">
        <v>241.41</v>
      </c>
      <c r="H1102">
        <v>1.2</v>
      </c>
      <c r="I1102" s="4">
        <v>289.69</v>
      </c>
      <c r="J1102">
        <v>3.9</v>
      </c>
      <c r="K1102" t="s">
        <v>18</v>
      </c>
      <c r="L1102" t="s">
        <v>16</v>
      </c>
      <c r="O1102"/>
    </row>
    <row r="1103" spans="1:15" x14ac:dyDescent="0.3">
      <c r="A1103" t="s">
        <v>1127</v>
      </c>
      <c r="B1103" s="1">
        <v>45828</v>
      </c>
      <c r="C1103" t="s">
        <v>13</v>
      </c>
      <c r="D1103" t="s">
        <v>14</v>
      </c>
      <c r="E1103" s="2">
        <v>6.07</v>
      </c>
      <c r="F1103" s="3">
        <v>22.76</v>
      </c>
      <c r="G1103" s="4">
        <v>105.46</v>
      </c>
      <c r="H1103">
        <v>1</v>
      </c>
      <c r="I1103" s="4">
        <v>105.46</v>
      </c>
      <c r="J1103">
        <v>3.9</v>
      </c>
      <c r="K1103" t="s">
        <v>30</v>
      </c>
      <c r="L1103" t="s">
        <v>26</v>
      </c>
      <c r="O1103"/>
    </row>
    <row r="1104" spans="1:15" x14ac:dyDescent="0.3">
      <c r="A1104" t="s">
        <v>1128</v>
      </c>
      <c r="B1104" s="1">
        <v>45803</v>
      </c>
      <c r="C1104" t="s">
        <v>25</v>
      </c>
      <c r="D1104" t="s">
        <v>13</v>
      </c>
      <c r="E1104" s="2">
        <v>8.77</v>
      </c>
      <c r="F1104" s="3">
        <v>33.54</v>
      </c>
      <c r="G1104" s="4">
        <v>143.22999999999999</v>
      </c>
      <c r="H1104">
        <v>1.2</v>
      </c>
      <c r="I1104" s="4">
        <v>171.88</v>
      </c>
      <c r="J1104">
        <v>3.7</v>
      </c>
      <c r="K1104" t="s">
        <v>18</v>
      </c>
      <c r="L1104" t="s">
        <v>28</v>
      </c>
      <c r="O1104"/>
    </row>
    <row r="1105" spans="1:15" x14ac:dyDescent="0.3">
      <c r="A1105" t="s">
        <v>1129</v>
      </c>
      <c r="B1105" s="1">
        <v>45777</v>
      </c>
      <c r="C1105" t="s">
        <v>22</v>
      </c>
      <c r="D1105" t="s">
        <v>13</v>
      </c>
      <c r="E1105" s="2">
        <v>23.95</v>
      </c>
      <c r="F1105" s="3">
        <v>80.5</v>
      </c>
      <c r="G1105" s="4">
        <v>311.24</v>
      </c>
      <c r="H1105">
        <v>1.2</v>
      </c>
      <c r="I1105" s="4">
        <v>373.49</v>
      </c>
      <c r="J1105">
        <v>3.3</v>
      </c>
      <c r="K1105" t="s">
        <v>15</v>
      </c>
      <c r="L1105" t="s">
        <v>26</v>
      </c>
      <c r="O1105"/>
    </row>
    <row r="1106" spans="1:15" x14ac:dyDescent="0.3">
      <c r="A1106" t="s">
        <v>1130</v>
      </c>
      <c r="B1106" s="1">
        <v>45829</v>
      </c>
      <c r="C1106" t="s">
        <v>25</v>
      </c>
      <c r="D1106" t="s">
        <v>13</v>
      </c>
      <c r="E1106" s="2">
        <v>27.05</v>
      </c>
      <c r="F1106" s="3">
        <v>104.71</v>
      </c>
      <c r="G1106" s="4">
        <v>535.54</v>
      </c>
      <c r="H1106">
        <v>1.2</v>
      </c>
      <c r="I1106" s="4">
        <v>642.65</v>
      </c>
      <c r="J1106">
        <v>4.2</v>
      </c>
      <c r="K1106" t="s">
        <v>33</v>
      </c>
      <c r="L1106" t="s">
        <v>26</v>
      </c>
      <c r="O1106"/>
    </row>
    <row r="1107" spans="1:15" x14ac:dyDescent="0.3">
      <c r="A1107" t="s">
        <v>1131</v>
      </c>
      <c r="B1107" s="1">
        <v>45977</v>
      </c>
      <c r="C1107" t="s">
        <v>25</v>
      </c>
      <c r="D1107" t="s">
        <v>14</v>
      </c>
      <c r="E1107" s="2">
        <v>2.34</v>
      </c>
      <c r="F1107" s="3">
        <v>7.39</v>
      </c>
      <c r="G1107" s="4">
        <v>44.75</v>
      </c>
      <c r="H1107">
        <v>2</v>
      </c>
      <c r="I1107" s="4">
        <v>89.5</v>
      </c>
      <c r="J1107">
        <v>4.5999999999999996</v>
      </c>
      <c r="K1107" t="s">
        <v>33</v>
      </c>
      <c r="L1107" t="s">
        <v>16</v>
      </c>
      <c r="O1107"/>
    </row>
    <row r="1108" spans="1:15" x14ac:dyDescent="0.3">
      <c r="A1108" t="s">
        <v>1132</v>
      </c>
      <c r="B1108" s="1">
        <v>45970</v>
      </c>
      <c r="C1108" t="s">
        <v>22</v>
      </c>
      <c r="D1108" t="s">
        <v>25</v>
      </c>
      <c r="E1108" s="2">
        <v>7.13</v>
      </c>
      <c r="F1108" s="3">
        <v>18.04</v>
      </c>
      <c r="G1108" s="4">
        <v>118.56</v>
      </c>
      <c r="H1108">
        <v>2</v>
      </c>
      <c r="I1108" s="4">
        <v>237.12</v>
      </c>
      <c r="J1108">
        <v>3.5</v>
      </c>
      <c r="K1108" t="s">
        <v>33</v>
      </c>
      <c r="L1108" t="s">
        <v>28</v>
      </c>
      <c r="O1108"/>
    </row>
    <row r="1109" spans="1:15" x14ac:dyDescent="0.3">
      <c r="A1109" t="s">
        <v>1133</v>
      </c>
      <c r="B1109" s="1">
        <v>45665</v>
      </c>
      <c r="C1109" t="s">
        <v>21</v>
      </c>
      <c r="D1109" t="s">
        <v>13</v>
      </c>
      <c r="E1109" s="2">
        <v>15.58</v>
      </c>
      <c r="F1109" s="3">
        <v>55.94</v>
      </c>
      <c r="G1109" s="4">
        <v>176.95</v>
      </c>
      <c r="H1109">
        <v>1.5</v>
      </c>
      <c r="I1109" s="4">
        <v>265.42</v>
      </c>
      <c r="J1109">
        <v>3.7</v>
      </c>
      <c r="K1109" t="s">
        <v>30</v>
      </c>
      <c r="L1109" t="s">
        <v>28</v>
      </c>
      <c r="O1109"/>
    </row>
    <row r="1110" spans="1:15" x14ac:dyDescent="0.3">
      <c r="A1110" t="s">
        <v>1134</v>
      </c>
      <c r="B1110" s="1">
        <v>45891</v>
      </c>
      <c r="C1110" t="s">
        <v>14</v>
      </c>
      <c r="D1110" t="s">
        <v>22</v>
      </c>
      <c r="E1110" s="2">
        <v>5.75</v>
      </c>
      <c r="F1110" s="3">
        <v>14.94</v>
      </c>
      <c r="G1110" s="4">
        <v>63.26</v>
      </c>
      <c r="H1110">
        <v>2</v>
      </c>
      <c r="I1110" s="4">
        <v>126.52</v>
      </c>
      <c r="J1110">
        <v>4.5999999999999996</v>
      </c>
      <c r="K1110" t="s">
        <v>15</v>
      </c>
      <c r="L1110" t="s">
        <v>19</v>
      </c>
      <c r="O1110"/>
    </row>
    <row r="1111" spans="1:15" x14ac:dyDescent="0.3">
      <c r="A1111" t="s">
        <v>1135</v>
      </c>
      <c r="B1111" s="1">
        <v>45842</v>
      </c>
      <c r="C1111" t="s">
        <v>21</v>
      </c>
      <c r="D1111" t="s">
        <v>14</v>
      </c>
      <c r="E1111" s="2">
        <v>8.56</v>
      </c>
      <c r="F1111" s="3">
        <v>18.7</v>
      </c>
      <c r="G1111" s="4">
        <v>119.79</v>
      </c>
      <c r="H1111">
        <v>1.5</v>
      </c>
      <c r="I1111" s="4">
        <v>179.68</v>
      </c>
      <c r="J1111">
        <v>4.3</v>
      </c>
      <c r="K1111" t="s">
        <v>30</v>
      </c>
      <c r="L1111" t="s">
        <v>16</v>
      </c>
      <c r="O1111"/>
    </row>
    <row r="1112" spans="1:15" x14ac:dyDescent="0.3">
      <c r="A1112" t="s">
        <v>1136</v>
      </c>
      <c r="B1112" s="1">
        <v>45682</v>
      </c>
      <c r="C1112" t="s">
        <v>14</v>
      </c>
      <c r="D1112" t="s">
        <v>22</v>
      </c>
      <c r="E1112" s="2">
        <v>21.56</v>
      </c>
      <c r="F1112" s="3">
        <v>82.19</v>
      </c>
      <c r="G1112" s="4">
        <v>245.3</v>
      </c>
      <c r="H1112">
        <v>1.5</v>
      </c>
      <c r="I1112" s="4">
        <v>367.95</v>
      </c>
      <c r="J1112">
        <v>3.6</v>
      </c>
      <c r="K1112" t="s">
        <v>36</v>
      </c>
      <c r="L1112" t="s">
        <v>19</v>
      </c>
      <c r="O1112"/>
    </row>
    <row r="1113" spans="1:15" x14ac:dyDescent="0.3">
      <c r="A1113" t="s">
        <v>1137</v>
      </c>
      <c r="B1113" s="1">
        <v>45903</v>
      </c>
      <c r="C1113" t="s">
        <v>13</v>
      </c>
      <c r="D1113" t="s">
        <v>13</v>
      </c>
      <c r="E1113" s="2">
        <v>2.64</v>
      </c>
      <c r="F1113" s="3">
        <v>5.92</v>
      </c>
      <c r="G1113" s="4">
        <v>41.73</v>
      </c>
      <c r="H1113">
        <v>1.2</v>
      </c>
      <c r="I1113" s="4">
        <v>50.08</v>
      </c>
      <c r="J1113">
        <v>3.5</v>
      </c>
      <c r="K1113" t="s">
        <v>30</v>
      </c>
      <c r="L1113" t="s">
        <v>26</v>
      </c>
      <c r="O1113"/>
    </row>
    <row r="1114" spans="1:15" x14ac:dyDescent="0.3">
      <c r="A1114" t="s">
        <v>1138</v>
      </c>
      <c r="B1114" s="1">
        <v>45990</v>
      </c>
      <c r="C1114" t="s">
        <v>13</v>
      </c>
      <c r="D1114" t="s">
        <v>13</v>
      </c>
      <c r="E1114" s="2">
        <v>25.45</v>
      </c>
      <c r="F1114" s="3">
        <v>73.599999999999994</v>
      </c>
      <c r="G1114" s="4">
        <v>434.83</v>
      </c>
      <c r="H1114">
        <v>2</v>
      </c>
      <c r="I1114" s="4">
        <v>869.66</v>
      </c>
      <c r="J1114">
        <v>5</v>
      </c>
      <c r="K1114" t="s">
        <v>18</v>
      </c>
      <c r="L1114" t="s">
        <v>19</v>
      </c>
      <c r="O1114"/>
    </row>
    <row r="1115" spans="1:15" x14ac:dyDescent="0.3">
      <c r="A1115" t="s">
        <v>1139</v>
      </c>
      <c r="B1115" s="1">
        <v>45819</v>
      </c>
      <c r="C1115" t="s">
        <v>21</v>
      </c>
      <c r="D1115" t="s">
        <v>21</v>
      </c>
      <c r="E1115" s="2">
        <v>19.48</v>
      </c>
      <c r="F1115" s="3">
        <v>41.71</v>
      </c>
      <c r="G1115" s="4">
        <v>265.23</v>
      </c>
      <c r="H1115">
        <v>1.5</v>
      </c>
      <c r="I1115" s="4">
        <v>397.84</v>
      </c>
      <c r="J1115">
        <v>3.6</v>
      </c>
      <c r="K1115" t="s">
        <v>18</v>
      </c>
      <c r="L1115" t="s">
        <v>19</v>
      </c>
      <c r="O1115"/>
    </row>
    <row r="1116" spans="1:15" x14ac:dyDescent="0.3">
      <c r="A1116" t="s">
        <v>1140</v>
      </c>
      <c r="B1116" s="1">
        <v>45660</v>
      </c>
      <c r="C1116" t="s">
        <v>13</v>
      </c>
      <c r="D1116" t="s">
        <v>21</v>
      </c>
      <c r="E1116" s="2">
        <v>14.76</v>
      </c>
      <c r="F1116" s="3">
        <v>53.61</v>
      </c>
      <c r="G1116" s="4">
        <v>211.37</v>
      </c>
      <c r="H1116">
        <v>1.5</v>
      </c>
      <c r="I1116" s="4">
        <v>317.06</v>
      </c>
      <c r="J1116">
        <v>3.8</v>
      </c>
      <c r="K1116" t="s">
        <v>15</v>
      </c>
      <c r="L1116" t="s">
        <v>28</v>
      </c>
      <c r="O1116"/>
    </row>
    <row r="1117" spans="1:15" x14ac:dyDescent="0.3">
      <c r="A1117" t="s">
        <v>1141</v>
      </c>
      <c r="B1117" s="1">
        <v>45962</v>
      </c>
      <c r="C1117" t="s">
        <v>22</v>
      </c>
      <c r="D1117" t="s">
        <v>21</v>
      </c>
      <c r="E1117" s="2">
        <v>26.71</v>
      </c>
      <c r="F1117" s="3">
        <v>75.37</v>
      </c>
      <c r="G1117" s="4">
        <v>428.51</v>
      </c>
      <c r="H1117">
        <v>1.5</v>
      </c>
      <c r="I1117" s="4">
        <v>642.76</v>
      </c>
      <c r="J1117">
        <v>4.8</v>
      </c>
      <c r="K1117" t="s">
        <v>18</v>
      </c>
      <c r="L1117" t="s">
        <v>19</v>
      </c>
      <c r="O1117"/>
    </row>
    <row r="1118" spans="1:15" x14ac:dyDescent="0.3">
      <c r="A1118" t="s">
        <v>1142</v>
      </c>
      <c r="B1118" s="1">
        <v>45803</v>
      </c>
      <c r="C1118" t="s">
        <v>14</v>
      </c>
      <c r="D1118" t="s">
        <v>13</v>
      </c>
      <c r="E1118" s="2">
        <v>5.19</v>
      </c>
      <c r="F1118" s="3">
        <v>11.35</v>
      </c>
      <c r="G1118" s="4">
        <v>52.77</v>
      </c>
      <c r="H1118">
        <v>1.2</v>
      </c>
      <c r="I1118" s="4">
        <v>63.32</v>
      </c>
      <c r="J1118">
        <v>3.6</v>
      </c>
      <c r="K1118" t="s">
        <v>18</v>
      </c>
      <c r="L1118" t="s">
        <v>28</v>
      </c>
      <c r="O1118"/>
    </row>
    <row r="1119" spans="1:15" x14ac:dyDescent="0.3">
      <c r="A1119" t="s">
        <v>1143</v>
      </c>
      <c r="B1119" s="1">
        <v>45771</v>
      </c>
      <c r="C1119" t="s">
        <v>25</v>
      </c>
      <c r="D1119" t="s">
        <v>13</v>
      </c>
      <c r="E1119" s="2">
        <v>11.01</v>
      </c>
      <c r="F1119" s="3">
        <v>25.82</v>
      </c>
      <c r="G1119" s="4">
        <v>178.58</v>
      </c>
      <c r="H1119">
        <v>1.2</v>
      </c>
      <c r="I1119" s="4">
        <v>214.3</v>
      </c>
      <c r="J1119">
        <v>3.3</v>
      </c>
      <c r="K1119" t="s">
        <v>30</v>
      </c>
      <c r="L1119" t="s">
        <v>16</v>
      </c>
      <c r="O1119"/>
    </row>
    <row r="1120" spans="1:15" x14ac:dyDescent="0.3">
      <c r="A1120" t="s">
        <v>1144</v>
      </c>
      <c r="B1120" s="1">
        <v>45986</v>
      </c>
      <c r="C1120" t="s">
        <v>14</v>
      </c>
      <c r="D1120" t="s">
        <v>13</v>
      </c>
      <c r="E1120" s="2">
        <v>6.58</v>
      </c>
      <c r="F1120" s="3">
        <v>22.6</v>
      </c>
      <c r="G1120" s="4">
        <v>109.51</v>
      </c>
      <c r="H1120">
        <v>1.5</v>
      </c>
      <c r="I1120" s="4">
        <v>164.26</v>
      </c>
      <c r="J1120">
        <v>4.5</v>
      </c>
      <c r="K1120" t="s">
        <v>30</v>
      </c>
      <c r="L1120" t="s">
        <v>16</v>
      </c>
      <c r="O1120"/>
    </row>
    <row r="1121" spans="1:15" x14ac:dyDescent="0.3">
      <c r="A1121" t="s">
        <v>1145</v>
      </c>
      <c r="B1121" s="1">
        <v>45985</v>
      </c>
      <c r="C1121" t="s">
        <v>25</v>
      </c>
      <c r="D1121" t="s">
        <v>21</v>
      </c>
      <c r="E1121" s="2">
        <v>21</v>
      </c>
      <c r="F1121" s="3">
        <v>81.709999999999994</v>
      </c>
      <c r="G1121" s="4">
        <v>342.75</v>
      </c>
      <c r="H1121">
        <v>1.5</v>
      </c>
      <c r="I1121" s="4">
        <v>514.12</v>
      </c>
      <c r="J1121">
        <v>3.9</v>
      </c>
      <c r="K1121" t="s">
        <v>15</v>
      </c>
      <c r="L1121" t="s">
        <v>28</v>
      </c>
      <c r="O1121"/>
    </row>
    <row r="1122" spans="1:15" x14ac:dyDescent="0.3">
      <c r="A1122" t="s">
        <v>1146</v>
      </c>
      <c r="B1122" s="1">
        <v>45827</v>
      </c>
      <c r="C1122" t="s">
        <v>14</v>
      </c>
      <c r="D1122" t="s">
        <v>21</v>
      </c>
      <c r="E1122" s="2">
        <v>22.77</v>
      </c>
      <c r="F1122" s="3">
        <v>79.53</v>
      </c>
      <c r="G1122" s="4">
        <v>260.83</v>
      </c>
      <c r="H1122">
        <v>1</v>
      </c>
      <c r="I1122" s="4">
        <v>260.83</v>
      </c>
      <c r="J1122">
        <v>4.5</v>
      </c>
      <c r="K1122" t="s">
        <v>15</v>
      </c>
      <c r="L1122" t="s">
        <v>16</v>
      </c>
      <c r="O1122"/>
    </row>
    <row r="1123" spans="1:15" x14ac:dyDescent="0.3">
      <c r="A1123" t="s">
        <v>1147</v>
      </c>
      <c r="B1123" s="1">
        <v>45673</v>
      </c>
      <c r="C1123" t="s">
        <v>21</v>
      </c>
      <c r="D1123" t="s">
        <v>22</v>
      </c>
      <c r="E1123" s="2">
        <v>24.58</v>
      </c>
      <c r="F1123" s="3">
        <v>78.09</v>
      </c>
      <c r="G1123" s="4">
        <v>297.61</v>
      </c>
      <c r="H1123">
        <v>1</v>
      </c>
      <c r="I1123" s="4">
        <v>297.61</v>
      </c>
      <c r="J1123">
        <v>3.9</v>
      </c>
      <c r="K1123" t="s">
        <v>18</v>
      </c>
      <c r="L1123" t="s">
        <v>26</v>
      </c>
      <c r="O1123"/>
    </row>
    <row r="1124" spans="1:15" x14ac:dyDescent="0.3">
      <c r="A1124" t="s">
        <v>1148</v>
      </c>
      <c r="B1124" s="1">
        <v>45834</v>
      </c>
      <c r="C1124" t="s">
        <v>13</v>
      </c>
      <c r="D1124" t="s">
        <v>14</v>
      </c>
      <c r="E1124" s="2">
        <v>13.05</v>
      </c>
      <c r="F1124" s="3">
        <v>32.840000000000003</v>
      </c>
      <c r="G1124" s="4">
        <v>243.65</v>
      </c>
      <c r="H1124">
        <v>1</v>
      </c>
      <c r="I1124" s="4">
        <v>243.65</v>
      </c>
      <c r="J1124">
        <v>4.0999999999999996</v>
      </c>
      <c r="K1124" t="s">
        <v>18</v>
      </c>
      <c r="L1124" t="s">
        <v>19</v>
      </c>
      <c r="O1124"/>
    </row>
    <row r="1125" spans="1:15" x14ac:dyDescent="0.3">
      <c r="A1125" t="s">
        <v>1149</v>
      </c>
      <c r="B1125" s="1">
        <v>46010</v>
      </c>
      <c r="C1125" t="s">
        <v>21</v>
      </c>
      <c r="D1125" t="s">
        <v>22</v>
      </c>
      <c r="E1125" s="2">
        <v>15.15</v>
      </c>
      <c r="F1125" s="3">
        <v>36.49</v>
      </c>
      <c r="G1125" s="4">
        <v>246.46</v>
      </c>
      <c r="H1125">
        <v>2</v>
      </c>
      <c r="I1125" s="4">
        <v>492.92</v>
      </c>
      <c r="J1125">
        <v>4.4000000000000004</v>
      </c>
      <c r="K1125" t="s">
        <v>30</v>
      </c>
      <c r="L1125" t="s">
        <v>28</v>
      </c>
      <c r="O1125"/>
    </row>
    <row r="1126" spans="1:15" x14ac:dyDescent="0.3">
      <c r="A1126" t="s">
        <v>1150</v>
      </c>
      <c r="B1126" s="1">
        <v>45811</v>
      </c>
      <c r="C1126" t="s">
        <v>13</v>
      </c>
      <c r="D1126" t="s">
        <v>22</v>
      </c>
      <c r="E1126" s="2">
        <v>13.8</v>
      </c>
      <c r="F1126" s="3">
        <v>31.21</v>
      </c>
      <c r="G1126" s="4">
        <v>178.16</v>
      </c>
      <c r="H1126">
        <v>1.2</v>
      </c>
      <c r="I1126" s="4">
        <v>213.79</v>
      </c>
      <c r="J1126">
        <v>4.5999999999999996</v>
      </c>
      <c r="K1126" t="s">
        <v>36</v>
      </c>
      <c r="L1126" t="s">
        <v>26</v>
      </c>
      <c r="O1126"/>
    </row>
    <row r="1127" spans="1:15" x14ac:dyDescent="0.3">
      <c r="A1127" t="s">
        <v>1151</v>
      </c>
      <c r="B1127" s="1">
        <v>45823</v>
      </c>
      <c r="C1127" t="s">
        <v>25</v>
      </c>
      <c r="D1127" t="s">
        <v>14</v>
      </c>
      <c r="E1127" s="2">
        <v>1.02</v>
      </c>
      <c r="F1127" s="3">
        <v>3.25</v>
      </c>
      <c r="G1127" s="4">
        <v>17.54</v>
      </c>
      <c r="H1127">
        <v>2</v>
      </c>
      <c r="I1127" s="4">
        <v>35.08</v>
      </c>
      <c r="J1127">
        <v>3.4</v>
      </c>
      <c r="K1127" t="s">
        <v>33</v>
      </c>
      <c r="L1127" t="s">
        <v>16</v>
      </c>
      <c r="O1127"/>
    </row>
    <row r="1128" spans="1:15" x14ac:dyDescent="0.3">
      <c r="A1128" t="s">
        <v>1152</v>
      </c>
      <c r="B1128" s="1">
        <v>45904</v>
      </c>
      <c r="C1128" t="s">
        <v>13</v>
      </c>
      <c r="D1128" t="s">
        <v>25</v>
      </c>
      <c r="E1128" s="2">
        <v>7.31</v>
      </c>
      <c r="F1128" s="3">
        <v>18.28</v>
      </c>
      <c r="G1128" s="4">
        <v>133.9</v>
      </c>
      <c r="H1128">
        <v>1.2</v>
      </c>
      <c r="I1128" s="4">
        <v>160.68</v>
      </c>
      <c r="J1128">
        <v>4.9000000000000004</v>
      </c>
      <c r="K1128" t="s">
        <v>15</v>
      </c>
      <c r="L1128" t="s">
        <v>28</v>
      </c>
      <c r="O1128"/>
    </row>
    <row r="1129" spans="1:15" x14ac:dyDescent="0.3">
      <c r="A1129" t="s">
        <v>1153</v>
      </c>
      <c r="B1129" s="1">
        <v>45797</v>
      </c>
      <c r="C1129" t="s">
        <v>13</v>
      </c>
      <c r="D1129" t="s">
        <v>14</v>
      </c>
      <c r="E1129" s="2">
        <v>19.309999999999999</v>
      </c>
      <c r="F1129" s="3">
        <v>59.59</v>
      </c>
      <c r="G1129" s="4">
        <v>218.08</v>
      </c>
      <c r="H1129">
        <v>1.5</v>
      </c>
      <c r="I1129" s="4">
        <v>327.12</v>
      </c>
      <c r="J1129">
        <v>3.3</v>
      </c>
      <c r="K1129" t="s">
        <v>33</v>
      </c>
      <c r="L1129" t="s">
        <v>26</v>
      </c>
      <c r="O1129"/>
    </row>
    <row r="1130" spans="1:15" x14ac:dyDescent="0.3">
      <c r="A1130" t="s">
        <v>1154</v>
      </c>
      <c r="B1130" s="1">
        <v>45746</v>
      </c>
      <c r="C1130" t="s">
        <v>13</v>
      </c>
      <c r="D1130" t="s">
        <v>25</v>
      </c>
      <c r="E1130" s="2">
        <v>19.07</v>
      </c>
      <c r="F1130" s="3">
        <v>55.18</v>
      </c>
      <c r="G1130" s="4">
        <v>339.06</v>
      </c>
      <c r="H1130">
        <v>1.5</v>
      </c>
      <c r="I1130" s="4">
        <v>508.59</v>
      </c>
      <c r="J1130">
        <v>3.1</v>
      </c>
      <c r="K1130" t="s">
        <v>15</v>
      </c>
      <c r="L1130" t="s">
        <v>19</v>
      </c>
      <c r="O1130"/>
    </row>
    <row r="1131" spans="1:15" x14ac:dyDescent="0.3">
      <c r="A1131" t="s">
        <v>1155</v>
      </c>
      <c r="B1131" s="1">
        <v>45709</v>
      </c>
      <c r="C1131" t="s">
        <v>25</v>
      </c>
      <c r="D1131" t="s">
        <v>21</v>
      </c>
      <c r="E1131" s="2">
        <v>12.78</v>
      </c>
      <c r="F1131" s="3">
        <v>49.24</v>
      </c>
      <c r="G1131" s="4">
        <v>218.59</v>
      </c>
      <c r="H1131">
        <v>1.2</v>
      </c>
      <c r="I1131" s="4">
        <v>262.31</v>
      </c>
      <c r="J1131">
        <v>3.3</v>
      </c>
      <c r="K1131" t="s">
        <v>30</v>
      </c>
      <c r="L1131" t="s">
        <v>28</v>
      </c>
      <c r="O1131"/>
    </row>
    <row r="1132" spans="1:15" x14ac:dyDescent="0.3">
      <c r="A1132" t="s">
        <v>1156</v>
      </c>
      <c r="B1132" s="1">
        <v>45788</v>
      </c>
      <c r="C1132" t="s">
        <v>13</v>
      </c>
      <c r="D1132" t="s">
        <v>22</v>
      </c>
      <c r="E1132" s="2">
        <v>3.44</v>
      </c>
      <c r="F1132" s="3">
        <v>13.65</v>
      </c>
      <c r="G1132" s="4">
        <v>57.32</v>
      </c>
      <c r="H1132">
        <v>2</v>
      </c>
      <c r="I1132" s="4">
        <v>114.64</v>
      </c>
      <c r="J1132">
        <v>4.3</v>
      </c>
      <c r="K1132" t="s">
        <v>18</v>
      </c>
      <c r="L1132" t="s">
        <v>19</v>
      </c>
      <c r="O1132"/>
    </row>
    <row r="1133" spans="1:15" x14ac:dyDescent="0.3">
      <c r="A1133" t="s">
        <v>1157</v>
      </c>
      <c r="B1133" s="1">
        <v>45980</v>
      </c>
      <c r="C1133" t="s">
        <v>22</v>
      </c>
      <c r="D1133" t="s">
        <v>13</v>
      </c>
      <c r="E1133" s="2">
        <v>13.47</v>
      </c>
      <c r="F1133" s="3">
        <v>35.200000000000003</v>
      </c>
      <c r="G1133" s="4">
        <v>264.31</v>
      </c>
      <c r="H1133">
        <v>1.5</v>
      </c>
      <c r="I1133" s="4">
        <v>396.46</v>
      </c>
      <c r="J1133">
        <v>3.5</v>
      </c>
      <c r="K1133" t="s">
        <v>30</v>
      </c>
      <c r="L1133" t="s">
        <v>28</v>
      </c>
      <c r="O1133"/>
    </row>
    <row r="1134" spans="1:15" x14ac:dyDescent="0.3">
      <c r="A1134" t="s">
        <v>1158</v>
      </c>
      <c r="B1134" s="1">
        <v>45751</v>
      </c>
      <c r="C1134" t="s">
        <v>25</v>
      </c>
      <c r="D1134" t="s">
        <v>14</v>
      </c>
      <c r="E1134" s="2">
        <v>14.91</v>
      </c>
      <c r="F1134" s="3">
        <v>58.83</v>
      </c>
      <c r="G1134" s="4">
        <v>149.83000000000001</v>
      </c>
      <c r="H1134">
        <v>1</v>
      </c>
      <c r="I1134" s="4">
        <v>149.83000000000001</v>
      </c>
      <c r="J1134">
        <v>4.8</v>
      </c>
      <c r="K1134" t="s">
        <v>15</v>
      </c>
      <c r="L1134" t="s">
        <v>26</v>
      </c>
      <c r="O1134"/>
    </row>
    <row r="1135" spans="1:15" x14ac:dyDescent="0.3">
      <c r="A1135" t="s">
        <v>1159</v>
      </c>
      <c r="B1135" s="1">
        <v>45990</v>
      </c>
      <c r="C1135" t="s">
        <v>13</v>
      </c>
      <c r="D1135" t="s">
        <v>21</v>
      </c>
      <c r="E1135" s="2">
        <v>15.77</v>
      </c>
      <c r="F1135" s="3">
        <v>32.32</v>
      </c>
      <c r="G1135" s="4">
        <v>221.87</v>
      </c>
      <c r="H1135">
        <v>2</v>
      </c>
      <c r="I1135" s="4">
        <v>443.74</v>
      </c>
      <c r="J1135">
        <v>3.8</v>
      </c>
      <c r="K1135" t="s">
        <v>36</v>
      </c>
      <c r="L1135" t="s">
        <v>16</v>
      </c>
      <c r="O1135"/>
    </row>
    <row r="1136" spans="1:15" x14ac:dyDescent="0.3">
      <c r="A1136" t="s">
        <v>1160</v>
      </c>
      <c r="B1136" s="1">
        <v>46013</v>
      </c>
      <c r="C1136" t="s">
        <v>14</v>
      </c>
      <c r="D1136" t="s">
        <v>25</v>
      </c>
      <c r="E1136" s="2">
        <v>29.88</v>
      </c>
      <c r="F1136" s="3">
        <v>107.6</v>
      </c>
      <c r="G1136" s="4">
        <v>551.48</v>
      </c>
      <c r="H1136">
        <v>2</v>
      </c>
      <c r="I1136" s="4">
        <v>1102.96</v>
      </c>
      <c r="J1136">
        <v>3.6</v>
      </c>
      <c r="K1136" t="s">
        <v>33</v>
      </c>
      <c r="L1136" t="s">
        <v>19</v>
      </c>
      <c r="O1136"/>
    </row>
    <row r="1137" spans="1:15" x14ac:dyDescent="0.3">
      <c r="A1137" t="s">
        <v>1161</v>
      </c>
      <c r="B1137" s="1">
        <v>45973</v>
      </c>
      <c r="C1137" t="s">
        <v>13</v>
      </c>
      <c r="D1137" t="s">
        <v>22</v>
      </c>
      <c r="E1137" s="2">
        <v>7</v>
      </c>
      <c r="F1137" s="3">
        <v>26.95</v>
      </c>
      <c r="G1137" s="4">
        <v>95.63</v>
      </c>
      <c r="H1137">
        <v>1</v>
      </c>
      <c r="I1137" s="4">
        <v>95.63</v>
      </c>
      <c r="J1137">
        <v>4.9000000000000004</v>
      </c>
      <c r="K1137" t="s">
        <v>36</v>
      </c>
      <c r="L1137" t="s">
        <v>28</v>
      </c>
      <c r="O1137"/>
    </row>
    <row r="1138" spans="1:15" x14ac:dyDescent="0.3">
      <c r="A1138" t="s">
        <v>1162</v>
      </c>
      <c r="B1138" s="1">
        <v>45721</v>
      </c>
      <c r="C1138" t="s">
        <v>14</v>
      </c>
      <c r="D1138" t="s">
        <v>22</v>
      </c>
      <c r="E1138" s="2">
        <v>9.68</v>
      </c>
      <c r="F1138" s="3">
        <v>24.57</v>
      </c>
      <c r="G1138" s="4">
        <v>193.4</v>
      </c>
      <c r="H1138">
        <v>1.5</v>
      </c>
      <c r="I1138" s="4">
        <v>290.10000000000002</v>
      </c>
      <c r="J1138">
        <v>4.7</v>
      </c>
      <c r="K1138" t="s">
        <v>36</v>
      </c>
      <c r="L1138" t="s">
        <v>26</v>
      </c>
      <c r="O1138"/>
    </row>
    <row r="1139" spans="1:15" x14ac:dyDescent="0.3">
      <c r="A1139" t="s">
        <v>1163</v>
      </c>
      <c r="B1139" s="1">
        <v>45939</v>
      </c>
      <c r="C1139" t="s">
        <v>14</v>
      </c>
      <c r="D1139" t="s">
        <v>25</v>
      </c>
      <c r="E1139" s="2">
        <v>29.43</v>
      </c>
      <c r="F1139" s="3">
        <v>97.13</v>
      </c>
      <c r="G1139" s="4">
        <v>512.67999999999995</v>
      </c>
      <c r="H1139">
        <v>2</v>
      </c>
      <c r="I1139" s="4">
        <v>1025.3599999999999</v>
      </c>
      <c r="J1139">
        <v>3.1</v>
      </c>
      <c r="K1139" t="s">
        <v>15</v>
      </c>
      <c r="L1139" t="s">
        <v>28</v>
      </c>
      <c r="O1139"/>
    </row>
    <row r="1140" spans="1:15" x14ac:dyDescent="0.3">
      <c r="A1140" t="s">
        <v>1164</v>
      </c>
      <c r="B1140" s="1">
        <v>45980</v>
      </c>
      <c r="C1140" t="s">
        <v>13</v>
      </c>
      <c r="D1140" t="s">
        <v>22</v>
      </c>
      <c r="E1140" s="2">
        <v>19.36</v>
      </c>
      <c r="F1140" s="3">
        <v>73.53</v>
      </c>
      <c r="G1140" s="4">
        <v>314.36</v>
      </c>
      <c r="H1140">
        <v>1</v>
      </c>
      <c r="I1140" s="4">
        <v>314.36</v>
      </c>
      <c r="J1140">
        <v>4.5999999999999996</v>
      </c>
      <c r="K1140" t="s">
        <v>30</v>
      </c>
      <c r="L1140" t="s">
        <v>19</v>
      </c>
      <c r="O1140"/>
    </row>
    <row r="1141" spans="1:15" x14ac:dyDescent="0.3">
      <c r="A1141" t="s">
        <v>1165</v>
      </c>
      <c r="B1141" s="1">
        <v>45940</v>
      </c>
      <c r="C1141" t="s">
        <v>21</v>
      </c>
      <c r="D1141" t="s">
        <v>22</v>
      </c>
      <c r="E1141" s="2">
        <v>28.47</v>
      </c>
      <c r="F1141" s="3">
        <v>80.08</v>
      </c>
      <c r="G1141" s="4">
        <v>504.44</v>
      </c>
      <c r="H1141">
        <v>2</v>
      </c>
      <c r="I1141" s="4">
        <v>1008.88</v>
      </c>
      <c r="J1141">
        <v>3.2</v>
      </c>
      <c r="K1141" t="s">
        <v>15</v>
      </c>
      <c r="L1141" t="s">
        <v>26</v>
      </c>
      <c r="O1141"/>
    </row>
    <row r="1142" spans="1:15" x14ac:dyDescent="0.3">
      <c r="A1142" t="s">
        <v>1166</v>
      </c>
      <c r="B1142" s="1">
        <v>45674</v>
      </c>
      <c r="C1142" t="s">
        <v>14</v>
      </c>
      <c r="D1142" t="s">
        <v>25</v>
      </c>
      <c r="E1142" s="2">
        <v>27.33</v>
      </c>
      <c r="F1142" s="3">
        <v>59.44</v>
      </c>
      <c r="G1142" s="4">
        <v>529.24</v>
      </c>
      <c r="H1142">
        <v>2</v>
      </c>
      <c r="I1142" s="4">
        <v>1058.48</v>
      </c>
      <c r="J1142">
        <v>4.5999999999999996</v>
      </c>
      <c r="K1142" t="s">
        <v>36</v>
      </c>
      <c r="L1142" t="s">
        <v>16</v>
      </c>
      <c r="O1142"/>
    </row>
    <row r="1143" spans="1:15" x14ac:dyDescent="0.3">
      <c r="A1143" t="s">
        <v>1167</v>
      </c>
      <c r="B1143" s="1">
        <v>45905</v>
      </c>
      <c r="C1143" t="s">
        <v>14</v>
      </c>
      <c r="D1143" t="s">
        <v>21</v>
      </c>
      <c r="E1143" s="2">
        <v>16.72</v>
      </c>
      <c r="F1143" s="3">
        <v>65.819999999999993</v>
      </c>
      <c r="G1143" s="4">
        <v>191.92</v>
      </c>
      <c r="H1143">
        <v>1</v>
      </c>
      <c r="I1143" s="4">
        <v>191.92</v>
      </c>
      <c r="J1143">
        <v>4.9000000000000004</v>
      </c>
      <c r="K1143" t="s">
        <v>33</v>
      </c>
      <c r="L1143" t="s">
        <v>26</v>
      </c>
      <c r="O1143"/>
    </row>
    <row r="1144" spans="1:15" x14ac:dyDescent="0.3">
      <c r="A1144" t="s">
        <v>1168</v>
      </c>
      <c r="B1144" s="1">
        <v>45756</v>
      </c>
      <c r="C1144" t="s">
        <v>21</v>
      </c>
      <c r="D1144" t="s">
        <v>22</v>
      </c>
      <c r="E1144" s="2">
        <v>17.46</v>
      </c>
      <c r="F1144" s="3">
        <v>48.09</v>
      </c>
      <c r="G1144" s="4">
        <v>343.08</v>
      </c>
      <c r="H1144">
        <v>1.5</v>
      </c>
      <c r="I1144" s="4">
        <v>514.62</v>
      </c>
      <c r="J1144">
        <v>4.3</v>
      </c>
      <c r="K1144" t="s">
        <v>30</v>
      </c>
      <c r="L1144" t="s">
        <v>16</v>
      </c>
      <c r="O1144"/>
    </row>
    <row r="1145" spans="1:15" x14ac:dyDescent="0.3">
      <c r="A1145" t="s">
        <v>1169</v>
      </c>
      <c r="B1145" s="1">
        <v>45822</v>
      </c>
      <c r="C1145" t="s">
        <v>14</v>
      </c>
      <c r="D1145" t="s">
        <v>21</v>
      </c>
      <c r="E1145" s="2">
        <v>29.5</v>
      </c>
      <c r="F1145" s="3">
        <v>90.65</v>
      </c>
      <c r="G1145" s="4">
        <v>443.28</v>
      </c>
      <c r="H1145">
        <v>1</v>
      </c>
      <c r="I1145" s="4">
        <v>443.28</v>
      </c>
      <c r="J1145">
        <v>3</v>
      </c>
      <c r="K1145" t="s">
        <v>18</v>
      </c>
      <c r="L1145" t="s">
        <v>19</v>
      </c>
      <c r="O1145"/>
    </row>
    <row r="1146" spans="1:15" x14ac:dyDescent="0.3">
      <c r="A1146" t="s">
        <v>1170</v>
      </c>
      <c r="B1146" s="1">
        <v>45762</v>
      </c>
      <c r="C1146" t="s">
        <v>25</v>
      </c>
      <c r="D1146" t="s">
        <v>22</v>
      </c>
      <c r="E1146" s="2">
        <v>1.42</v>
      </c>
      <c r="F1146" s="3">
        <v>2.98</v>
      </c>
      <c r="G1146" s="4">
        <v>22.71</v>
      </c>
      <c r="H1146">
        <v>1.2</v>
      </c>
      <c r="I1146" s="4">
        <v>27.25</v>
      </c>
      <c r="J1146">
        <v>3</v>
      </c>
      <c r="K1146" t="s">
        <v>30</v>
      </c>
      <c r="L1146" t="s">
        <v>28</v>
      </c>
      <c r="O1146"/>
    </row>
    <row r="1147" spans="1:15" x14ac:dyDescent="0.3">
      <c r="A1147" t="s">
        <v>1171</v>
      </c>
      <c r="B1147" s="1">
        <v>45998</v>
      </c>
      <c r="C1147" t="s">
        <v>13</v>
      </c>
      <c r="D1147" t="s">
        <v>13</v>
      </c>
      <c r="E1147" s="2">
        <v>14.33</v>
      </c>
      <c r="F1147" s="3">
        <v>42.96</v>
      </c>
      <c r="G1147" s="4">
        <v>153.65</v>
      </c>
      <c r="H1147">
        <v>1.2</v>
      </c>
      <c r="I1147" s="4">
        <v>184.38</v>
      </c>
      <c r="J1147">
        <v>3.3</v>
      </c>
      <c r="K1147" t="s">
        <v>18</v>
      </c>
      <c r="L1147" t="s">
        <v>19</v>
      </c>
      <c r="O1147"/>
    </row>
    <row r="1148" spans="1:15" x14ac:dyDescent="0.3">
      <c r="A1148" t="s">
        <v>1172</v>
      </c>
      <c r="B1148" s="1">
        <v>45778</v>
      </c>
      <c r="C1148" t="s">
        <v>21</v>
      </c>
      <c r="D1148" t="s">
        <v>21</v>
      </c>
      <c r="E1148" s="2">
        <v>23.19</v>
      </c>
      <c r="F1148" s="3">
        <v>68.89</v>
      </c>
      <c r="G1148" s="4">
        <v>266.54000000000002</v>
      </c>
      <c r="H1148">
        <v>1</v>
      </c>
      <c r="I1148" s="4">
        <v>266.54000000000002</v>
      </c>
      <c r="J1148">
        <v>4.0999999999999996</v>
      </c>
      <c r="K1148" t="s">
        <v>36</v>
      </c>
      <c r="L1148" t="s">
        <v>28</v>
      </c>
      <c r="O1148"/>
    </row>
    <row r="1149" spans="1:15" x14ac:dyDescent="0.3">
      <c r="A1149" t="s">
        <v>1173</v>
      </c>
      <c r="B1149" s="1">
        <v>45918</v>
      </c>
      <c r="C1149" t="s">
        <v>22</v>
      </c>
      <c r="D1149" t="s">
        <v>14</v>
      </c>
      <c r="E1149" s="2">
        <v>26.3</v>
      </c>
      <c r="F1149" s="3">
        <v>84.85</v>
      </c>
      <c r="G1149" s="4">
        <v>304.33999999999997</v>
      </c>
      <c r="H1149">
        <v>1.5</v>
      </c>
      <c r="I1149" s="4">
        <v>456.51</v>
      </c>
      <c r="J1149">
        <v>4.3</v>
      </c>
      <c r="K1149" t="s">
        <v>30</v>
      </c>
      <c r="L1149" t="s">
        <v>16</v>
      </c>
      <c r="O1149"/>
    </row>
    <row r="1150" spans="1:15" x14ac:dyDescent="0.3">
      <c r="A1150" t="s">
        <v>1174</v>
      </c>
      <c r="B1150" s="1">
        <v>45751</v>
      </c>
      <c r="C1150" t="s">
        <v>22</v>
      </c>
      <c r="D1150" t="s">
        <v>25</v>
      </c>
      <c r="E1150" s="2">
        <v>3.11</v>
      </c>
      <c r="F1150" s="3">
        <v>10.119999999999999</v>
      </c>
      <c r="G1150" s="4">
        <v>38.97</v>
      </c>
      <c r="H1150">
        <v>1.5</v>
      </c>
      <c r="I1150" s="4">
        <v>58.46</v>
      </c>
      <c r="J1150">
        <v>3.2</v>
      </c>
      <c r="K1150" t="s">
        <v>15</v>
      </c>
      <c r="L1150" t="s">
        <v>28</v>
      </c>
      <c r="O1150"/>
    </row>
    <row r="1151" spans="1:15" x14ac:dyDescent="0.3">
      <c r="A1151" t="s">
        <v>1175</v>
      </c>
      <c r="B1151" s="1">
        <v>45966</v>
      </c>
      <c r="C1151" t="s">
        <v>21</v>
      </c>
      <c r="D1151" t="s">
        <v>22</v>
      </c>
      <c r="E1151" s="2">
        <v>28.1</v>
      </c>
      <c r="F1151" s="3">
        <v>67.81</v>
      </c>
      <c r="G1151" s="4">
        <v>487.54</v>
      </c>
      <c r="H1151">
        <v>1</v>
      </c>
      <c r="I1151" s="4">
        <v>487.54</v>
      </c>
      <c r="J1151">
        <v>3.3</v>
      </c>
      <c r="K1151" t="s">
        <v>33</v>
      </c>
      <c r="L1151" t="s">
        <v>19</v>
      </c>
      <c r="O1151"/>
    </row>
    <row r="1152" spans="1:15" x14ac:dyDescent="0.3">
      <c r="A1152" t="s">
        <v>1176</v>
      </c>
      <c r="B1152" s="1">
        <v>45869</v>
      </c>
      <c r="C1152" t="s">
        <v>22</v>
      </c>
      <c r="D1152" t="s">
        <v>25</v>
      </c>
      <c r="E1152" s="2">
        <v>16.84</v>
      </c>
      <c r="F1152" s="3">
        <v>36.69</v>
      </c>
      <c r="G1152" s="4">
        <v>238.79</v>
      </c>
      <c r="H1152">
        <v>1</v>
      </c>
      <c r="I1152" s="4">
        <v>238.79</v>
      </c>
      <c r="J1152">
        <v>3</v>
      </c>
      <c r="K1152" t="s">
        <v>33</v>
      </c>
      <c r="L1152" t="s">
        <v>19</v>
      </c>
      <c r="O1152"/>
    </row>
    <row r="1153" spans="1:15" x14ac:dyDescent="0.3">
      <c r="A1153" t="s">
        <v>1177</v>
      </c>
      <c r="B1153" s="1">
        <v>45746</v>
      </c>
      <c r="C1153" t="s">
        <v>13</v>
      </c>
      <c r="D1153" t="s">
        <v>13</v>
      </c>
      <c r="E1153" s="2">
        <v>3.88</v>
      </c>
      <c r="F1153" s="3">
        <v>8.4600000000000009</v>
      </c>
      <c r="G1153" s="4">
        <v>48.99</v>
      </c>
      <c r="H1153">
        <v>1.5</v>
      </c>
      <c r="I1153" s="4">
        <v>73.48</v>
      </c>
      <c r="J1153">
        <v>3.9</v>
      </c>
      <c r="K1153" t="s">
        <v>18</v>
      </c>
      <c r="L1153" t="s">
        <v>26</v>
      </c>
      <c r="O1153"/>
    </row>
    <row r="1154" spans="1:15" x14ac:dyDescent="0.3">
      <c r="A1154" t="s">
        <v>1178</v>
      </c>
      <c r="B1154" s="1">
        <v>45835</v>
      </c>
      <c r="C1154" t="s">
        <v>13</v>
      </c>
      <c r="D1154" t="s">
        <v>14</v>
      </c>
      <c r="E1154" s="2">
        <v>19.07</v>
      </c>
      <c r="F1154" s="3">
        <v>51.72</v>
      </c>
      <c r="G1154" s="4">
        <v>341.15</v>
      </c>
      <c r="H1154">
        <v>2</v>
      </c>
      <c r="I1154" s="4">
        <v>682.3</v>
      </c>
      <c r="J1154">
        <v>3.2</v>
      </c>
      <c r="K1154" t="s">
        <v>18</v>
      </c>
      <c r="L1154" t="s">
        <v>26</v>
      </c>
      <c r="O1154"/>
    </row>
    <row r="1155" spans="1:15" x14ac:dyDescent="0.3">
      <c r="A1155" t="s">
        <v>1179</v>
      </c>
      <c r="B1155" s="1">
        <v>45982</v>
      </c>
      <c r="C1155" t="s">
        <v>22</v>
      </c>
      <c r="D1155" t="s">
        <v>13</v>
      </c>
      <c r="E1155" s="2">
        <v>7.83</v>
      </c>
      <c r="F1155" s="3">
        <v>26.84</v>
      </c>
      <c r="G1155" s="4">
        <v>146.71</v>
      </c>
      <c r="H1155">
        <v>1</v>
      </c>
      <c r="I1155" s="4">
        <v>146.71</v>
      </c>
      <c r="J1155">
        <v>3.8</v>
      </c>
      <c r="K1155" t="s">
        <v>15</v>
      </c>
      <c r="L1155" t="s">
        <v>28</v>
      </c>
      <c r="O1155"/>
    </row>
    <row r="1156" spans="1:15" x14ac:dyDescent="0.3">
      <c r="A1156" t="s">
        <v>1180</v>
      </c>
      <c r="B1156" s="1">
        <v>45661</v>
      </c>
      <c r="C1156" t="s">
        <v>22</v>
      </c>
      <c r="D1156" t="s">
        <v>25</v>
      </c>
      <c r="E1156" s="2">
        <v>18.21</v>
      </c>
      <c r="F1156" s="3">
        <v>41.05</v>
      </c>
      <c r="G1156" s="4">
        <v>259.95999999999998</v>
      </c>
      <c r="H1156">
        <v>2</v>
      </c>
      <c r="I1156" s="4">
        <v>519.91999999999996</v>
      </c>
      <c r="J1156">
        <v>3.2</v>
      </c>
      <c r="K1156" t="s">
        <v>30</v>
      </c>
      <c r="L1156" t="s">
        <v>28</v>
      </c>
      <c r="O1156"/>
    </row>
    <row r="1157" spans="1:15" x14ac:dyDescent="0.3">
      <c r="A1157" t="s">
        <v>1181</v>
      </c>
      <c r="B1157" s="1">
        <v>45686</v>
      </c>
      <c r="C1157" t="s">
        <v>21</v>
      </c>
      <c r="D1157" t="s">
        <v>25</v>
      </c>
      <c r="E1157" s="2">
        <v>23.01</v>
      </c>
      <c r="F1157" s="3">
        <v>50.89</v>
      </c>
      <c r="G1157" s="4">
        <v>346.56</v>
      </c>
      <c r="H1157">
        <v>1</v>
      </c>
      <c r="I1157" s="4">
        <v>346.56</v>
      </c>
      <c r="J1157">
        <v>3.4</v>
      </c>
      <c r="K1157" t="s">
        <v>33</v>
      </c>
      <c r="L1157" t="s">
        <v>16</v>
      </c>
      <c r="O1157"/>
    </row>
    <row r="1158" spans="1:15" x14ac:dyDescent="0.3">
      <c r="A1158" t="s">
        <v>1182</v>
      </c>
      <c r="B1158" s="1">
        <v>45936</v>
      </c>
      <c r="C1158" t="s">
        <v>13</v>
      </c>
      <c r="D1158" t="s">
        <v>25</v>
      </c>
      <c r="E1158" s="2">
        <v>15.89</v>
      </c>
      <c r="F1158" s="3">
        <v>61.98</v>
      </c>
      <c r="G1158" s="4">
        <v>244.02</v>
      </c>
      <c r="H1158">
        <v>2</v>
      </c>
      <c r="I1158" s="4">
        <v>488.04</v>
      </c>
      <c r="J1158">
        <v>4.2</v>
      </c>
      <c r="K1158" t="s">
        <v>15</v>
      </c>
      <c r="L1158" t="s">
        <v>26</v>
      </c>
      <c r="O1158"/>
    </row>
    <row r="1159" spans="1:15" x14ac:dyDescent="0.3">
      <c r="A1159" t="s">
        <v>1183</v>
      </c>
      <c r="B1159" s="1">
        <v>45838</v>
      </c>
      <c r="C1159" t="s">
        <v>25</v>
      </c>
      <c r="D1159" t="s">
        <v>22</v>
      </c>
      <c r="E1159" s="2">
        <v>15.3</v>
      </c>
      <c r="F1159" s="3">
        <v>45.04</v>
      </c>
      <c r="G1159" s="4">
        <v>228.02</v>
      </c>
      <c r="H1159">
        <v>1.2</v>
      </c>
      <c r="I1159" s="4">
        <v>273.62</v>
      </c>
      <c r="J1159">
        <v>3.1</v>
      </c>
      <c r="K1159" t="s">
        <v>36</v>
      </c>
      <c r="L1159" t="s">
        <v>19</v>
      </c>
      <c r="O1159"/>
    </row>
    <row r="1160" spans="1:15" x14ac:dyDescent="0.3">
      <c r="A1160" t="s">
        <v>1184</v>
      </c>
      <c r="B1160" s="1">
        <v>45675</v>
      </c>
      <c r="C1160" t="s">
        <v>14</v>
      </c>
      <c r="D1160" t="s">
        <v>22</v>
      </c>
      <c r="E1160" s="2">
        <v>18.05</v>
      </c>
      <c r="F1160" s="3">
        <v>69.84</v>
      </c>
      <c r="G1160" s="4">
        <v>311.55</v>
      </c>
      <c r="H1160">
        <v>1.5</v>
      </c>
      <c r="I1160" s="4">
        <v>467.33</v>
      </c>
      <c r="J1160">
        <v>3.5</v>
      </c>
      <c r="K1160" t="s">
        <v>18</v>
      </c>
      <c r="L1160" t="s">
        <v>28</v>
      </c>
      <c r="O1160"/>
    </row>
    <row r="1161" spans="1:15" x14ac:dyDescent="0.3">
      <c r="A1161" t="s">
        <v>1185</v>
      </c>
      <c r="B1161" s="1">
        <v>45777</v>
      </c>
      <c r="C1161" t="s">
        <v>21</v>
      </c>
      <c r="D1161" t="s">
        <v>14</v>
      </c>
      <c r="E1161" s="2">
        <v>15.11</v>
      </c>
      <c r="F1161" s="3">
        <v>40.31</v>
      </c>
      <c r="G1161" s="4">
        <v>167.24</v>
      </c>
      <c r="H1161">
        <v>1.2</v>
      </c>
      <c r="I1161" s="4">
        <v>200.69</v>
      </c>
      <c r="J1161">
        <v>4.5</v>
      </c>
      <c r="K1161" t="s">
        <v>33</v>
      </c>
      <c r="L1161" t="s">
        <v>26</v>
      </c>
      <c r="O1161"/>
    </row>
    <row r="1162" spans="1:15" x14ac:dyDescent="0.3">
      <c r="A1162" t="s">
        <v>1186</v>
      </c>
      <c r="B1162" s="1">
        <v>45668</v>
      </c>
      <c r="C1162" t="s">
        <v>25</v>
      </c>
      <c r="D1162" t="s">
        <v>22</v>
      </c>
      <c r="E1162" s="2">
        <v>9.85</v>
      </c>
      <c r="F1162" s="3">
        <v>23.03</v>
      </c>
      <c r="G1162" s="4">
        <v>143.88</v>
      </c>
      <c r="H1162">
        <v>1.5</v>
      </c>
      <c r="I1162" s="4">
        <v>215.82</v>
      </c>
      <c r="J1162">
        <v>3.4</v>
      </c>
      <c r="K1162" t="s">
        <v>36</v>
      </c>
      <c r="L1162" t="s">
        <v>16</v>
      </c>
      <c r="O1162"/>
    </row>
    <row r="1163" spans="1:15" x14ac:dyDescent="0.3">
      <c r="A1163" t="s">
        <v>1187</v>
      </c>
      <c r="B1163" s="1">
        <v>45664</v>
      </c>
      <c r="C1163" t="s">
        <v>14</v>
      </c>
      <c r="D1163" t="s">
        <v>25</v>
      </c>
      <c r="E1163" s="2">
        <v>10.37</v>
      </c>
      <c r="F1163" s="3">
        <v>32.020000000000003</v>
      </c>
      <c r="G1163" s="4">
        <v>160.91</v>
      </c>
      <c r="H1163">
        <v>2</v>
      </c>
      <c r="I1163" s="4">
        <v>321.82</v>
      </c>
      <c r="J1163">
        <v>3.6</v>
      </c>
      <c r="K1163" t="s">
        <v>33</v>
      </c>
      <c r="L1163" t="s">
        <v>28</v>
      </c>
      <c r="O1163"/>
    </row>
    <row r="1164" spans="1:15" x14ac:dyDescent="0.3">
      <c r="A1164" t="s">
        <v>1188</v>
      </c>
      <c r="B1164" s="1">
        <v>45678</v>
      </c>
      <c r="C1164" t="s">
        <v>25</v>
      </c>
      <c r="D1164" t="s">
        <v>22</v>
      </c>
      <c r="E1164" s="2">
        <v>29</v>
      </c>
      <c r="F1164" s="3">
        <v>79.89</v>
      </c>
      <c r="G1164" s="4">
        <v>364.89</v>
      </c>
      <c r="H1164">
        <v>1</v>
      </c>
      <c r="I1164" s="4">
        <v>364.89</v>
      </c>
      <c r="J1164">
        <v>4</v>
      </c>
      <c r="K1164" t="s">
        <v>30</v>
      </c>
      <c r="L1164" t="s">
        <v>19</v>
      </c>
      <c r="O1164"/>
    </row>
    <row r="1165" spans="1:15" x14ac:dyDescent="0.3">
      <c r="A1165" t="s">
        <v>1189</v>
      </c>
      <c r="B1165" s="1">
        <v>45940</v>
      </c>
      <c r="C1165" t="s">
        <v>13</v>
      </c>
      <c r="D1165" t="s">
        <v>14</v>
      </c>
      <c r="E1165" s="2">
        <v>23.03</v>
      </c>
      <c r="F1165" s="3">
        <v>55.55</v>
      </c>
      <c r="G1165" s="4">
        <v>393.65</v>
      </c>
      <c r="H1165">
        <v>1</v>
      </c>
      <c r="I1165" s="4">
        <v>393.65</v>
      </c>
      <c r="J1165">
        <v>3.5</v>
      </c>
      <c r="K1165" t="s">
        <v>15</v>
      </c>
      <c r="L1165" t="s">
        <v>16</v>
      </c>
      <c r="O1165"/>
    </row>
    <row r="1166" spans="1:15" x14ac:dyDescent="0.3">
      <c r="A1166" t="s">
        <v>1190</v>
      </c>
      <c r="B1166" s="1">
        <v>45760</v>
      </c>
      <c r="C1166" t="s">
        <v>13</v>
      </c>
      <c r="D1166" t="s">
        <v>21</v>
      </c>
      <c r="E1166" s="2">
        <v>10.82</v>
      </c>
      <c r="F1166" s="3">
        <v>33.840000000000003</v>
      </c>
      <c r="G1166" s="4">
        <v>130.38</v>
      </c>
      <c r="H1166">
        <v>1.2</v>
      </c>
      <c r="I1166" s="4">
        <v>156.46</v>
      </c>
      <c r="J1166">
        <v>4.2</v>
      </c>
      <c r="K1166" t="s">
        <v>15</v>
      </c>
      <c r="L1166" t="s">
        <v>16</v>
      </c>
      <c r="O1166"/>
    </row>
    <row r="1167" spans="1:15" x14ac:dyDescent="0.3">
      <c r="A1167" t="s">
        <v>1191</v>
      </c>
      <c r="B1167" s="1">
        <v>45894</v>
      </c>
      <c r="C1167" t="s">
        <v>22</v>
      </c>
      <c r="D1167" t="s">
        <v>22</v>
      </c>
      <c r="E1167" s="2">
        <v>25.72</v>
      </c>
      <c r="F1167" s="3">
        <v>61.64</v>
      </c>
      <c r="G1167" s="4">
        <v>482.1</v>
      </c>
      <c r="H1167">
        <v>1.2</v>
      </c>
      <c r="I1167" s="4">
        <v>578.52</v>
      </c>
      <c r="J1167">
        <v>4.5999999999999996</v>
      </c>
      <c r="K1167" t="s">
        <v>33</v>
      </c>
      <c r="L1167" t="s">
        <v>26</v>
      </c>
      <c r="O1167"/>
    </row>
    <row r="1168" spans="1:15" x14ac:dyDescent="0.3">
      <c r="A1168" t="s">
        <v>1192</v>
      </c>
      <c r="B1168" s="1">
        <v>45688</v>
      </c>
      <c r="C1168" t="s">
        <v>22</v>
      </c>
      <c r="D1168" t="s">
        <v>14</v>
      </c>
      <c r="E1168" s="2">
        <v>10.26</v>
      </c>
      <c r="F1168" s="3">
        <v>39.11</v>
      </c>
      <c r="G1168" s="4">
        <v>115.59</v>
      </c>
      <c r="H1168">
        <v>1</v>
      </c>
      <c r="I1168" s="4">
        <v>115.59</v>
      </c>
      <c r="J1168">
        <v>4</v>
      </c>
      <c r="K1168" t="s">
        <v>15</v>
      </c>
      <c r="L1168" t="s">
        <v>26</v>
      </c>
      <c r="O1168"/>
    </row>
    <row r="1169" spans="1:15" x14ac:dyDescent="0.3">
      <c r="A1169" t="s">
        <v>1193</v>
      </c>
      <c r="B1169" s="1">
        <v>45913</v>
      </c>
      <c r="C1169" t="s">
        <v>14</v>
      </c>
      <c r="D1169" t="s">
        <v>14</v>
      </c>
      <c r="E1169" s="2">
        <v>4.58</v>
      </c>
      <c r="F1169" s="3">
        <v>10.29</v>
      </c>
      <c r="G1169" s="4">
        <v>72.510000000000005</v>
      </c>
      <c r="H1169">
        <v>1.5</v>
      </c>
      <c r="I1169" s="4">
        <v>108.77</v>
      </c>
      <c r="J1169">
        <v>3.8</v>
      </c>
      <c r="K1169" t="s">
        <v>36</v>
      </c>
      <c r="L1169" t="s">
        <v>28</v>
      </c>
      <c r="O1169"/>
    </row>
    <row r="1170" spans="1:15" x14ac:dyDescent="0.3">
      <c r="A1170" t="s">
        <v>1194</v>
      </c>
      <c r="B1170" s="1">
        <v>45945</v>
      </c>
      <c r="C1170" t="s">
        <v>21</v>
      </c>
      <c r="D1170" t="s">
        <v>21</v>
      </c>
      <c r="E1170" s="2">
        <v>2</v>
      </c>
      <c r="F1170" s="3">
        <v>4.51</v>
      </c>
      <c r="G1170" s="4">
        <v>38.29</v>
      </c>
      <c r="H1170">
        <v>1</v>
      </c>
      <c r="I1170" s="4">
        <v>38.29</v>
      </c>
      <c r="J1170">
        <v>4.3</v>
      </c>
      <c r="K1170" t="s">
        <v>30</v>
      </c>
      <c r="L1170" t="s">
        <v>16</v>
      </c>
      <c r="O1170"/>
    </row>
    <row r="1171" spans="1:15" x14ac:dyDescent="0.3">
      <c r="A1171" t="s">
        <v>1195</v>
      </c>
      <c r="B1171" s="1">
        <v>45977</v>
      </c>
      <c r="C1171" t="s">
        <v>25</v>
      </c>
      <c r="D1171" t="s">
        <v>22</v>
      </c>
      <c r="E1171" s="2">
        <v>2.1</v>
      </c>
      <c r="F1171" s="3">
        <v>7.26</v>
      </c>
      <c r="G1171" s="4">
        <v>32.090000000000003</v>
      </c>
      <c r="H1171">
        <v>1.2</v>
      </c>
      <c r="I1171" s="4">
        <v>38.51</v>
      </c>
      <c r="J1171">
        <v>3.2</v>
      </c>
      <c r="K1171" t="s">
        <v>15</v>
      </c>
      <c r="L1171" t="s">
        <v>16</v>
      </c>
      <c r="O1171"/>
    </row>
    <row r="1172" spans="1:15" x14ac:dyDescent="0.3">
      <c r="A1172" t="s">
        <v>1196</v>
      </c>
      <c r="B1172" s="1">
        <v>46012</v>
      </c>
      <c r="C1172" t="s">
        <v>14</v>
      </c>
      <c r="D1172" t="s">
        <v>13</v>
      </c>
      <c r="E1172" s="2">
        <v>12.12</v>
      </c>
      <c r="F1172" s="3">
        <v>44.53</v>
      </c>
      <c r="G1172" s="4">
        <v>226.07</v>
      </c>
      <c r="H1172">
        <v>1.5</v>
      </c>
      <c r="I1172" s="4">
        <v>339.1</v>
      </c>
      <c r="J1172">
        <v>4</v>
      </c>
      <c r="K1172" t="s">
        <v>18</v>
      </c>
      <c r="L1172" t="s">
        <v>19</v>
      </c>
      <c r="O1172"/>
    </row>
    <row r="1173" spans="1:15" x14ac:dyDescent="0.3">
      <c r="A1173" t="s">
        <v>1197</v>
      </c>
      <c r="B1173" s="1">
        <v>45744</v>
      </c>
      <c r="C1173" t="s">
        <v>22</v>
      </c>
      <c r="D1173" t="s">
        <v>14</v>
      </c>
      <c r="E1173" s="2">
        <v>4.34</v>
      </c>
      <c r="F1173" s="3">
        <v>13.78</v>
      </c>
      <c r="G1173" s="4">
        <v>72.349999999999994</v>
      </c>
      <c r="H1173">
        <v>1</v>
      </c>
      <c r="I1173" s="4">
        <v>72.349999999999994</v>
      </c>
      <c r="J1173">
        <v>4.5</v>
      </c>
      <c r="K1173" t="s">
        <v>30</v>
      </c>
      <c r="L1173" t="s">
        <v>28</v>
      </c>
      <c r="O1173"/>
    </row>
    <row r="1174" spans="1:15" x14ac:dyDescent="0.3">
      <c r="A1174" t="s">
        <v>1198</v>
      </c>
      <c r="B1174" s="1">
        <v>45771</v>
      </c>
      <c r="C1174" t="s">
        <v>22</v>
      </c>
      <c r="D1174" t="s">
        <v>25</v>
      </c>
      <c r="E1174" s="2">
        <v>6.65</v>
      </c>
      <c r="F1174" s="3">
        <v>17.47</v>
      </c>
      <c r="G1174" s="4">
        <v>107.77</v>
      </c>
      <c r="H1174">
        <v>2</v>
      </c>
      <c r="I1174" s="4">
        <v>215.54</v>
      </c>
      <c r="J1174">
        <v>3.8</v>
      </c>
      <c r="K1174" t="s">
        <v>15</v>
      </c>
      <c r="L1174" t="s">
        <v>19</v>
      </c>
      <c r="O1174"/>
    </row>
    <row r="1175" spans="1:15" x14ac:dyDescent="0.3">
      <c r="A1175" t="s">
        <v>1199</v>
      </c>
      <c r="B1175" s="1">
        <v>45963</v>
      </c>
      <c r="C1175" t="s">
        <v>21</v>
      </c>
      <c r="D1175" t="s">
        <v>13</v>
      </c>
      <c r="E1175" s="2">
        <v>4.25</v>
      </c>
      <c r="F1175" s="3">
        <v>15.72</v>
      </c>
      <c r="G1175" s="4">
        <v>65.150000000000006</v>
      </c>
      <c r="H1175">
        <v>2</v>
      </c>
      <c r="I1175" s="4">
        <v>130.30000000000001</v>
      </c>
      <c r="J1175">
        <v>3.7</v>
      </c>
      <c r="K1175" t="s">
        <v>30</v>
      </c>
      <c r="L1175" t="s">
        <v>26</v>
      </c>
      <c r="O1175"/>
    </row>
    <row r="1176" spans="1:15" x14ac:dyDescent="0.3">
      <c r="A1176" t="s">
        <v>1200</v>
      </c>
      <c r="B1176" s="1">
        <v>45780</v>
      </c>
      <c r="C1176" t="s">
        <v>14</v>
      </c>
      <c r="D1176" t="s">
        <v>13</v>
      </c>
      <c r="E1176" s="2">
        <v>22.47</v>
      </c>
      <c r="F1176" s="3">
        <v>50.24</v>
      </c>
      <c r="G1176" s="4">
        <v>394.69</v>
      </c>
      <c r="H1176">
        <v>1.2</v>
      </c>
      <c r="I1176" s="4">
        <v>473.63</v>
      </c>
      <c r="J1176">
        <v>4</v>
      </c>
      <c r="K1176" t="s">
        <v>15</v>
      </c>
      <c r="L1176" t="s">
        <v>16</v>
      </c>
      <c r="O1176"/>
    </row>
    <row r="1177" spans="1:15" x14ac:dyDescent="0.3">
      <c r="A1177" t="s">
        <v>1201</v>
      </c>
      <c r="B1177" s="1">
        <v>45775</v>
      </c>
      <c r="C1177" t="s">
        <v>22</v>
      </c>
      <c r="D1177" t="s">
        <v>14</v>
      </c>
      <c r="E1177" s="2">
        <v>12.71</v>
      </c>
      <c r="F1177" s="3">
        <v>50.68</v>
      </c>
      <c r="G1177" s="4">
        <v>149.33000000000001</v>
      </c>
      <c r="H1177">
        <v>2</v>
      </c>
      <c r="I1177" s="4">
        <v>298.66000000000003</v>
      </c>
      <c r="J1177">
        <v>4.0999999999999996</v>
      </c>
      <c r="K1177" t="s">
        <v>30</v>
      </c>
      <c r="L1177" t="s">
        <v>26</v>
      </c>
      <c r="O1177"/>
    </row>
    <row r="1178" spans="1:15" x14ac:dyDescent="0.3">
      <c r="A1178" t="s">
        <v>1202</v>
      </c>
      <c r="B1178" s="1">
        <v>45838</v>
      </c>
      <c r="C1178" t="s">
        <v>21</v>
      </c>
      <c r="D1178" t="s">
        <v>25</v>
      </c>
      <c r="E1178" s="2">
        <v>22.02</v>
      </c>
      <c r="F1178" s="3">
        <v>66.3</v>
      </c>
      <c r="G1178" s="4">
        <v>369.93</v>
      </c>
      <c r="H1178">
        <v>1</v>
      </c>
      <c r="I1178" s="4">
        <v>369.93</v>
      </c>
      <c r="J1178">
        <v>4.5</v>
      </c>
      <c r="K1178" t="s">
        <v>33</v>
      </c>
      <c r="L1178" t="s">
        <v>26</v>
      </c>
      <c r="O1178"/>
    </row>
    <row r="1179" spans="1:15" x14ac:dyDescent="0.3">
      <c r="A1179" t="s">
        <v>1203</v>
      </c>
      <c r="B1179" s="1">
        <v>45828</v>
      </c>
      <c r="C1179" t="s">
        <v>22</v>
      </c>
      <c r="D1179" t="s">
        <v>22</v>
      </c>
      <c r="E1179" s="2">
        <v>29.87</v>
      </c>
      <c r="F1179" s="3">
        <v>99.51</v>
      </c>
      <c r="G1179" s="4">
        <v>446.1</v>
      </c>
      <c r="H1179">
        <v>2</v>
      </c>
      <c r="I1179" s="4">
        <v>892.2</v>
      </c>
      <c r="J1179">
        <v>3.6</v>
      </c>
      <c r="K1179" t="s">
        <v>30</v>
      </c>
      <c r="L1179" t="s">
        <v>19</v>
      </c>
      <c r="O1179"/>
    </row>
    <row r="1180" spans="1:15" x14ac:dyDescent="0.3">
      <c r="A1180" t="s">
        <v>1204</v>
      </c>
      <c r="B1180" s="1">
        <v>45963</v>
      </c>
      <c r="C1180" t="s">
        <v>22</v>
      </c>
      <c r="D1180" t="s">
        <v>22</v>
      </c>
      <c r="E1180" s="2">
        <v>22.17</v>
      </c>
      <c r="F1180" s="3">
        <v>83.75</v>
      </c>
      <c r="G1180" s="4">
        <v>235.37</v>
      </c>
      <c r="H1180">
        <v>2</v>
      </c>
      <c r="I1180" s="4">
        <v>470.74</v>
      </c>
      <c r="J1180">
        <v>3.8</v>
      </c>
      <c r="K1180" t="s">
        <v>30</v>
      </c>
      <c r="L1180" t="s">
        <v>19</v>
      </c>
      <c r="O1180"/>
    </row>
    <row r="1181" spans="1:15" x14ac:dyDescent="0.3">
      <c r="A1181" t="s">
        <v>1205</v>
      </c>
      <c r="B1181" s="1">
        <v>45758</v>
      </c>
      <c r="C1181" t="s">
        <v>13</v>
      </c>
      <c r="D1181" t="s">
        <v>25</v>
      </c>
      <c r="E1181" s="2">
        <v>19.84</v>
      </c>
      <c r="F1181" s="3">
        <v>51.69</v>
      </c>
      <c r="G1181" s="4">
        <v>289.66000000000003</v>
      </c>
      <c r="H1181">
        <v>1</v>
      </c>
      <c r="I1181" s="4">
        <v>289.66000000000003</v>
      </c>
      <c r="J1181">
        <v>3.1</v>
      </c>
      <c r="K1181" t="s">
        <v>36</v>
      </c>
      <c r="L1181" t="s">
        <v>16</v>
      </c>
      <c r="O1181"/>
    </row>
    <row r="1182" spans="1:15" x14ac:dyDescent="0.3">
      <c r="A1182" t="s">
        <v>1206</v>
      </c>
      <c r="B1182" s="1">
        <v>45700</v>
      </c>
      <c r="C1182" t="s">
        <v>25</v>
      </c>
      <c r="D1182" t="s">
        <v>14</v>
      </c>
      <c r="E1182" s="2">
        <v>5.63</v>
      </c>
      <c r="F1182" s="3">
        <v>21.23</v>
      </c>
      <c r="G1182" s="4">
        <v>56.86</v>
      </c>
      <c r="H1182">
        <v>2</v>
      </c>
      <c r="I1182" s="4">
        <v>113.72</v>
      </c>
      <c r="J1182">
        <v>3.3</v>
      </c>
      <c r="K1182" t="s">
        <v>33</v>
      </c>
      <c r="L1182" t="s">
        <v>26</v>
      </c>
      <c r="O1182"/>
    </row>
    <row r="1183" spans="1:15" x14ac:dyDescent="0.3">
      <c r="A1183" t="s">
        <v>1207</v>
      </c>
      <c r="B1183" s="1">
        <v>45894</v>
      </c>
      <c r="C1183" t="s">
        <v>13</v>
      </c>
      <c r="D1183" t="s">
        <v>25</v>
      </c>
      <c r="E1183" s="2">
        <v>10.62</v>
      </c>
      <c r="F1183" s="3">
        <v>36.6</v>
      </c>
      <c r="G1183" s="4">
        <v>160.12</v>
      </c>
      <c r="H1183">
        <v>2</v>
      </c>
      <c r="I1183" s="4">
        <v>320.24</v>
      </c>
      <c r="J1183">
        <v>3.2</v>
      </c>
      <c r="K1183" t="s">
        <v>30</v>
      </c>
      <c r="L1183" t="s">
        <v>19</v>
      </c>
      <c r="O1183"/>
    </row>
    <row r="1184" spans="1:15" x14ac:dyDescent="0.3">
      <c r="A1184" t="s">
        <v>1208</v>
      </c>
      <c r="B1184" s="1">
        <v>45813</v>
      </c>
      <c r="C1184" t="s">
        <v>21</v>
      </c>
      <c r="D1184" t="s">
        <v>14</v>
      </c>
      <c r="E1184" s="2">
        <v>12.3</v>
      </c>
      <c r="F1184" s="3">
        <v>30.53</v>
      </c>
      <c r="G1184" s="4">
        <v>124.93</v>
      </c>
      <c r="H1184">
        <v>1.2</v>
      </c>
      <c r="I1184" s="4">
        <v>149.91999999999999</v>
      </c>
      <c r="J1184">
        <v>3.6</v>
      </c>
      <c r="K1184" t="s">
        <v>33</v>
      </c>
      <c r="L1184" t="s">
        <v>19</v>
      </c>
      <c r="O1184"/>
    </row>
    <row r="1185" spans="1:15" x14ac:dyDescent="0.3">
      <c r="A1185" t="s">
        <v>1209</v>
      </c>
      <c r="B1185" s="1">
        <v>45919</v>
      </c>
      <c r="C1185" t="s">
        <v>21</v>
      </c>
      <c r="D1185" t="s">
        <v>22</v>
      </c>
      <c r="E1185" s="2">
        <v>8.4499999999999993</v>
      </c>
      <c r="F1185" s="3">
        <v>18.46</v>
      </c>
      <c r="G1185" s="4">
        <v>93.03</v>
      </c>
      <c r="H1185">
        <v>1.2</v>
      </c>
      <c r="I1185" s="4">
        <v>111.64</v>
      </c>
      <c r="J1185">
        <v>4.5999999999999996</v>
      </c>
      <c r="K1185" t="s">
        <v>18</v>
      </c>
      <c r="L1185" t="s">
        <v>28</v>
      </c>
      <c r="O1185"/>
    </row>
    <row r="1186" spans="1:15" x14ac:dyDescent="0.3">
      <c r="A1186" t="s">
        <v>1210</v>
      </c>
      <c r="B1186" s="1">
        <v>45704</v>
      </c>
      <c r="C1186" t="s">
        <v>25</v>
      </c>
      <c r="D1186" t="s">
        <v>25</v>
      </c>
      <c r="E1186" s="2">
        <v>1.06</v>
      </c>
      <c r="F1186" s="3">
        <v>3.47</v>
      </c>
      <c r="G1186" s="4">
        <v>12.1</v>
      </c>
      <c r="H1186">
        <v>1.2</v>
      </c>
      <c r="I1186" s="4">
        <v>14.52</v>
      </c>
      <c r="J1186">
        <v>4.7</v>
      </c>
      <c r="K1186" t="s">
        <v>30</v>
      </c>
      <c r="L1186" t="s">
        <v>19</v>
      </c>
      <c r="O1186"/>
    </row>
    <row r="1187" spans="1:15" x14ac:dyDescent="0.3">
      <c r="A1187" t="s">
        <v>1211</v>
      </c>
      <c r="B1187" s="1">
        <v>45970</v>
      </c>
      <c r="C1187" t="s">
        <v>25</v>
      </c>
      <c r="D1187" t="s">
        <v>14</v>
      </c>
      <c r="E1187" s="2">
        <v>28.7</v>
      </c>
      <c r="F1187" s="3">
        <v>92.47</v>
      </c>
      <c r="G1187" s="4">
        <v>287.36</v>
      </c>
      <c r="H1187">
        <v>1</v>
      </c>
      <c r="I1187" s="4">
        <v>287.36</v>
      </c>
      <c r="J1187">
        <v>4.8</v>
      </c>
      <c r="K1187" t="s">
        <v>36</v>
      </c>
      <c r="L1187" t="s">
        <v>28</v>
      </c>
      <c r="O1187"/>
    </row>
    <row r="1188" spans="1:15" x14ac:dyDescent="0.3">
      <c r="A1188" t="s">
        <v>1212</v>
      </c>
      <c r="B1188" s="1">
        <v>45891</v>
      </c>
      <c r="C1188" t="s">
        <v>13</v>
      </c>
      <c r="D1188" t="s">
        <v>25</v>
      </c>
      <c r="E1188" s="2">
        <v>3.62</v>
      </c>
      <c r="F1188" s="3">
        <v>14.1</v>
      </c>
      <c r="G1188" s="4">
        <v>45.56</v>
      </c>
      <c r="H1188">
        <v>1.2</v>
      </c>
      <c r="I1188" s="4">
        <v>54.67</v>
      </c>
      <c r="J1188">
        <v>3.6</v>
      </c>
      <c r="K1188" t="s">
        <v>30</v>
      </c>
      <c r="L1188" t="s">
        <v>19</v>
      </c>
      <c r="O1188"/>
    </row>
    <row r="1189" spans="1:15" x14ac:dyDescent="0.3">
      <c r="A1189" t="s">
        <v>1213</v>
      </c>
      <c r="B1189" s="1">
        <v>45877</v>
      </c>
      <c r="C1189" t="s">
        <v>25</v>
      </c>
      <c r="D1189" t="s">
        <v>14</v>
      </c>
      <c r="E1189" s="2">
        <v>2.4900000000000002</v>
      </c>
      <c r="F1189" s="3">
        <v>7.45</v>
      </c>
      <c r="G1189" s="4">
        <v>27.97</v>
      </c>
      <c r="H1189">
        <v>2</v>
      </c>
      <c r="I1189" s="4">
        <v>55.94</v>
      </c>
      <c r="J1189">
        <v>3.5</v>
      </c>
      <c r="K1189" t="s">
        <v>15</v>
      </c>
      <c r="L1189" t="s">
        <v>19</v>
      </c>
      <c r="O1189"/>
    </row>
    <row r="1190" spans="1:15" x14ac:dyDescent="0.3">
      <c r="A1190" t="s">
        <v>1214</v>
      </c>
      <c r="B1190" s="1">
        <v>45757</v>
      </c>
      <c r="C1190" t="s">
        <v>22</v>
      </c>
      <c r="D1190" t="s">
        <v>25</v>
      </c>
      <c r="E1190" s="2">
        <v>23.41</v>
      </c>
      <c r="F1190" s="3">
        <v>84.42</v>
      </c>
      <c r="G1190" s="4">
        <v>270.01</v>
      </c>
      <c r="H1190">
        <v>1.5</v>
      </c>
      <c r="I1190" s="4">
        <v>405.02</v>
      </c>
      <c r="J1190">
        <v>4.0999999999999996</v>
      </c>
      <c r="K1190" t="s">
        <v>33</v>
      </c>
      <c r="L1190" t="s">
        <v>16</v>
      </c>
      <c r="O1190"/>
    </row>
    <row r="1191" spans="1:15" x14ac:dyDescent="0.3">
      <c r="A1191" t="s">
        <v>1215</v>
      </c>
      <c r="B1191" s="1">
        <v>45939</v>
      </c>
      <c r="C1191" t="s">
        <v>22</v>
      </c>
      <c r="D1191" t="s">
        <v>14</v>
      </c>
      <c r="E1191" s="2">
        <v>5.39</v>
      </c>
      <c r="F1191" s="3">
        <v>19.39</v>
      </c>
      <c r="G1191" s="4">
        <v>92.02</v>
      </c>
      <c r="H1191">
        <v>2</v>
      </c>
      <c r="I1191" s="4">
        <v>184.04</v>
      </c>
      <c r="J1191">
        <v>4.5999999999999996</v>
      </c>
      <c r="K1191" t="s">
        <v>33</v>
      </c>
      <c r="L1191" t="s">
        <v>16</v>
      </c>
      <c r="O1191"/>
    </row>
    <row r="1192" spans="1:15" x14ac:dyDescent="0.3">
      <c r="A1192" t="s">
        <v>1216</v>
      </c>
      <c r="B1192" s="1">
        <v>46016</v>
      </c>
      <c r="C1192" t="s">
        <v>21</v>
      </c>
      <c r="D1192" t="s">
        <v>25</v>
      </c>
      <c r="E1192" s="2">
        <v>4.07</v>
      </c>
      <c r="F1192" s="3">
        <v>13.25</v>
      </c>
      <c r="G1192" s="4">
        <v>45.64</v>
      </c>
      <c r="H1192">
        <v>2</v>
      </c>
      <c r="I1192" s="4">
        <v>91.28</v>
      </c>
      <c r="J1192">
        <v>3.1</v>
      </c>
      <c r="K1192" t="s">
        <v>30</v>
      </c>
      <c r="L1192" t="s">
        <v>19</v>
      </c>
      <c r="O1192"/>
    </row>
    <row r="1193" spans="1:15" x14ac:dyDescent="0.3">
      <c r="A1193" t="s">
        <v>1217</v>
      </c>
      <c r="B1193" s="1">
        <v>46021</v>
      </c>
      <c r="C1193" t="s">
        <v>22</v>
      </c>
      <c r="D1193" t="s">
        <v>14</v>
      </c>
      <c r="E1193" s="2">
        <v>12.32</v>
      </c>
      <c r="F1193" s="3">
        <v>38.9</v>
      </c>
      <c r="G1193" s="4">
        <v>235.48</v>
      </c>
      <c r="H1193">
        <v>1.5</v>
      </c>
      <c r="I1193" s="4">
        <v>353.22</v>
      </c>
      <c r="J1193">
        <v>4</v>
      </c>
      <c r="K1193" t="s">
        <v>30</v>
      </c>
      <c r="L1193" t="s">
        <v>16</v>
      </c>
      <c r="O1193"/>
    </row>
    <row r="1194" spans="1:15" x14ac:dyDescent="0.3">
      <c r="A1194" t="s">
        <v>1218</v>
      </c>
      <c r="B1194" s="1">
        <v>45907</v>
      </c>
      <c r="C1194" t="s">
        <v>22</v>
      </c>
      <c r="D1194" t="s">
        <v>25</v>
      </c>
      <c r="E1194" s="2">
        <v>25.45</v>
      </c>
      <c r="F1194" s="3">
        <v>83.69</v>
      </c>
      <c r="G1194" s="4">
        <v>420.11</v>
      </c>
      <c r="H1194">
        <v>1.5</v>
      </c>
      <c r="I1194" s="4">
        <v>630.16</v>
      </c>
      <c r="J1194">
        <v>3.8</v>
      </c>
      <c r="K1194" t="s">
        <v>36</v>
      </c>
      <c r="L1194" t="s">
        <v>28</v>
      </c>
      <c r="O1194"/>
    </row>
    <row r="1195" spans="1:15" x14ac:dyDescent="0.3">
      <c r="A1195" t="s">
        <v>1219</v>
      </c>
      <c r="B1195" s="1">
        <v>45846</v>
      </c>
      <c r="C1195" t="s">
        <v>13</v>
      </c>
      <c r="D1195" t="s">
        <v>13</v>
      </c>
      <c r="E1195" s="2">
        <v>7.25</v>
      </c>
      <c r="F1195" s="3">
        <v>17.71</v>
      </c>
      <c r="G1195" s="4">
        <v>125.37</v>
      </c>
      <c r="H1195">
        <v>1</v>
      </c>
      <c r="I1195" s="4">
        <v>125.37</v>
      </c>
      <c r="J1195">
        <v>4.5</v>
      </c>
      <c r="K1195" t="s">
        <v>33</v>
      </c>
      <c r="L1195" t="s">
        <v>26</v>
      </c>
      <c r="O1195"/>
    </row>
    <row r="1196" spans="1:15" x14ac:dyDescent="0.3">
      <c r="A1196" t="s">
        <v>1220</v>
      </c>
      <c r="B1196" s="1">
        <v>45867</v>
      </c>
      <c r="C1196" t="s">
        <v>14</v>
      </c>
      <c r="D1196" t="s">
        <v>13</v>
      </c>
      <c r="E1196" s="2">
        <v>5.91</v>
      </c>
      <c r="F1196" s="3">
        <v>14.04</v>
      </c>
      <c r="G1196" s="4">
        <v>59.72</v>
      </c>
      <c r="H1196">
        <v>1.2</v>
      </c>
      <c r="I1196" s="4">
        <v>71.66</v>
      </c>
      <c r="J1196">
        <v>3.2</v>
      </c>
      <c r="K1196" t="s">
        <v>33</v>
      </c>
      <c r="L1196" t="s">
        <v>26</v>
      </c>
      <c r="O1196"/>
    </row>
    <row r="1197" spans="1:15" x14ac:dyDescent="0.3">
      <c r="A1197" t="s">
        <v>1221</v>
      </c>
      <c r="B1197" s="1">
        <v>45696</v>
      </c>
      <c r="C1197" t="s">
        <v>14</v>
      </c>
      <c r="D1197" t="s">
        <v>25</v>
      </c>
      <c r="E1197" s="2">
        <v>6.05</v>
      </c>
      <c r="F1197" s="3">
        <v>16.18</v>
      </c>
      <c r="G1197" s="4">
        <v>61.59</v>
      </c>
      <c r="H1197">
        <v>1.5</v>
      </c>
      <c r="I1197" s="4">
        <v>92.38</v>
      </c>
      <c r="J1197">
        <v>3.8</v>
      </c>
      <c r="K1197" t="s">
        <v>30</v>
      </c>
      <c r="L1197" t="s">
        <v>26</v>
      </c>
      <c r="O1197"/>
    </row>
    <row r="1198" spans="1:15" x14ac:dyDescent="0.3">
      <c r="A1198" t="s">
        <v>1222</v>
      </c>
      <c r="B1198" s="1">
        <v>45804</v>
      </c>
      <c r="C1198" t="s">
        <v>13</v>
      </c>
      <c r="D1198" t="s">
        <v>25</v>
      </c>
      <c r="E1198" s="2">
        <v>18.97</v>
      </c>
      <c r="F1198" s="3">
        <v>63.11</v>
      </c>
      <c r="G1198" s="4">
        <v>348.34</v>
      </c>
      <c r="H1198">
        <v>1</v>
      </c>
      <c r="I1198" s="4">
        <v>348.34</v>
      </c>
      <c r="J1198">
        <v>4.8</v>
      </c>
      <c r="K1198" t="s">
        <v>30</v>
      </c>
      <c r="L1198" t="s">
        <v>26</v>
      </c>
      <c r="O1198"/>
    </row>
    <row r="1199" spans="1:15" x14ac:dyDescent="0.3">
      <c r="A1199" t="s">
        <v>1223</v>
      </c>
      <c r="B1199" s="1">
        <v>45996</v>
      </c>
      <c r="C1199" t="s">
        <v>13</v>
      </c>
      <c r="D1199" t="s">
        <v>22</v>
      </c>
      <c r="E1199" s="2">
        <v>25.69</v>
      </c>
      <c r="F1199" s="3">
        <v>59.43</v>
      </c>
      <c r="G1199" s="4">
        <v>507.32</v>
      </c>
      <c r="H1199">
        <v>1.5</v>
      </c>
      <c r="I1199" s="4">
        <v>760.98</v>
      </c>
      <c r="J1199">
        <v>4.8</v>
      </c>
      <c r="K1199" t="s">
        <v>30</v>
      </c>
      <c r="L1199" t="s">
        <v>19</v>
      </c>
      <c r="O1199"/>
    </row>
    <row r="1200" spans="1:15" x14ac:dyDescent="0.3">
      <c r="A1200" t="s">
        <v>1224</v>
      </c>
      <c r="B1200" s="1">
        <v>45861</v>
      </c>
      <c r="C1200" t="s">
        <v>22</v>
      </c>
      <c r="D1200" t="s">
        <v>21</v>
      </c>
      <c r="E1200" s="2">
        <v>29.46</v>
      </c>
      <c r="F1200" s="3">
        <v>64.66</v>
      </c>
      <c r="G1200" s="4">
        <v>383.88</v>
      </c>
      <c r="H1200">
        <v>1</v>
      </c>
      <c r="I1200" s="4">
        <v>383.88</v>
      </c>
      <c r="J1200">
        <v>4.9000000000000004</v>
      </c>
      <c r="K1200" t="s">
        <v>18</v>
      </c>
      <c r="L1200" t="s">
        <v>16</v>
      </c>
      <c r="O1200"/>
    </row>
    <row r="1201" spans="1:15" x14ac:dyDescent="0.3">
      <c r="A1201" t="s">
        <v>1225</v>
      </c>
      <c r="B1201" s="1">
        <v>45915</v>
      </c>
      <c r="C1201" t="s">
        <v>22</v>
      </c>
      <c r="D1201" t="s">
        <v>25</v>
      </c>
      <c r="E1201" s="2">
        <v>27.92</v>
      </c>
      <c r="F1201" s="3">
        <v>59.5</v>
      </c>
      <c r="G1201" s="4">
        <v>432.6</v>
      </c>
      <c r="H1201">
        <v>1.2</v>
      </c>
      <c r="I1201" s="4">
        <v>519.12</v>
      </c>
      <c r="J1201">
        <v>4.9000000000000004</v>
      </c>
      <c r="K1201" t="s">
        <v>18</v>
      </c>
      <c r="L1201" t="s">
        <v>28</v>
      </c>
      <c r="O1201"/>
    </row>
    <row r="1202" spans="1:15" x14ac:dyDescent="0.3">
      <c r="A1202" t="s">
        <v>1226</v>
      </c>
      <c r="B1202" s="1">
        <v>45857</v>
      </c>
      <c r="C1202" t="s">
        <v>14</v>
      </c>
      <c r="D1202" t="s">
        <v>13</v>
      </c>
      <c r="E1202" s="2">
        <v>8.41</v>
      </c>
      <c r="F1202" s="3">
        <v>22.95</v>
      </c>
      <c r="G1202" s="4">
        <v>155.05000000000001</v>
      </c>
      <c r="H1202">
        <v>2</v>
      </c>
      <c r="I1202" s="4">
        <v>310.10000000000002</v>
      </c>
      <c r="J1202">
        <v>4.0999999999999996</v>
      </c>
      <c r="K1202" t="s">
        <v>36</v>
      </c>
      <c r="L1202" t="s">
        <v>26</v>
      </c>
      <c r="O1202"/>
    </row>
    <row r="1203" spans="1:15" x14ac:dyDescent="0.3">
      <c r="A1203" t="s">
        <v>1227</v>
      </c>
      <c r="B1203" s="1">
        <v>45894</v>
      </c>
      <c r="C1203" t="s">
        <v>21</v>
      </c>
      <c r="D1203" t="s">
        <v>13</v>
      </c>
      <c r="E1203" s="2">
        <v>17.32</v>
      </c>
      <c r="F1203" s="3">
        <v>61.04</v>
      </c>
      <c r="G1203" s="4">
        <v>296.8</v>
      </c>
      <c r="H1203">
        <v>1</v>
      </c>
      <c r="I1203" s="4">
        <v>296.8</v>
      </c>
      <c r="J1203">
        <v>3.9</v>
      </c>
      <c r="K1203" t="s">
        <v>30</v>
      </c>
      <c r="L1203" t="s">
        <v>16</v>
      </c>
      <c r="O1203"/>
    </row>
    <row r="1204" spans="1:15" x14ac:dyDescent="0.3">
      <c r="A1204" t="s">
        <v>1228</v>
      </c>
      <c r="B1204" s="1">
        <v>45945</v>
      </c>
      <c r="C1204" t="s">
        <v>21</v>
      </c>
      <c r="D1204" t="s">
        <v>13</v>
      </c>
      <c r="E1204" s="2">
        <v>26.16</v>
      </c>
      <c r="F1204" s="3">
        <v>74.930000000000007</v>
      </c>
      <c r="G1204" s="4">
        <v>514.46</v>
      </c>
      <c r="H1204">
        <v>1.2</v>
      </c>
      <c r="I1204" s="4">
        <v>617.35</v>
      </c>
      <c r="J1204">
        <v>3.6</v>
      </c>
      <c r="K1204" t="s">
        <v>18</v>
      </c>
      <c r="L1204" t="s">
        <v>19</v>
      </c>
      <c r="O1204"/>
    </row>
    <row r="1205" spans="1:15" x14ac:dyDescent="0.3">
      <c r="A1205" t="s">
        <v>1229</v>
      </c>
      <c r="B1205" s="1">
        <v>45744</v>
      </c>
      <c r="C1205" t="s">
        <v>13</v>
      </c>
      <c r="D1205" t="s">
        <v>13</v>
      </c>
      <c r="E1205" s="2">
        <v>12.29</v>
      </c>
      <c r="F1205" s="3">
        <v>47.97</v>
      </c>
      <c r="G1205" s="4">
        <v>162.19</v>
      </c>
      <c r="H1205">
        <v>2</v>
      </c>
      <c r="I1205" s="4">
        <v>324.38</v>
      </c>
      <c r="J1205">
        <v>4.4000000000000004</v>
      </c>
      <c r="K1205" t="s">
        <v>18</v>
      </c>
      <c r="L1205" t="s">
        <v>16</v>
      </c>
      <c r="O1205"/>
    </row>
    <row r="1206" spans="1:15" x14ac:dyDescent="0.3">
      <c r="A1206" t="s">
        <v>1230</v>
      </c>
      <c r="B1206" s="1">
        <v>45980</v>
      </c>
      <c r="C1206" t="s">
        <v>21</v>
      </c>
      <c r="D1206" t="s">
        <v>21</v>
      </c>
      <c r="E1206" s="2">
        <v>11.16</v>
      </c>
      <c r="F1206" s="3">
        <v>24.18</v>
      </c>
      <c r="G1206" s="4">
        <v>192.46</v>
      </c>
      <c r="H1206">
        <v>1.2</v>
      </c>
      <c r="I1206" s="4">
        <v>230.95</v>
      </c>
      <c r="J1206">
        <v>3</v>
      </c>
      <c r="K1206" t="s">
        <v>36</v>
      </c>
      <c r="L1206" t="s">
        <v>16</v>
      </c>
      <c r="O1206"/>
    </row>
    <row r="1207" spans="1:15" x14ac:dyDescent="0.3">
      <c r="A1207" t="s">
        <v>1231</v>
      </c>
      <c r="B1207" s="1">
        <v>45833</v>
      </c>
      <c r="C1207" t="s">
        <v>22</v>
      </c>
      <c r="D1207" t="s">
        <v>13</v>
      </c>
      <c r="E1207" s="2">
        <v>13.84</v>
      </c>
      <c r="F1207" s="3">
        <v>41.11</v>
      </c>
      <c r="G1207" s="4">
        <v>246.06</v>
      </c>
      <c r="H1207">
        <v>1.2</v>
      </c>
      <c r="I1207" s="4">
        <v>295.27</v>
      </c>
      <c r="J1207">
        <v>4.0999999999999996</v>
      </c>
      <c r="K1207" t="s">
        <v>15</v>
      </c>
      <c r="L1207" t="s">
        <v>26</v>
      </c>
      <c r="O1207"/>
    </row>
    <row r="1208" spans="1:15" x14ac:dyDescent="0.3">
      <c r="A1208" t="s">
        <v>1232</v>
      </c>
      <c r="B1208" s="1">
        <v>45876</v>
      </c>
      <c r="C1208" t="s">
        <v>22</v>
      </c>
      <c r="D1208" t="s">
        <v>13</v>
      </c>
      <c r="E1208" s="2">
        <v>1.39</v>
      </c>
      <c r="F1208" s="3">
        <v>3.79</v>
      </c>
      <c r="G1208" s="4">
        <v>22.26</v>
      </c>
      <c r="H1208">
        <v>1.5</v>
      </c>
      <c r="I1208" s="4">
        <v>33.39</v>
      </c>
      <c r="J1208">
        <v>3.7</v>
      </c>
      <c r="K1208" t="s">
        <v>36</v>
      </c>
      <c r="L1208" t="s">
        <v>16</v>
      </c>
      <c r="O1208"/>
    </row>
    <row r="1209" spans="1:15" x14ac:dyDescent="0.3">
      <c r="A1209" t="s">
        <v>1233</v>
      </c>
      <c r="B1209" s="1">
        <v>45832</v>
      </c>
      <c r="C1209" t="s">
        <v>13</v>
      </c>
      <c r="D1209" t="s">
        <v>25</v>
      </c>
      <c r="E1209" s="2">
        <v>15.03</v>
      </c>
      <c r="F1209" s="3">
        <v>51.96</v>
      </c>
      <c r="G1209" s="4">
        <v>197.86</v>
      </c>
      <c r="H1209">
        <v>1</v>
      </c>
      <c r="I1209" s="4">
        <v>197.86</v>
      </c>
      <c r="J1209">
        <v>4.9000000000000004</v>
      </c>
      <c r="K1209" t="s">
        <v>36</v>
      </c>
      <c r="L1209" t="s">
        <v>19</v>
      </c>
      <c r="O1209"/>
    </row>
    <row r="1210" spans="1:15" x14ac:dyDescent="0.3">
      <c r="A1210" t="s">
        <v>1234</v>
      </c>
      <c r="B1210" s="1">
        <v>45862</v>
      </c>
      <c r="C1210" t="s">
        <v>22</v>
      </c>
      <c r="D1210" t="s">
        <v>22</v>
      </c>
      <c r="E1210" s="2">
        <v>17.739999999999998</v>
      </c>
      <c r="F1210" s="3">
        <v>58.46</v>
      </c>
      <c r="G1210" s="4">
        <v>182.6</v>
      </c>
      <c r="H1210">
        <v>2</v>
      </c>
      <c r="I1210" s="4">
        <v>365.2</v>
      </c>
      <c r="J1210">
        <v>4.4000000000000004</v>
      </c>
      <c r="K1210" t="s">
        <v>30</v>
      </c>
      <c r="L1210" t="s">
        <v>28</v>
      </c>
      <c r="O1210"/>
    </row>
    <row r="1211" spans="1:15" x14ac:dyDescent="0.3">
      <c r="A1211" t="s">
        <v>1235</v>
      </c>
      <c r="B1211" s="1">
        <v>45798</v>
      </c>
      <c r="C1211" t="s">
        <v>21</v>
      </c>
      <c r="D1211" t="s">
        <v>22</v>
      </c>
      <c r="E1211" s="2">
        <v>16.829999999999998</v>
      </c>
      <c r="F1211" s="3">
        <v>45.76</v>
      </c>
      <c r="G1211" s="4">
        <v>182.01</v>
      </c>
      <c r="H1211">
        <v>1.2</v>
      </c>
      <c r="I1211" s="4">
        <v>218.41</v>
      </c>
      <c r="J1211">
        <v>4.3</v>
      </c>
      <c r="K1211" t="s">
        <v>36</v>
      </c>
      <c r="L1211" t="s">
        <v>26</v>
      </c>
      <c r="O1211"/>
    </row>
    <row r="1212" spans="1:15" x14ac:dyDescent="0.3">
      <c r="A1212" t="s">
        <v>1236</v>
      </c>
      <c r="B1212" s="1">
        <v>45890</v>
      </c>
      <c r="C1212" t="s">
        <v>22</v>
      </c>
      <c r="D1212" t="s">
        <v>22</v>
      </c>
      <c r="E1212" s="2">
        <v>12.85</v>
      </c>
      <c r="F1212" s="3">
        <v>37.69</v>
      </c>
      <c r="G1212" s="4">
        <v>135.27000000000001</v>
      </c>
      <c r="H1212">
        <v>1</v>
      </c>
      <c r="I1212" s="4">
        <v>135.27000000000001</v>
      </c>
      <c r="J1212">
        <v>5</v>
      </c>
      <c r="K1212" t="s">
        <v>33</v>
      </c>
      <c r="L1212" t="s">
        <v>26</v>
      </c>
      <c r="O1212"/>
    </row>
    <row r="1213" spans="1:15" x14ac:dyDescent="0.3">
      <c r="A1213" t="s">
        <v>1237</v>
      </c>
      <c r="B1213" s="1">
        <v>45775</v>
      </c>
      <c r="C1213" t="s">
        <v>14</v>
      </c>
      <c r="D1213" t="s">
        <v>22</v>
      </c>
      <c r="E1213" s="2">
        <v>8.75</v>
      </c>
      <c r="F1213" s="3">
        <v>24.88</v>
      </c>
      <c r="G1213" s="4">
        <v>95.76</v>
      </c>
      <c r="H1213">
        <v>2</v>
      </c>
      <c r="I1213" s="4">
        <v>191.52</v>
      </c>
      <c r="J1213">
        <v>3.3</v>
      </c>
      <c r="K1213" t="s">
        <v>36</v>
      </c>
      <c r="L1213" t="s">
        <v>19</v>
      </c>
      <c r="O1213"/>
    </row>
    <row r="1214" spans="1:15" x14ac:dyDescent="0.3">
      <c r="A1214" t="s">
        <v>1238</v>
      </c>
      <c r="B1214" s="1">
        <v>45713</v>
      </c>
      <c r="C1214" t="s">
        <v>22</v>
      </c>
      <c r="D1214" t="s">
        <v>21</v>
      </c>
      <c r="E1214" s="2">
        <v>23.11</v>
      </c>
      <c r="F1214" s="3">
        <v>87.83</v>
      </c>
      <c r="G1214" s="4">
        <v>384.74</v>
      </c>
      <c r="H1214">
        <v>1.5</v>
      </c>
      <c r="I1214" s="4">
        <v>577.11</v>
      </c>
      <c r="J1214">
        <v>4.3</v>
      </c>
      <c r="K1214" t="s">
        <v>18</v>
      </c>
      <c r="L1214" t="s">
        <v>28</v>
      </c>
      <c r="O1214"/>
    </row>
    <row r="1215" spans="1:15" x14ac:dyDescent="0.3">
      <c r="A1215" t="s">
        <v>1239</v>
      </c>
      <c r="B1215" s="1">
        <v>46015</v>
      </c>
      <c r="C1215" t="s">
        <v>21</v>
      </c>
      <c r="D1215" t="s">
        <v>21</v>
      </c>
      <c r="E1215" s="2">
        <v>24.91</v>
      </c>
      <c r="F1215" s="3">
        <v>70.63</v>
      </c>
      <c r="G1215" s="4">
        <v>267.31</v>
      </c>
      <c r="H1215">
        <v>1.2</v>
      </c>
      <c r="I1215" s="4">
        <v>320.77</v>
      </c>
      <c r="J1215">
        <v>3.8</v>
      </c>
      <c r="K1215" t="s">
        <v>36</v>
      </c>
      <c r="L1215" t="s">
        <v>28</v>
      </c>
      <c r="O1215"/>
    </row>
    <row r="1216" spans="1:15" x14ac:dyDescent="0.3">
      <c r="A1216" t="s">
        <v>1240</v>
      </c>
      <c r="B1216" s="1">
        <v>45882</v>
      </c>
      <c r="C1216" t="s">
        <v>13</v>
      </c>
      <c r="D1216" t="s">
        <v>21</v>
      </c>
      <c r="E1216" s="2">
        <v>8.7799999999999994</v>
      </c>
      <c r="F1216" s="3">
        <v>35.11</v>
      </c>
      <c r="G1216" s="4">
        <v>103.19</v>
      </c>
      <c r="H1216">
        <v>1.5</v>
      </c>
      <c r="I1216" s="4">
        <v>154.78</v>
      </c>
      <c r="J1216">
        <v>3.1</v>
      </c>
      <c r="K1216" t="s">
        <v>36</v>
      </c>
      <c r="L1216" t="s">
        <v>19</v>
      </c>
      <c r="O1216"/>
    </row>
    <row r="1217" spans="1:15" x14ac:dyDescent="0.3">
      <c r="A1217" t="s">
        <v>1241</v>
      </c>
      <c r="B1217" s="1">
        <v>45712</v>
      </c>
      <c r="C1217" t="s">
        <v>22</v>
      </c>
      <c r="D1217" t="s">
        <v>13</v>
      </c>
      <c r="E1217" s="2">
        <v>23.5</v>
      </c>
      <c r="F1217" s="3">
        <v>68</v>
      </c>
      <c r="G1217" s="4">
        <v>340.16</v>
      </c>
      <c r="H1217">
        <v>1</v>
      </c>
      <c r="I1217" s="4">
        <v>340.16</v>
      </c>
      <c r="J1217">
        <v>3.9</v>
      </c>
      <c r="K1217" t="s">
        <v>18</v>
      </c>
      <c r="L1217" t="s">
        <v>28</v>
      </c>
      <c r="O1217"/>
    </row>
    <row r="1218" spans="1:15" x14ac:dyDescent="0.3">
      <c r="A1218" t="s">
        <v>1242</v>
      </c>
      <c r="B1218" s="1">
        <v>45990</v>
      </c>
      <c r="C1218" t="s">
        <v>21</v>
      </c>
      <c r="D1218" t="s">
        <v>14</v>
      </c>
      <c r="E1218" s="2">
        <v>20.53</v>
      </c>
      <c r="F1218" s="3">
        <v>43.72</v>
      </c>
      <c r="G1218" s="4">
        <v>300.91000000000003</v>
      </c>
      <c r="H1218">
        <v>1</v>
      </c>
      <c r="I1218" s="4">
        <v>300.91000000000003</v>
      </c>
      <c r="J1218">
        <v>4.0999999999999996</v>
      </c>
      <c r="K1218" t="s">
        <v>18</v>
      </c>
      <c r="L1218" t="s">
        <v>19</v>
      </c>
      <c r="O1218"/>
    </row>
    <row r="1219" spans="1:15" x14ac:dyDescent="0.3">
      <c r="A1219" t="s">
        <v>1243</v>
      </c>
      <c r="B1219" s="1">
        <v>45750</v>
      </c>
      <c r="C1219" t="s">
        <v>14</v>
      </c>
      <c r="D1219" t="s">
        <v>14</v>
      </c>
      <c r="E1219" s="2">
        <v>8.4499999999999993</v>
      </c>
      <c r="F1219" s="3">
        <v>30.43</v>
      </c>
      <c r="G1219" s="4">
        <v>137.91</v>
      </c>
      <c r="H1219">
        <v>2</v>
      </c>
      <c r="I1219" s="4">
        <v>275.82</v>
      </c>
      <c r="J1219">
        <v>4</v>
      </c>
      <c r="K1219" t="s">
        <v>18</v>
      </c>
      <c r="L1219" t="s">
        <v>19</v>
      </c>
      <c r="O1219"/>
    </row>
    <row r="1220" spans="1:15" x14ac:dyDescent="0.3">
      <c r="A1220" t="s">
        <v>1244</v>
      </c>
      <c r="B1220" s="1">
        <v>45933</v>
      </c>
      <c r="C1220" t="s">
        <v>25</v>
      </c>
      <c r="D1220" t="s">
        <v>25</v>
      </c>
      <c r="E1220" s="2">
        <v>27.56</v>
      </c>
      <c r="F1220" s="3">
        <v>89.04</v>
      </c>
      <c r="G1220" s="4">
        <v>328.71</v>
      </c>
      <c r="H1220">
        <v>2</v>
      </c>
      <c r="I1220" s="4">
        <v>657.42</v>
      </c>
      <c r="J1220">
        <v>4.8</v>
      </c>
      <c r="K1220" t="s">
        <v>18</v>
      </c>
      <c r="L1220" t="s">
        <v>16</v>
      </c>
      <c r="O1220"/>
    </row>
    <row r="1221" spans="1:15" x14ac:dyDescent="0.3">
      <c r="A1221" t="s">
        <v>1245</v>
      </c>
      <c r="B1221" s="1">
        <v>46004</v>
      </c>
      <c r="C1221" t="s">
        <v>25</v>
      </c>
      <c r="D1221" t="s">
        <v>21</v>
      </c>
      <c r="E1221" s="2">
        <v>16.25</v>
      </c>
      <c r="F1221" s="3">
        <v>55.84</v>
      </c>
      <c r="G1221" s="4">
        <v>256.99</v>
      </c>
      <c r="H1221">
        <v>1</v>
      </c>
      <c r="I1221" s="4">
        <v>256.99</v>
      </c>
      <c r="J1221">
        <v>4.9000000000000004</v>
      </c>
      <c r="K1221" t="s">
        <v>30</v>
      </c>
      <c r="L1221" t="s">
        <v>28</v>
      </c>
      <c r="O1221"/>
    </row>
    <row r="1222" spans="1:15" x14ac:dyDescent="0.3">
      <c r="A1222" t="s">
        <v>1246</v>
      </c>
      <c r="B1222" s="1">
        <v>46020</v>
      </c>
      <c r="C1222" t="s">
        <v>25</v>
      </c>
      <c r="D1222" t="s">
        <v>22</v>
      </c>
      <c r="E1222" s="2">
        <v>4.08</v>
      </c>
      <c r="F1222" s="3">
        <v>9.58</v>
      </c>
      <c r="G1222" s="4">
        <v>68.959999999999994</v>
      </c>
      <c r="H1222">
        <v>1.5</v>
      </c>
      <c r="I1222" s="4">
        <v>103.44</v>
      </c>
      <c r="J1222">
        <v>3.5</v>
      </c>
      <c r="K1222" t="s">
        <v>15</v>
      </c>
      <c r="L1222" t="s">
        <v>26</v>
      </c>
      <c r="O1222"/>
    </row>
    <row r="1223" spans="1:15" x14ac:dyDescent="0.3">
      <c r="A1223" t="s">
        <v>1247</v>
      </c>
      <c r="B1223" s="1">
        <v>45984</v>
      </c>
      <c r="C1223" t="s">
        <v>13</v>
      </c>
      <c r="D1223" t="s">
        <v>25</v>
      </c>
      <c r="E1223" s="2">
        <v>19.23</v>
      </c>
      <c r="F1223" s="3">
        <v>59.89</v>
      </c>
      <c r="G1223" s="4">
        <v>335.11</v>
      </c>
      <c r="H1223">
        <v>1</v>
      </c>
      <c r="I1223" s="4">
        <v>335.11</v>
      </c>
      <c r="J1223">
        <v>4.7</v>
      </c>
      <c r="K1223" t="s">
        <v>15</v>
      </c>
      <c r="L1223" t="s">
        <v>19</v>
      </c>
      <c r="O1223"/>
    </row>
    <row r="1224" spans="1:15" x14ac:dyDescent="0.3">
      <c r="A1224" t="s">
        <v>1248</v>
      </c>
      <c r="B1224" s="1">
        <v>45743</v>
      </c>
      <c r="C1224" t="s">
        <v>13</v>
      </c>
      <c r="D1224" t="s">
        <v>13</v>
      </c>
      <c r="E1224" s="2">
        <v>3.56</v>
      </c>
      <c r="F1224" s="3">
        <v>10.07</v>
      </c>
      <c r="G1224" s="4">
        <v>62.31</v>
      </c>
      <c r="H1224">
        <v>1.2</v>
      </c>
      <c r="I1224" s="4">
        <v>74.77</v>
      </c>
      <c r="J1224">
        <v>3.3</v>
      </c>
      <c r="K1224" t="s">
        <v>30</v>
      </c>
      <c r="L1224" t="s">
        <v>19</v>
      </c>
      <c r="O1224"/>
    </row>
    <row r="1225" spans="1:15" x14ac:dyDescent="0.3">
      <c r="A1225" t="s">
        <v>1249</v>
      </c>
      <c r="B1225" s="1">
        <v>45861</v>
      </c>
      <c r="C1225" t="s">
        <v>22</v>
      </c>
      <c r="D1225" t="s">
        <v>13</v>
      </c>
      <c r="E1225" s="2">
        <v>9.06</v>
      </c>
      <c r="F1225" s="3">
        <v>27.15</v>
      </c>
      <c r="G1225" s="4">
        <v>120.46</v>
      </c>
      <c r="H1225">
        <v>1.5</v>
      </c>
      <c r="I1225" s="4">
        <v>180.69</v>
      </c>
      <c r="J1225">
        <v>4.8</v>
      </c>
      <c r="K1225" t="s">
        <v>33</v>
      </c>
      <c r="L1225" t="s">
        <v>19</v>
      </c>
      <c r="O1225"/>
    </row>
    <row r="1226" spans="1:15" x14ac:dyDescent="0.3">
      <c r="A1226" t="s">
        <v>1250</v>
      </c>
      <c r="B1226" s="1">
        <v>45721</v>
      </c>
      <c r="C1226" t="s">
        <v>13</v>
      </c>
      <c r="D1226" t="s">
        <v>22</v>
      </c>
      <c r="E1226" s="2">
        <v>26.59</v>
      </c>
      <c r="F1226" s="3">
        <v>64</v>
      </c>
      <c r="G1226" s="4">
        <v>498.13</v>
      </c>
      <c r="H1226">
        <v>1</v>
      </c>
      <c r="I1226" s="4">
        <v>498.13</v>
      </c>
      <c r="J1226">
        <v>4.3</v>
      </c>
      <c r="K1226" t="s">
        <v>18</v>
      </c>
      <c r="L1226" t="s">
        <v>16</v>
      </c>
      <c r="O1226"/>
    </row>
    <row r="1227" spans="1:15" x14ac:dyDescent="0.3">
      <c r="A1227" t="s">
        <v>1251</v>
      </c>
      <c r="B1227" s="1">
        <v>45823</v>
      </c>
      <c r="C1227" t="s">
        <v>22</v>
      </c>
      <c r="D1227" t="s">
        <v>25</v>
      </c>
      <c r="E1227" s="2">
        <v>13</v>
      </c>
      <c r="F1227" s="3">
        <v>33.78</v>
      </c>
      <c r="G1227" s="4">
        <v>227.25</v>
      </c>
      <c r="H1227">
        <v>1.5</v>
      </c>
      <c r="I1227" s="4">
        <v>340.88</v>
      </c>
      <c r="J1227">
        <v>3.7</v>
      </c>
      <c r="K1227" t="s">
        <v>33</v>
      </c>
      <c r="L1227" t="s">
        <v>16</v>
      </c>
      <c r="O1227"/>
    </row>
    <row r="1228" spans="1:15" x14ac:dyDescent="0.3">
      <c r="A1228" t="s">
        <v>1252</v>
      </c>
      <c r="B1228" s="1">
        <v>45989</v>
      </c>
      <c r="C1228" t="s">
        <v>21</v>
      </c>
      <c r="D1228" t="s">
        <v>25</v>
      </c>
      <c r="E1228" s="2">
        <v>6.5</v>
      </c>
      <c r="F1228" s="3">
        <v>14.63</v>
      </c>
      <c r="G1228" s="4">
        <v>85.22</v>
      </c>
      <c r="H1228">
        <v>2</v>
      </c>
      <c r="I1228" s="4">
        <v>170.44</v>
      </c>
      <c r="J1228">
        <v>3.8</v>
      </c>
      <c r="K1228" t="s">
        <v>33</v>
      </c>
      <c r="L1228" t="s">
        <v>16</v>
      </c>
      <c r="O1228"/>
    </row>
    <row r="1229" spans="1:15" x14ac:dyDescent="0.3">
      <c r="A1229" t="s">
        <v>1253</v>
      </c>
      <c r="B1229" s="1">
        <v>46002</v>
      </c>
      <c r="C1229" t="s">
        <v>14</v>
      </c>
      <c r="D1229" t="s">
        <v>25</v>
      </c>
      <c r="E1229" s="2">
        <v>22.32</v>
      </c>
      <c r="F1229" s="3">
        <v>80.23</v>
      </c>
      <c r="G1229" s="4">
        <v>283.33</v>
      </c>
      <c r="H1229">
        <v>2</v>
      </c>
      <c r="I1229" s="4">
        <v>566.66</v>
      </c>
      <c r="J1229">
        <v>3.9</v>
      </c>
      <c r="K1229" t="s">
        <v>36</v>
      </c>
      <c r="L1229" t="s">
        <v>26</v>
      </c>
      <c r="O1229"/>
    </row>
    <row r="1230" spans="1:15" x14ac:dyDescent="0.3">
      <c r="A1230" t="s">
        <v>1254</v>
      </c>
      <c r="B1230" s="1">
        <v>45820</v>
      </c>
      <c r="C1230" t="s">
        <v>13</v>
      </c>
      <c r="D1230" t="s">
        <v>21</v>
      </c>
      <c r="E1230" s="2">
        <v>10.75</v>
      </c>
      <c r="F1230" s="3">
        <v>34.119999999999997</v>
      </c>
      <c r="G1230" s="4">
        <v>118.56</v>
      </c>
      <c r="H1230">
        <v>1</v>
      </c>
      <c r="I1230" s="4">
        <v>118.56</v>
      </c>
      <c r="J1230">
        <v>4.9000000000000004</v>
      </c>
      <c r="K1230" t="s">
        <v>15</v>
      </c>
      <c r="L1230" t="s">
        <v>19</v>
      </c>
      <c r="O1230"/>
    </row>
    <row r="1231" spans="1:15" x14ac:dyDescent="0.3">
      <c r="A1231" t="s">
        <v>1255</v>
      </c>
      <c r="B1231" s="1">
        <v>46002</v>
      </c>
      <c r="C1231" t="s">
        <v>13</v>
      </c>
      <c r="D1231" t="s">
        <v>25</v>
      </c>
      <c r="E1231" s="2">
        <v>8.7799999999999994</v>
      </c>
      <c r="F1231" s="3">
        <v>27.93</v>
      </c>
      <c r="G1231" s="4">
        <v>151.13999999999999</v>
      </c>
      <c r="H1231">
        <v>1.5</v>
      </c>
      <c r="I1231" s="4">
        <v>226.71</v>
      </c>
      <c r="J1231">
        <v>3.5</v>
      </c>
      <c r="K1231" t="s">
        <v>36</v>
      </c>
      <c r="L1231" t="s">
        <v>19</v>
      </c>
      <c r="O1231"/>
    </row>
    <row r="1232" spans="1:15" x14ac:dyDescent="0.3">
      <c r="A1232" t="s">
        <v>1256</v>
      </c>
      <c r="B1232" s="1">
        <v>45778</v>
      </c>
      <c r="C1232" t="s">
        <v>13</v>
      </c>
      <c r="D1232" t="s">
        <v>22</v>
      </c>
      <c r="E1232" s="2">
        <v>15.94</v>
      </c>
      <c r="F1232" s="3">
        <v>56.58</v>
      </c>
      <c r="G1232" s="4">
        <v>249.01</v>
      </c>
      <c r="H1232">
        <v>1</v>
      </c>
      <c r="I1232" s="4">
        <v>249.01</v>
      </c>
      <c r="J1232">
        <v>3.8</v>
      </c>
      <c r="K1232" t="s">
        <v>36</v>
      </c>
      <c r="L1232" t="s">
        <v>28</v>
      </c>
      <c r="O1232"/>
    </row>
    <row r="1233" spans="1:15" x14ac:dyDescent="0.3">
      <c r="A1233" t="s">
        <v>1257</v>
      </c>
      <c r="B1233" s="1">
        <v>45971</v>
      </c>
      <c r="C1233" t="s">
        <v>25</v>
      </c>
      <c r="D1233" t="s">
        <v>25</v>
      </c>
      <c r="E1233" s="2">
        <v>4.66</v>
      </c>
      <c r="F1233" s="3">
        <v>14.26</v>
      </c>
      <c r="G1233" s="4">
        <v>59.13</v>
      </c>
      <c r="H1233">
        <v>2</v>
      </c>
      <c r="I1233" s="4">
        <v>118.26</v>
      </c>
      <c r="J1233">
        <v>3.5</v>
      </c>
      <c r="K1233" t="s">
        <v>30</v>
      </c>
      <c r="L1233" t="s">
        <v>19</v>
      </c>
      <c r="O1233"/>
    </row>
    <row r="1234" spans="1:15" x14ac:dyDescent="0.3">
      <c r="A1234" t="s">
        <v>1258</v>
      </c>
      <c r="B1234" s="1">
        <v>45933</v>
      </c>
      <c r="C1234" t="s">
        <v>22</v>
      </c>
      <c r="D1234" t="s">
        <v>14</v>
      </c>
      <c r="E1234" s="2">
        <v>1.94</v>
      </c>
      <c r="F1234" s="3">
        <v>6.19</v>
      </c>
      <c r="G1234" s="4">
        <v>29.86</v>
      </c>
      <c r="H1234">
        <v>1.5</v>
      </c>
      <c r="I1234" s="4">
        <v>44.79</v>
      </c>
      <c r="J1234">
        <v>4.2</v>
      </c>
      <c r="K1234" t="s">
        <v>30</v>
      </c>
      <c r="L1234" t="s">
        <v>16</v>
      </c>
      <c r="O1234"/>
    </row>
    <row r="1235" spans="1:15" x14ac:dyDescent="0.3">
      <c r="A1235" t="s">
        <v>1259</v>
      </c>
      <c r="B1235" s="1">
        <v>45818</v>
      </c>
      <c r="C1235" t="s">
        <v>21</v>
      </c>
      <c r="D1235" t="s">
        <v>21</v>
      </c>
      <c r="E1235" s="2">
        <v>2.84</v>
      </c>
      <c r="F1235" s="3">
        <v>8.81</v>
      </c>
      <c r="G1235" s="4">
        <v>52.29</v>
      </c>
      <c r="H1235">
        <v>1.5</v>
      </c>
      <c r="I1235" s="4">
        <v>78.44</v>
      </c>
      <c r="J1235">
        <v>3.2</v>
      </c>
      <c r="K1235" t="s">
        <v>18</v>
      </c>
      <c r="L1235" t="s">
        <v>16</v>
      </c>
      <c r="O1235"/>
    </row>
    <row r="1236" spans="1:15" x14ac:dyDescent="0.3">
      <c r="A1236" t="s">
        <v>1260</v>
      </c>
      <c r="B1236" s="1">
        <v>45975</v>
      </c>
      <c r="C1236" t="s">
        <v>14</v>
      </c>
      <c r="D1236" t="s">
        <v>21</v>
      </c>
      <c r="E1236" s="2">
        <v>15.48</v>
      </c>
      <c r="F1236" s="3">
        <v>49.55</v>
      </c>
      <c r="G1236" s="4">
        <v>164.47</v>
      </c>
      <c r="H1236">
        <v>1</v>
      </c>
      <c r="I1236" s="4">
        <v>164.47</v>
      </c>
      <c r="J1236">
        <v>3.8</v>
      </c>
      <c r="K1236" t="s">
        <v>18</v>
      </c>
      <c r="L1236" t="s">
        <v>28</v>
      </c>
      <c r="O1236"/>
    </row>
    <row r="1237" spans="1:15" x14ac:dyDescent="0.3">
      <c r="A1237" t="s">
        <v>1261</v>
      </c>
      <c r="B1237" s="1">
        <v>45869</v>
      </c>
      <c r="C1237" t="s">
        <v>22</v>
      </c>
      <c r="D1237" t="s">
        <v>25</v>
      </c>
      <c r="E1237" s="2">
        <v>11.07</v>
      </c>
      <c r="F1237" s="3">
        <v>28.01</v>
      </c>
      <c r="G1237" s="4">
        <v>186.65</v>
      </c>
      <c r="H1237">
        <v>1</v>
      </c>
      <c r="I1237" s="4">
        <v>186.65</v>
      </c>
      <c r="J1237">
        <v>4.9000000000000004</v>
      </c>
      <c r="K1237" t="s">
        <v>36</v>
      </c>
      <c r="L1237" t="s">
        <v>26</v>
      </c>
      <c r="O1237"/>
    </row>
    <row r="1238" spans="1:15" x14ac:dyDescent="0.3">
      <c r="A1238" t="s">
        <v>1262</v>
      </c>
      <c r="B1238" s="1">
        <v>46012</v>
      </c>
      <c r="C1238" t="s">
        <v>22</v>
      </c>
      <c r="D1238" t="s">
        <v>22</v>
      </c>
      <c r="E1238" s="2">
        <v>24.53</v>
      </c>
      <c r="F1238" s="3">
        <v>51.78</v>
      </c>
      <c r="G1238" s="4">
        <v>377.3</v>
      </c>
      <c r="H1238">
        <v>1.5</v>
      </c>
      <c r="I1238" s="4">
        <v>565.95000000000005</v>
      </c>
      <c r="J1238">
        <v>3.5</v>
      </c>
      <c r="K1238" t="s">
        <v>33</v>
      </c>
      <c r="L1238" t="s">
        <v>28</v>
      </c>
      <c r="O1238"/>
    </row>
    <row r="1239" spans="1:15" x14ac:dyDescent="0.3">
      <c r="A1239" t="s">
        <v>1263</v>
      </c>
      <c r="B1239" s="1">
        <v>45834</v>
      </c>
      <c r="C1239" t="s">
        <v>22</v>
      </c>
      <c r="D1239" t="s">
        <v>25</v>
      </c>
      <c r="E1239" s="2">
        <v>23.22</v>
      </c>
      <c r="F1239" s="3">
        <v>77</v>
      </c>
      <c r="G1239" s="4">
        <v>423.51</v>
      </c>
      <c r="H1239">
        <v>1.2</v>
      </c>
      <c r="I1239" s="4">
        <v>508.21</v>
      </c>
      <c r="J1239">
        <v>4.5999999999999996</v>
      </c>
      <c r="K1239" t="s">
        <v>15</v>
      </c>
      <c r="L1239" t="s">
        <v>26</v>
      </c>
      <c r="O1239"/>
    </row>
    <row r="1240" spans="1:15" x14ac:dyDescent="0.3">
      <c r="A1240" t="s">
        <v>1264</v>
      </c>
      <c r="B1240" s="1">
        <v>45847</v>
      </c>
      <c r="C1240" t="s">
        <v>22</v>
      </c>
      <c r="D1240" t="s">
        <v>13</v>
      </c>
      <c r="E1240" s="2">
        <v>19.850000000000001</v>
      </c>
      <c r="F1240" s="3">
        <v>69.62</v>
      </c>
      <c r="G1240" s="4">
        <v>321.97000000000003</v>
      </c>
      <c r="H1240">
        <v>2</v>
      </c>
      <c r="I1240" s="4">
        <v>643.94000000000005</v>
      </c>
      <c r="J1240">
        <v>4.0999999999999996</v>
      </c>
      <c r="K1240" t="s">
        <v>33</v>
      </c>
      <c r="L1240" t="s">
        <v>26</v>
      </c>
      <c r="O1240"/>
    </row>
    <row r="1241" spans="1:15" x14ac:dyDescent="0.3">
      <c r="A1241" t="s">
        <v>1265</v>
      </c>
      <c r="B1241" s="1">
        <v>45870</v>
      </c>
      <c r="C1241" t="s">
        <v>13</v>
      </c>
      <c r="D1241" t="s">
        <v>22</v>
      </c>
      <c r="E1241" s="2">
        <v>22.1</v>
      </c>
      <c r="F1241" s="3">
        <v>72.040000000000006</v>
      </c>
      <c r="G1241" s="4">
        <v>300.51</v>
      </c>
      <c r="H1241">
        <v>2</v>
      </c>
      <c r="I1241" s="4">
        <v>601.02</v>
      </c>
      <c r="J1241">
        <v>3</v>
      </c>
      <c r="K1241" t="s">
        <v>33</v>
      </c>
      <c r="L1241" t="s">
        <v>26</v>
      </c>
      <c r="O1241"/>
    </row>
    <row r="1242" spans="1:15" x14ac:dyDescent="0.3">
      <c r="A1242" t="s">
        <v>1266</v>
      </c>
      <c r="B1242" s="1">
        <v>45919</v>
      </c>
      <c r="C1242" t="s">
        <v>13</v>
      </c>
      <c r="D1242" t="s">
        <v>25</v>
      </c>
      <c r="E1242" s="2">
        <v>4.26</v>
      </c>
      <c r="F1242" s="3">
        <v>10.81</v>
      </c>
      <c r="G1242" s="4">
        <v>63.58</v>
      </c>
      <c r="H1242">
        <v>1.5</v>
      </c>
      <c r="I1242" s="4">
        <v>95.37</v>
      </c>
      <c r="J1242">
        <v>3.8</v>
      </c>
      <c r="K1242" t="s">
        <v>36</v>
      </c>
      <c r="L1242" t="s">
        <v>16</v>
      </c>
      <c r="O1242"/>
    </row>
    <row r="1243" spans="1:15" x14ac:dyDescent="0.3">
      <c r="A1243" t="s">
        <v>1267</v>
      </c>
      <c r="B1243" s="1">
        <v>45834</v>
      </c>
      <c r="C1243" t="s">
        <v>25</v>
      </c>
      <c r="D1243" t="s">
        <v>25</v>
      </c>
      <c r="E1243" s="2">
        <v>9.0299999999999994</v>
      </c>
      <c r="F1243" s="3">
        <v>19.25</v>
      </c>
      <c r="G1243" s="4">
        <v>154.05000000000001</v>
      </c>
      <c r="H1243">
        <v>1.5</v>
      </c>
      <c r="I1243" s="4">
        <v>231.08</v>
      </c>
      <c r="J1243">
        <v>3.4</v>
      </c>
      <c r="K1243" t="s">
        <v>30</v>
      </c>
      <c r="L1243" t="s">
        <v>16</v>
      </c>
      <c r="O1243"/>
    </row>
    <row r="1244" spans="1:15" x14ac:dyDescent="0.3">
      <c r="A1244" t="s">
        <v>1268</v>
      </c>
      <c r="B1244" s="1">
        <v>45821</v>
      </c>
      <c r="C1244" t="s">
        <v>14</v>
      </c>
      <c r="D1244" t="s">
        <v>25</v>
      </c>
      <c r="E1244" s="2">
        <v>13.87</v>
      </c>
      <c r="F1244" s="3">
        <v>52.47</v>
      </c>
      <c r="G1244" s="4">
        <v>195.75</v>
      </c>
      <c r="H1244">
        <v>1.5</v>
      </c>
      <c r="I1244" s="4">
        <v>293.62</v>
      </c>
      <c r="J1244">
        <v>3.4</v>
      </c>
      <c r="K1244" t="s">
        <v>18</v>
      </c>
      <c r="L1244" t="s">
        <v>26</v>
      </c>
      <c r="O1244"/>
    </row>
    <row r="1245" spans="1:15" x14ac:dyDescent="0.3">
      <c r="A1245" t="s">
        <v>1269</v>
      </c>
      <c r="B1245" s="1">
        <v>45866</v>
      </c>
      <c r="C1245" t="s">
        <v>13</v>
      </c>
      <c r="D1245" t="s">
        <v>14</v>
      </c>
      <c r="E1245" s="2">
        <v>28.93</v>
      </c>
      <c r="F1245" s="3">
        <v>93.02</v>
      </c>
      <c r="G1245" s="4">
        <v>573.79</v>
      </c>
      <c r="H1245">
        <v>2</v>
      </c>
      <c r="I1245" s="4">
        <v>1147.58</v>
      </c>
      <c r="J1245">
        <v>3</v>
      </c>
      <c r="K1245" t="s">
        <v>18</v>
      </c>
      <c r="L1245" t="s">
        <v>26</v>
      </c>
      <c r="O1245"/>
    </row>
    <row r="1246" spans="1:15" x14ac:dyDescent="0.3">
      <c r="A1246" t="s">
        <v>1270</v>
      </c>
      <c r="B1246" s="1">
        <v>45669</v>
      </c>
      <c r="C1246" t="s">
        <v>14</v>
      </c>
      <c r="D1246" t="s">
        <v>14</v>
      </c>
      <c r="E1246" s="2">
        <v>20.09</v>
      </c>
      <c r="F1246" s="3">
        <v>51.7</v>
      </c>
      <c r="G1246" s="4">
        <v>313.33</v>
      </c>
      <c r="H1246">
        <v>1</v>
      </c>
      <c r="I1246" s="4">
        <v>313.33</v>
      </c>
      <c r="J1246">
        <v>4.7</v>
      </c>
      <c r="K1246" t="s">
        <v>18</v>
      </c>
      <c r="L1246" t="s">
        <v>16</v>
      </c>
      <c r="O1246"/>
    </row>
    <row r="1247" spans="1:15" x14ac:dyDescent="0.3">
      <c r="A1247" t="s">
        <v>1271</v>
      </c>
      <c r="B1247" s="1">
        <v>45886</v>
      </c>
      <c r="C1247" t="s">
        <v>25</v>
      </c>
      <c r="D1247" t="s">
        <v>22</v>
      </c>
      <c r="E1247" s="2">
        <v>2.52</v>
      </c>
      <c r="F1247" s="3">
        <v>8.99</v>
      </c>
      <c r="G1247" s="4">
        <v>46.51</v>
      </c>
      <c r="H1247">
        <v>1.5</v>
      </c>
      <c r="I1247" s="4">
        <v>69.760000000000005</v>
      </c>
      <c r="J1247">
        <v>3.2</v>
      </c>
      <c r="K1247" t="s">
        <v>36</v>
      </c>
      <c r="L1247" t="s">
        <v>19</v>
      </c>
      <c r="O1247"/>
    </row>
    <row r="1248" spans="1:15" x14ac:dyDescent="0.3">
      <c r="A1248" t="s">
        <v>1272</v>
      </c>
      <c r="B1248" s="1">
        <v>45785</v>
      </c>
      <c r="C1248" t="s">
        <v>22</v>
      </c>
      <c r="D1248" t="s">
        <v>25</v>
      </c>
      <c r="E1248" s="2">
        <v>19.29</v>
      </c>
      <c r="F1248" s="3">
        <v>67.41</v>
      </c>
      <c r="G1248" s="4">
        <v>233.3</v>
      </c>
      <c r="H1248">
        <v>1</v>
      </c>
      <c r="I1248" s="4">
        <v>233.3</v>
      </c>
      <c r="J1248">
        <v>3.3</v>
      </c>
      <c r="K1248" t="s">
        <v>36</v>
      </c>
      <c r="L1248" t="s">
        <v>28</v>
      </c>
      <c r="O1248"/>
    </row>
    <row r="1249" spans="1:15" x14ac:dyDescent="0.3">
      <c r="A1249" t="s">
        <v>1273</v>
      </c>
      <c r="B1249" s="1">
        <v>46016</v>
      </c>
      <c r="C1249" t="s">
        <v>22</v>
      </c>
      <c r="D1249" t="s">
        <v>14</v>
      </c>
      <c r="E1249" s="2">
        <v>19.190000000000001</v>
      </c>
      <c r="F1249" s="3">
        <v>56.48</v>
      </c>
      <c r="G1249" s="4">
        <v>376.08</v>
      </c>
      <c r="H1249">
        <v>1.5</v>
      </c>
      <c r="I1249" s="4">
        <v>564.12</v>
      </c>
      <c r="J1249">
        <v>3.1</v>
      </c>
      <c r="K1249" t="s">
        <v>30</v>
      </c>
      <c r="L1249" t="s">
        <v>28</v>
      </c>
      <c r="O1249"/>
    </row>
    <row r="1250" spans="1:15" x14ac:dyDescent="0.3">
      <c r="A1250" t="s">
        <v>1274</v>
      </c>
      <c r="B1250" s="1">
        <v>45738</v>
      </c>
      <c r="C1250" t="s">
        <v>14</v>
      </c>
      <c r="D1250" t="s">
        <v>25</v>
      </c>
      <c r="E1250" s="2">
        <v>22.16</v>
      </c>
      <c r="F1250" s="3">
        <v>76.92</v>
      </c>
      <c r="G1250" s="4">
        <v>239.33</v>
      </c>
      <c r="H1250">
        <v>2</v>
      </c>
      <c r="I1250" s="4">
        <v>478.66</v>
      </c>
      <c r="J1250">
        <v>4.7</v>
      </c>
      <c r="K1250" t="s">
        <v>36</v>
      </c>
      <c r="L1250" t="s">
        <v>26</v>
      </c>
      <c r="O1250"/>
    </row>
    <row r="1251" spans="1:15" x14ac:dyDescent="0.3">
      <c r="A1251" t="s">
        <v>1275</v>
      </c>
      <c r="B1251" s="1">
        <v>45954</v>
      </c>
      <c r="C1251" t="s">
        <v>13</v>
      </c>
      <c r="D1251" t="s">
        <v>13</v>
      </c>
      <c r="E1251" s="2">
        <v>27.15</v>
      </c>
      <c r="F1251" s="3">
        <v>104.59</v>
      </c>
      <c r="G1251" s="4">
        <v>273.97000000000003</v>
      </c>
      <c r="H1251">
        <v>1.5</v>
      </c>
      <c r="I1251" s="4">
        <v>410.96</v>
      </c>
      <c r="J1251">
        <v>4.9000000000000004</v>
      </c>
      <c r="K1251" t="s">
        <v>33</v>
      </c>
      <c r="L1251" t="s">
        <v>19</v>
      </c>
      <c r="O1251"/>
    </row>
    <row r="1252" spans="1:15" x14ac:dyDescent="0.3">
      <c r="A1252" t="s">
        <v>1276</v>
      </c>
      <c r="B1252" s="1">
        <v>45983</v>
      </c>
      <c r="C1252" t="s">
        <v>13</v>
      </c>
      <c r="D1252" t="s">
        <v>22</v>
      </c>
      <c r="E1252" s="2">
        <v>15.49</v>
      </c>
      <c r="F1252" s="3">
        <v>32.880000000000003</v>
      </c>
      <c r="G1252" s="4">
        <v>265.58999999999997</v>
      </c>
      <c r="H1252">
        <v>2</v>
      </c>
      <c r="I1252" s="4">
        <v>531.17999999999995</v>
      </c>
      <c r="J1252">
        <v>3.4</v>
      </c>
      <c r="K1252" t="s">
        <v>18</v>
      </c>
      <c r="L1252" t="s">
        <v>16</v>
      </c>
      <c r="O1252"/>
    </row>
    <row r="1253" spans="1:15" x14ac:dyDescent="0.3">
      <c r="A1253" t="s">
        <v>1277</v>
      </c>
      <c r="B1253" s="1">
        <v>45770</v>
      </c>
      <c r="C1253" t="s">
        <v>13</v>
      </c>
      <c r="D1253" t="s">
        <v>13</v>
      </c>
      <c r="E1253" s="2">
        <v>17.21</v>
      </c>
      <c r="F1253" s="3">
        <v>46</v>
      </c>
      <c r="G1253" s="4">
        <v>261.42</v>
      </c>
      <c r="H1253">
        <v>1</v>
      </c>
      <c r="I1253" s="4">
        <v>261.42</v>
      </c>
      <c r="J1253">
        <v>3.2</v>
      </c>
      <c r="K1253" t="s">
        <v>36</v>
      </c>
      <c r="L1253" t="s">
        <v>16</v>
      </c>
      <c r="O1253"/>
    </row>
    <row r="1254" spans="1:15" x14ac:dyDescent="0.3">
      <c r="A1254" t="s">
        <v>1278</v>
      </c>
      <c r="B1254" s="1">
        <v>45784</v>
      </c>
      <c r="C1254" t="s">
        <v>25</v>
      </c>
      <c r="D1254" t="s">
        <v>21</v>
      </c>
      <c r="E1254" s="2">
        <v>20.49</v>
      </c>
      <c r="F1254" s="3">
        <v>50.84</v>
      </c>
      <c r="G1254" s="4">
        <v>357.26</v>
      </c>
      <c r="H1254">
        <v>1.5</v>
      </c>
      <c r="I1254" s="4">
        <v>535.89</v>
      </c>
      <c r="J1254">
        <v>3.7</v>
      </c>
      <c r="K1254" t="s">
        <v>15</v>
      </c>
      <c r="L1254" t="s">
        <v>16</v>
      </c>
      <c r="O1254"/>
    </row>
    <row r="1255" spans="1:15" x14ac:dyDescent="0.3">
      <c r="A1255" t="s">
        <v>1279</v>
      </c>
      <c r="B1255" s="1">
        <v>45990</v>
      </c>
      <c r="C1255" t="s">
        <v>14</v>
      </c>
      <c r="D1255" t="s">
        <v>25</v>
      </c>
      <c r="E1255" s="2">
        <v>15.03</v>
      </c>
      <c r="F1255" s="3">
        <v>38.92</v>
      </c>
      <c r="G1255" s="4">
        <v>189.18</v>
      </c>
      <c r="H1255">
        <v>1</v>
      </c>
      <c r="I1255" s="4">
        <v>189.18</v>
      </c>
      <c r="J1255">
        <v>4.4000000000000004</v>
      </c>
      <c r="K1255" t="s">
        <v>15</v>
      </c>
      <c r="L1255" t="s">
        <v>28</v>
      </c>
      <c r="O1255"/>
    </row>
    <row r="1256" spans="1:15" x14ac:dyDescent="0.3">
      <c r="A1256" t="s">
        <v>1280</v>
      </c>
      <c r="B1256" s="1">
        <v>45750</v>
      </c>
      <c r="C1256" t="s">
        <v>21</v>
      </c>
      <c r="D1256" t="s">
        <v>13</v>
      </c>
      <c r="E1256" s="2">
        <v>9.2100000000000009</v>
      </c>
      <c r="F1256" s="3">
        <v>34.659999999999997</v>
      </c>
      <c r="G1256" s="4">
        <v>146.78</v>
      </c>
      <c r="H1256">
        <v>1</v>
      </c>
      <c r="I1256" s="4">
        <v>146.78</v>
      </c>
      <c r="J1256">
        <v>3.4</v>
      </c>
      <c r="K1256" t="s">
        <v>30</v>
      </c>
      <c r="L1256" t="s">
        <v>28</v>
      </c>
      <c r="O1256"/>
    </row>
    <row r="1257" spans="1:15" x14ac:dyDescent="0.3">
      <c r="A1257" t="s">
        <v>1281</v>
      </c>
      <c r="B1257" s="1">
        <v>45999</v>
      </c>
      <c r="C1257" t="s">
        <v>22</v>
      </c>
      <c r="D1257" t="s">
        <v>21</v>
      </c>
      <c r="E1257" s="2">
        <v>5.49</v>
      </c>
      <c r="F1257" s="3">
        <v>14.89</v>
      </c>
      <c r="G1257" s="4">
        <v>93.17</v>
      </c>
      <c r="H1257">
        <v>1</v>
      </c>
      <c r="I1257" s="4">
        <v>93.17</v>
      </c>
      <c r="J1257">
        <v>4.3</v>
      </c>
      <c r="K1257" t="s">
        <v>15</v>
      </c>
      <c r="L1257" t="s">
        <v>26</v>
      </c>
      <c r="O1257"/>
    </row>
    <row r="1258" spans="1:15" x14ac:dyDescent="0.3">
      <c r="A1258" t="s">
        <v>1282</v>
      </c>
      <c r="B1258" s="1">
        <v>45746</v>
      </c>
      <c r="C1258" t="s">
        <v>14</v>
      </c>
      <c r="D1258" t="s">
        <v>25</v>
      </c>
      <c r="E1258" s="2">
        <v>22.68</v>
      </c>
      <c r="F1258" s="3">
        <v>70.3</v>
      </c>
      <c r="G1258" s="4">
        <v>329.39</v>
      </c>
      <c r="H1258">
        <v>2</v>
      </c>
      <c r="I1258" s="4">
        <v>658.78</v>
      </c>
      <c r="J1258">
        <v>4.8</v>
      </c>
      <c r="K1258" t="s">
        <v>15</v>
      </c>
      <c r="L1258" t="s">
        <v>19</v>
      </c>
      <c r="O1258"/>
    </row>
    <row r="1259" spans="1:15" x14ac:dyDescent="0.3">
      <c r="A1259" t="s">
        <v>1283</v>
      </c>
      <c r="B1259" s="1">
        <v>45806</v>
      </c>
      <c r="C1259" t="s">
        <v>25</v>
      </c>
      <c r="D1259" t="s">
        <v>22</v>
      </c>
      <c r="E1259" s="2">
        <v>29.27</v>
      </c>
      <c r="F1259" s="3">
        <v>106.87</v>
      </c>
      <c r="G1259" s="4">
        <v>310.26</v>
      </c>
      <c r="H1259">
        <v>1</v>
      </c>
      <c r="I1259" s="4">
        <v>310.26</v>
      </c>
      <c r="J1259">
        <v>3.7</v>
      </c>
      <c r="K1259" t="s">
        <v>15</v>
      </c>
      <c r="L1259" t="s">
        <v>16</v>
      </c>
      <c r="O1259"/>
    </row>
    <row r="1260" spans="1:15" x14ac:dyDescent="0.3">
      <c r="A1260" t="s">
        <v>1284</v>
      </c>
      <c r="B1260" s="1">
        <v>46001</v>
      </c>
      <c r="C1260" t="s">
        <v>25</v>
      </c>
      <c r="D1260" t="s">
        <v>13</v>
      </c>
      <c r="E1260" s="2">
        <v>15.59</v>
      </c>
      <c r="F1260" s="3">
        <v>51.82</v>
      </c>
      <c r="G1260" s="4">
        <v>298.17</v>
      </c>
      <c r="H1260">
        <v>1.2</v>
      </c>
      <c r="I1260" s="4">
        <v>357.8</v>
      </c>
      <c r="J1260">
        <v>3.2</v>
      </c>
      <c r="K1260" t="s">
        <v>15</v>
      </c>
      <c r="L1260" t="s">
        <v>28</v>
      </c>
      <c r="O1260"/>
    </row>
    <row r="1261" spans="1:15" x14ac:dyDescent="0.3">
      <c r="A1261" t="s">
        <v>1285</v>
      </c>
      <c r="B1261" s="1">
        <v>45807</v>
      </c>
      <c r="C1261" t="s">
        <v>13</v>
      </c>
      <c r="D1261" t="s">
        <v>25</v>
      </c>
      <c r="E1261" s="2">
        <v>12.9</v>
      </c>
      <c r="F1261" s="3">
        <v>37.94</v>
      </c>
      <c r="G1261" s="4">
        <v>135.34</v>
      </c>
      <c r="H1261">
        <v>1.2</v>
      </c>
      <c r="I1261" s="4">
        <v>162.41</v>
      </c>
      <c r="J1261">
        <v>3.5</v>
      </c>
      <c r="K1261" t="s">
        <v>33</v>
      </c>
      <c r="L1261" t="s">
        <v>28</v>
      </c>
      <c r="O1261"/>
    </row>
    <row r="1262" spans="1:15" x14ac:dyDescent="0.3">
      <c r="A1262" t="s">
        <v>1286</v>
      </c>
      <c r="B1262" s="1">
        <v>45991</v>
      </c>
      <c r="C1262" t="s">
        <v>21</v>
      </c>
      <c r="D1262" t="s">
        <v>25</v>
      </c>
      <c r="E1262" s="2">
        <v>9.75</v>
      </c>
      <c r="F1262" s="3">
        <v>26.99</v>
      </c>
      <c r="G1262" s="4">
        <v>180.8</v>
      </c>
      <c r="H1262">
        <v>1.2</v>
      </c>
      <c r="I1262" s="4">
        <v>216.96</v>
      </c>
      <c r="J1262">
        <v>3.8</v>
      </c>
      <c r="K1262" t="s">
        <v>18</v>
      </c>
      <c r="L1262" t="s">
        <v>19</v>
      </c>
      <c r="O1262"/>
    </row>
    <row r="1263" spans="1:15" x14ac:dyDescent="0.3">
      <c r="A1263" t="s">
        <v>1287</v>
      </c>
      <c r="B1263" s="1">
        <v>45848</v>
      </c>
      <c r="C1263" t="s">
        <v>21</v>
      </c>
      <c r="D1263" t="s">
        <v>14</v>
      </c>
      <c r="E1263" s="2">
        <v>4.41</v>
      </c>
      <c r="F1263" s="3">
        <v>11.04</v>
      </c>
      <c r="G1263" s="4">
        <v>84.71</v>
      </c>
      <c r="H1263">
        <v>1</v>
      </c>
      <c r="I1263" s="4">
        <v>84.71</v>
      </c>
      <c r="J1263">
        <v>3.9</v>
      </c>
      <c r="K1263" t="s">
        <v>15</v>
      </c>
      <c r="L1263" t="s">
        <v>16</v>
      </c>
      <c r="O1263"/>
    </row>
    <row r="1264" spans="1:15" x14ac:dyDescent="0.3">
      <c r="A1264" t="s">
        <v>1288</v>
      </c>
      <c r="B1264" s="1">
        <v>45998</v>
      </c>
      <c r="C1264" t="s">
        <v>25</v>
      </c>
      <c r="D1264" t="s">
        <v>13</v>
      </c>
      <c r="E1264" s="2">
        <v>18.3</v>
      </c>
      <c r="F1264" s="3">
        <v>50</v>
      </c>
      <c r="G1264" s="4">
        <v>330.7</v>
      </c>
      <c r="H1264">
        <v>1</v>
      </c>
      <c r="I1264" s="4">
        <v>330.7</v>
      </c>
      <c r="J1264">
        <v>3.9</v>
      </c>
      <c r="K1264" t="s">
        <v>36</v>
      </c>
      <c r="L1264" t="s">
        <v>16</v>
      </c>
      <c r="O1264"/>
    </row>
    <row r="1265" spans="1:15" x14ac:dyDescent="0.3">
      <c r="A1265" t="s">
        <v>1289</v>
      </c>
      <c r="B1265" s="1">
        <v>45987</v>
      </c>
      <c r="C1265" t="s">
        <v>22</v>
      </c>
      <c r="D1265" t="s">
        <v>13</v>
      </c>
      <c r="E1265" s="2">
        <v>4.74</v>
      </c>
      <c r="F1265" s="3">
        <v>14.57</v>
      </c>
      <c r="G1265" s="4">
        <v>91.79</v>
      </c>
      <c r="H1265">
        <v>1.5</v>
      </c>
      <c r="I1265" s="4">
        <v>137.68</v>
      </c>
      <c r="J1265">
        <v>3.4</v>
      </c>
      <c r="K1265" t="s">
        <v>30</v>
      </c>
      <c r="L1265" t="s">
        <v>28</v>
      </c>
      <c r="O1265"/>
    </row>
    <row r="1266" spans="1:15" x14ac:dyDescent="0.3">
      <c r="A1266" t="s">
        <v>1290</v>
      </c>
      <c r="B1266" s="1">
        <v>45812</v>
      </c>
      <c r="C1266" t="s">
        <v>22</v>
      </c>
      <c r="D1266" t="s">
        <v>13</v>
      </c>
      <c r="E1266" s="2">
        <v>23.16</v>
      </c>
      <c r="F1266" s="3">
        <v>57.8</v>
      </c>
      <c r="G1266" s="4">
        <v>240.02</v>
      </c>
      <c r="H1266">
        <v>1.2</v>
      </c>
      <c r="I1266" s="4">
        <v>288.02</v>
      </c>
      <c r="J1266">
        <v>4.0999999999999996</v>
      </c>
      <c r="K1266" t="s">
        <v>36</v>
      </c>
      <c r="L1266" t="s">
        <v>19</v>
      </c>
      <c r="O1266"/>
    </row>
    <row r="1267" spans="1:15" x14ac:dyDescent="0.3">
      <c r="A1267" t="s">
        <v>1291</v>
      </c>
      <c r="B1267" s="1">
        <v>46018</v>
      </c>
      <c r="C1267" t="s">
        <v>22</v>
      </c>
      <c r="D1267" t="s">
        <v>21</v>
      </c>
      <c r="E1267" s="2">
        <v>6.79</v>
      </c>
      <c r="F1267" s="3">
        <v>18.62</v>
      </c>
      <c r="G1267" s="4">
        <v>101.97</v>
      </c>
      <c r="H1267">
        <v>1.5</v>
      </c>
      <c r="I1267" s="4">
        <v>152.94999999999999</v>
      </c>
      <c r="J1267">
        <v>3.6</v>
      </c>
      <c r="K1267" t="s">
        <v>15</v>
      </c>
      <c r="L1267" t="s">
        <v>19</v>
      </c>
      <c r="O1267"/>
    </row>
    <row r="1268" spans="1:15" x14ac:dyDescent="0.3">
      <c r="A1268" t="s">
        <v>1292</v>
      </c>
      <c r="B1268" s="1">
        <v>46015</v>
      </c>
      <c r="C1268" t="s">
        <v>14</v>
      </c>
      <c r="D1268" t="s">
        <v>13</v>
      </c>
      <c r="E1268" s="2">
        <v>12.78</v>
      </c>
      <c r="F1268" s="3">
        <v>37.96</v>
      </c>
      <c r="G1268" s="4">
        <v>196.92</v>
      </c>
      <c r="H1268">
        <v>2</v>
      </c>
      <c r="I1268" s="4">
        <v>393.84</v>
      </c>
      <c r="J1268">
        <v>4.9000000000000004</v>
      </c>
      <c r="K1268" t="s">
        <v>15</v>
      </c>
      <c r="L1268" t="s">
        <v>28</v>
      </c>
      <c r="O1268"/>
    </row>
    <row r="1269" spans="1:15" x14ac:dyDescent="0.3">
      <c r="A1269" t="s">
        <v>1293</v>
      </c>
      <c r="B1269" s="1">
        <v>45861</v>
      </c>
      <c r="C1269" t="s">
        <v>13</v>
      </c>
      <c r="D1269" t="s">
        <v>14</v>
      </c>
      <c r="E1269" s="2">
        <v>3.06</v>
      </c>
      <c r="F1269" s="3">
        <v>8.24</v>
      </c>
      <c r="G1269" s="4">
        <v>53.34</v>
      </c>
      <c r="H1269">
        <v>1.5</v>
      </c>
      <c r="I1269" s="4">
        <v>80.010000000000005</v>
      </c>
      <c r="J1269">
        <v>3.8</v>
      </c>
      <c r="K1269" t="s">
        <v>15</v>
      </c>
      <c r="L1269" t="s">
        <v>19</v>
      </c>
      <c r="O1269"/>
    </row>
    <row r="1270" spans="1:15" x14ac:dyDescent="0.3">
      <c r="A1270" t="s">
        <v>1294</v>
      </c>
      <c r="B1270" s="1">
        <v>45709</v>
      </c>
      <c r="C1270" t="s">
        <v>25</v>
      </c>
      <c r="D1270" t="s">
        <v>13</v>
      </c>
      <c r="E1270" s="2">
        <v>16.93</v>
      </c>
      <c r="F1270" s="3">
        <v>65.34</v>
      </c>
      <c r="G1270" s="4">
        <v>329.77</v>
      </c>
      <c r="H1270">
        <v>2</v>
      </c>
      <c r="I1270" s="4">
        <v>659.54</v>
      </c>
      <c r="J1270">
        <v>3.7</v>
      </c>
      <c r="K1270" t="s">
        <v>30</v>
      </c>
      <c r="L1270" t="s">
        <v>26</v>
      </c>
      <c r="O1270"/>
    </row>
    <row r="1271" spans="1:15" x14ac:dyDescent="0.3">
      <c r="A1271" t="s">
        <v>1295</v>
      </c>
      <c r="B1271" s="1">
        <v>45785</v>
      </c>
      <c r="C1271" t="s">
        <v>21</v>
      </c>
      <c r="D1271" t="s">
        <v>14</v>
      </c>
      <c r="E1271" s="2">
        <v>18.68</v>
      </c>
      <c r="F1271" s="3">
        <v>46.92</v>
      </c>
      <c r="G1271" s="4">
        <v>262.83999999999997</v>
      </c>
      <c r="H1271">
        <v>1.2</v>
      </c>
      <c r="I1271" s="4">
        <v>315.41000000000003</v>
      </c>
      <c r="J1271">
        <v>4.5</v>
      </c>
      <c r="K1271" t="s">
        <v>15</v>
      </c>
      <c r="L1271" t="s">
        <v>16</v>
      </c>
      <c r="O1271"/>
    </row>
    <row r="1272" spans="1:15" x14ac:dyDescent="0.3">
      <c r="A1272" t="s">
        <v>1296</v>
      </c>
      <c r="B1272" s="1">
        <v>45916</v>
      </c>
      <c r="C1272" t="s">
        <v>13</v>
      </c>
      <c r="D1272" t="s">
        <v>22</v>
      </c>
      <c r="E1272" s="2">
        <v>18.46</v>
      </c>
      <c r="F1272" s="3">
        <v>62.67</v>
      </c>
      <c r="G1272" s="4">
        <v>201.31</v>
      </c>
      <c r="H1272">
        <v>1.5</v>
      </c>
      <c r="I1272" s="4">
        <v>301.97000000000003</v>
      </c>
      <c r="J1272">
        <v>3.8</v>
      </c>
      <c r="K1272" t="s">
        <v>30</v>
      </c>
      <c r="L1272" t="s">
        <v>28</v>
      </c>
      <c r="O1272"/>
    </row>
    <row r="1273" spans="1:15" x14ac:dyDescent="0.3">
      <c r="A1273" t="s">
        <v>1297</v>
      </c>
      <c r="B1273" s="1">
        <v>45773</v>
      </c>
      <c r="C1273" t="s">
        <v>22</v>
      </c>
      <c r="D1273" t="s">
        <v>25</v>
      </c>
      <c r="E1273" s="2">
        <v>22.01</v>
      </c>
      <c r="F1273" s="3">
        <v>52.36</v>
      </c>
      <c r="G1273" s="4">
        <v>416.48</v>
      </c>
      <c r="H1273">
        <v>1.2</v>
      </c>
      <c r="I1273" s="4">
        <v>499.78</v>
      </c>
      <c r="J1273">
        <v>3.2</v>
      </c>
      <c r="K1273" t="s">
        <v>18</v>
      </c>
      <c r="L1273" t="s">
        <v>28</v>
      </c>
      <c r="O1273"/>
    </row>
    <row r="1274" spans="1:15" x14ac:dyDescent="0.3">
      <c r="A1274" t="s">
        <v>1298</v>
      </c>
      <c r="B1274" s="1">
        <v>45739</v>
      </c>
      <c r="C1274" t="s">
        <v>14</v>
      </c>
      <c r="D1274" t="s">
        <v>21</v>
      </c>
      <c r="E1274" s="2">
        <v>10.3</v>
      </c>
      <c r="F1274" s="3">
        <v>24.27</v>
      </c>
      <c r="G1274" s="4">
        <v>127.66</v>
      </c>
      <c r="H1274">
        <v>1.2</v>
      </c>
      <c r="I1274" s="4">
        <v>153.19</v>
      </c>
      <c r="J1274">
        <v>4</v>
      </c>
      <c r="K1274" t="s">
        <v>36</v>
      </c>
      <c r="L1274" t="s">
        <v>28</v>
      </c>
      <c r="O1274"/>
    </row>
    <row r="1275" spans="1:15" x14ac:dyDescent="0.3">
      <c r="A1275" t="s">
        <v>1299</v>
      </c>
      <c r="B1275" s="1">
        <v>45984</v>
      </c>
      <c r="C1275" t="s">
        <v>14</v>
      </c>
      <c r="D1275" t="s">
        <v>25</v>
      </c>
      <c r="E1275" s="2">
        <v>10.3</v>
      </c>
      <c r="F1275" s="3">
        <v>23.38</v>
      </c>
      <c r="G1275" s="4">
        <v>133.51</v>
      </c>
      <c r="H1275">
        <v>1.2</v>
      </c>
      <c r="I1275" s="4">
        <v>160.21</v>
      </c>
      <c r="J1275">
        <v>3.7</v>
      </c>
      <c r="K1275" t="s">
        <v>36</v>
      </c>
      <c r="L1275" t="s">
        <v>16</v>
      </c>
      <c r="O1275"/>
    </row>
    <row r="1276" spans="1:15" x14ac:dyDescent="0.3">
      <c r="A1276" t="s">
        <v>1300</v>
      </c>
      <c r="B1276" s="1">
        <v>45870</v>
      </c>
      <c r="C1276" t="s">
        <v>14</v>
      </c>
      <c r="D1276" t="s">
        <v>25</v>
      </c>
      <c r="E1276" s="2">
        <v>22.65</v>
      </c>
      <c r="F1276" s="3">
        <v>85.78</v>
      </c>
      <c r="G1276" s="4">
        <v>397.91</v>
      </c>
      <c r="H1276">
        <v>1.5</v>
      </c>
      <c r="I1276" s="4">
        <v>596.86</v>
      </c>
      <c r="J1276">
        <v>4.9000000000000004</v>
      </c>
      <c r="K1276" t="s">
        <v>15</v>
      </c>
      <c r="L1276" t="s">
        <v>16</v>
      </c>
      <c r="O1276"/>
    </row>
    <row r="1277" spans="1:15" x14ac:dyDescent="0.3">
      <c r="A1277" t="s">
        <v>1301</v>
      </c>
      <c r="B1277" s="1">
        <v>45739</v>
      </c>
      <c r="C1277" t="s">
        <v>14</v>
      </c>
      <c r="D1277" t="s">
        <v>13</v>
      </c>
      <c r="E1277" s="2">
        <v>23.99</v>
      </c>
      <c r="F1277" s="3">
        <v>61.37</v>
      </c>
      <c r="G1277" s="4">
        <v>394.96</v>
      </c>
      <c r="H1277">
        <v>2</v>
      </c>
      <c r="I1277" s="4">
        <v>789.92</v>
      </c>
      <c r="J1277">
        <v>3.5</v>
      </c>
      <c r="K1277" t="s">
        <v>15</v>
      </c>
      <c r="L1277" t="s">
        <v>19</v>
      </c>
      <c r="O1277"/>
    </row>
    <row r="1278" spans="1:15" x14ac:dyDescent="0.3">
      <c r="A1278" t="s">
        <v>1302</v>
      </c>
      <c r="B1278" s="1">
        <v>45681</v>
      </c>
      <c r="C1278" t="s">
        <v>21</v>
      </c>
      <c r="D1278" t="s">
        <v>14</v>
      </c>
      <c r="E1278" s="2">
        <v>25.09</v>
      </c>
      <c r="F1278" s="3">
        <v>78.849999999999994</v>
      </c>
      <c r="G1278" s="4">
        <v>403.31</v>
      </c>
      <c r="H1278">
        <v>1</v>
      </c>
      <c r="I1278" s="4">
        <v>403.31</v>
      </c>
      <c r="J1278">
        <v>3.5</v>
      </c>
      <c r="K1278" t="s">
        <v>30</v>
      </c>
      <c r="L1278" t="s">
        <v>28</v>
      </c>
      <c r="O1278"/>
    </row>
    <row r="1279" spans="1:15" x14ac:dyDescent="0.3">
      <c r="A1279" t="s">
        <v>1303</v>
      </c>
      <c r="B1279" s="1">
        <v>45683</v>
      </c>
      <c r="C1279" t="s">
        <v>14</v>
      </c>
      <c r="D1279" t="s">
        <v>21</v>
      </c>
      <c r="E1279" s="2">
        <v>2.2599999999999998</v>
      </c>
      <c r="F1279" s="3">
        <v>5.7</v>
      </c>
      <c r="G1279" s="4">
        <v>42.39</v>
      </c>
      <c r="H1279">
        <v>1.5</v>
      </c>
      <c r="I1279" s="4">
        <v>63.58</v>
      </c>
      <c r="J1279">
        <v>4.7</v>
      </c>
      <c r="K1279" t="s">
        <v>30</v>
      </c>
      <c r="L1279" t="s">
        <v>26</v>
      </c>
      <c r="O1279"/>
    </row>
    <row r="1280" spans="1:15" x14ac:dyDescent="0.3">
      <c r="A1280" t="s">
        <v>1304</v>
      </c>
      <c r="B1280" s="1">
        <v>45956</v>
      </c>
      <c r="C1280" t="s">
        <v>13</v>
      </c>
      <c r="D1280" t="s">
        <v>21</v>
      </c>
      <c r="E1280" s="2">
        <v>15.99</v>
      </c>
      <c r="F1280" s="3">
        <v>48.92</v>
      </c>
      <c r="G1280" s="4">
        <v>224</v>
      </c>
      <c r="H1280">
        <v>1.2</v>
      </c>
      <c r="I1280" s="4">
        <v>268.8</v>
      </c>
      <c r="J1280">
        <v>3.7</v>
      </c>
      <c r="K1280" t="s">
        <v>36</v>
      </c>
      <c r="L1280" t="s">
        <v>26</v>
      </c>
      <c r="O1280"/>
    </row>
    <row r="1281" spans="1:15" x14ac:dyDescent="0.3">
      <c r="A1281" t="s">
        <v>1305</v>
      </c>
      <c r="B1281" s="1">
        <v>45795</v>
      </c>
      <c r="C1281" t="s">
        <v>21</v>
      </c>
      <c r="D1281" t="s">
        <v>25</v>
      </c>
      <c r="E1281" s="2">
        <v>23.91</v>
      </c>
      <c r="F1281" s="3">
        <v>58.23</v>
      </c>
      <c r="G1281" s="4">
        <v>400.98</v>
      </c>
      <c r="H1281">
        <v>1.2</v>
      </c>
      <c r="I1281" s="4">
        <v>481.18</v>
      </c>
      <c r="J1281">
        <v>3.6</v>
      </c>
      <c r="K1281" t="s">
        <v>36</v>
      </c>
      <c r="L1281" t="s">
        <v>16</v>
      </c>
      <c r="O1281"/>
    </row>
    <row r="1282" spans="1:15" x14ac:dyDescent="0.3">
      <c r="A1282" t="s">
        <v>1306</v>
      </c>
      <c r="B1282" s="1">
        <v>45683</v>
      </c>
      <c r="C1282" t="s">
        <v>21</v>
      </c>
      <c r="D1282" t="s">
        <v>13</v>
      </c>
      <c r="E1282" s="2">
        <v>20.190000000000001</v>
      </c>
      <c r="F1282" s="3">
        <v>54.74</v>
      </c>
      <c r="G1282" s="4">
        <v>365.21</v>
      </c>
      <c r="H1282">
        <v>1.2</v>
      </c>
      <c r="I1282" s="4">
        <v>438.25</v>
      </c>
      <c r="J1282">
        <v>3.6</v>
      </c>
      <c r="K1282" t="s">
        <v>33</v>
      </c>
      <c r="L1282" t="s">
        <v>19</v>
      </c>
      <c r="O1282"/>
    </row>
    <row r="1283" spans="1:15" x14ac:dyDescent="0.3">
      <c r="A1283" t="s">
        <v>1307</v>
      </c>
      <c r="B1283" s="1">
        <v>45888</v>
      </c>
      <c r="C1283" t="s">
        <v>21</v>
      </c>
      <c r="D1283" t="s">
        <v>13</v>
      </c>
      <c r="E1283" s="2">
        <v>1.1100000000000001</v>
      </c>
      <c r="F1283" s="3">
        <v>2.72</v>
      </c>
      <c r="G1283" s="4">
        <v>15.61</v>
      </c>
      <c r="H1283">
        <v>1.2</v>
      </c>
      <c r="I1283" s="4">
        <v>18.73</v>
      </c>
      <c r="J1283">
        <v>4.5999999999999996</v>
      </c>
      <c r="K1283" t="s">
        <v>33</v>
      </c>
      <c r="L1283" t="s">
        <v>28</v>
      </c>
      <c r="O1283"/>
    </row>
    <row r="1284" spans="1:15" x14ac:dyDescent="0.3">
      <c r="A1284" t="s">
        <v>1308</v>
      </c>
      <c r="B1284" s="1">
        <v>45730</v>
      </c>
      <c r="C1284" t="s">
        <v>25</v>
      </c>
      <c r="D1284" t="s">
        <v>13</v>
      </c>
      <c r="E1284" s="2">
        <v>8.75</v>
      </c>
      <c r="F1284" s="3">
        <v>21.78</v>
      </c>
      <c r="G1284" s="4">
        <v>107.39</v>
      </c>
      <c r="H1284">
        <v>1</v>
      </c>
      <c r="I1284" s="4">
        <v>107.39</v>
      </c>
      <c r="J1284">
        <v>3.2</v>
      </c>
      <c r="K1284" t="s">
        <v>33</v>
      </c>
      <c r="L1284" t="s">
        <v>19</v>
      </c>
      <c r="O1284"/>
    </row>
    <row r="1285" spans="1:15" x14ac:dyDescent="0.3">
      <c r="A1285" t="s">
        <v>1309</v>
      </c>
      <c r="B1285" s="1">
        <v>45762</v>
      </c>
      <c r="C1285" t="s">
        <v>22</v>
      </c>
      <c r="D1285" t="s">
        <v>13</v>
      </c>
      <c r="E1285" s="2">
        <v>13.72</v>
      </c>
      <c r="F1285" s="3">
        <v>33.43</v>
      </c>
      <c r="G1285" s="4">
        <v>155.1</v>
      </c>
      <c r="H1285">
        <v>1.5</v>
      </c>
      <c r="I1285" s="4">
        <v>232.65</v>
      </c>
      <c r="J1285">
        <v>3.8</v>
      </c>
      <c r="K1285" t="s">
        <v>33</v>
      </c>
      <c r="L1285" t="s">
        <v>16</v>
      </c>
      <c r="O1285"/>
    </row>
    <row r="1286" spans="1:15" x14ac:dyDescent="0.3">
      <c r="A1286" t="s">
        <v>1310</v>
      </c>
      <c r="B1286" s="1">
        <v>45868</v>
      </c>
      <c r="C1286" t="s">
        <v>13</v>
      </c>
      <c r="D1286" t="s">
        <v>22</v>
      </c>
      <c r="E1286" s="2">
        <v>21.46</v>
      </c>
      <c r="F1286" s="3">
        <v>53.38</v>
      </c>
      <c r="G1286" s="4">
        <v>315.16000000000003</v>
      </c>
      <c r="H1286">
        <v>2</v>
      </c>
      <c r="I1286" s="4">
        <v>630.32000000000005</v>
      </c>
      <c r="J1286">
        <v>4.5</v>
      </c>
      <c r="K1286" t="s">
        <v>15</v>
      </c>
      <c r="L1286" t="s">
        <v>16</v>
      </c>
      <c r="O1286"/>
    </row>
    <row r="1287" spans="1:15" x14ac:dyDescent="0.3">
      <c r="A1287" t="s">
        <v>1311</v>
      </c>
      <c r="B1287" s="1">
        <v>45694</v>
      </c>
      <c r="C1287" t="s">
        <v>14</v>
      </c>
      <c r="D1287" t="s">
        <v>13</v>
      </c>
      <c r="E1287" s="2">
        <v>26.78</v>
      </c>
      <c r="F1287" s="3">
        <v>93.5</v>
      </c>
      <c r="G1287" s="4">
        <v>277.22000000000003</v>
      </c>
      <c r="H1287">
        <v>2</v>
      </c>
      <c r="I1287" s="4">
        <v>554.44000000000005</v>
      </c>
      <c r="J1287">
        <v>3.2</v>
      </c>
      <c r="K1287" t="s">
        <v>18</v>
      </c>
      <c r="L1287" t="s">
        <v>26</v>
      </c>
      <c r="O1287"/>
    </row>
    <row r="1288" spans="1:15" x14ac:dyDescent="0.3">
      <c r="A1288" t="s">
        <v>1312</v>
      </c>
      <c r="B1288" s="1">
        <v>45719</v>
      </c>
      <c r="C1288" t="s">
        <v>22</v>
      </c>
      <c r="D1288" t="s">
        <v>25</v>
      </c>
      <c r="E1288" s="2">
        <v>1.5</v>
      </c>
      <c r="F1288" s="3">
        <v>4.6500000000000004</v>
      </c>
      <c r="G1288" s="4">
        <v>27.87</v>
      </c>
      <c r="H1288">
        <v>1.5</v>
      </c>
      <c r="I1288" s="4">
        <v>41.8</v>
      </c>
      <c r="J1288">
        <v>3.9</v>
      </c>
      <c r="K1288" t="s">
        <v>18</v>
      </c>
      <c r="L1288" t="s">
        <v>16</v>
      </c>
      <c r="O1288"/>
    </row>
    <row r="1289" spans="1:15" x14ac:dyDescent="0.3">
      <c r="A1289" t="s">
        <v>1313</v>
      </c>
      <c r="B1289" s="1">
        <v>45739</v>
      </c>
      <c r="C1289" t="s">
        <v>21</v>
      </c>
      <c r="D1289" t="s">
        <v>21</v>
      </c>
      <c r="E1289" s="2">
        <v>1.32</v>
      </c>
      <c r="F1289" s="3">
        <v>3.74</v>
      </c>
      <c r="G1289" s="4">
        <v>15.25</v>
      </c>
      <c r="H1289">
        <v>1</v>
      </c>
      <c r="I1289" s="4">
        <v>15.25</v>
      </c>
      <c r="J1289">
        <v>4.0999999999999996</v>
      </c>
      <c r="K1289" t="s">
        <v>18</v>
      </c>
      <c r="L1289" t="s">
        <v>19</v>
      </c>
      <c r="O1289"/>
    </row>
    <row r="1290" spans="1:15" x14ac:dyDescent="0.3">
      <c r="A1290" t="s">
        <v>1314</v>
      </c>
      <c r="B1290" s="1">
        <v>45746</v>
      </c>
      <c r="C1290" t="s">
        <v>13</v>
      </c>
      <c r="D1290" t="s">
        <v>21</v>
      </c>
      <c r="E1290" s="2">
        <v>6.16</v>
      </c>
      <c r="F1290" s="3">
        <v>23.27</v>
      </c>
      <c r="G1290" s="4">
        <v>88.82</v>
      </c>
      <c r="H1290">
        <v>2</v>
      </c>
      <c r="I1290" s="4">
        <v>177.64</v>
      </c>
      <c r="J1290">
        <v>3.3</v>
      </c>
      <c r="K1290" t="s">
        <v>30</v>
      </c>
      <c r="L1290" t="s">
        <v>19</v>
      </c>
      <c r="O1290"/>
    </row>
    <row r="1291" spans="1:15" x14ac:dyDescent="0.3">
      <c r="A1291" t="s">
        <v>1315</v>
      </c>
      <c r="B1291" s="1">
        <v>45858</v>
      </c>
      <c r="C1291" t="s">
        <v>25</v>
      </c>
      <c r="D1291" t="s">
        <v>14</v>
      </c>
      <c r="E1291" s="2">
        <v>17.54</v>
      </c>
      <c r="F1291" s="3">
        <v>65.31</v>
      </c>
      <c r="G1291" s="4">
        <v>259.08999999999997</v>
      </c>
      <c r="H1291">
        <v>1</v>
      </c>
      <c r="I1291" s="4">
        <v>259.08999999999997</v>
      </c>
      <c r="J1291">
        <v>4.8</v>
      </c>
      <c r="K1291" t="s">
        <v>36</v>
      </c>
      <c r="L1291" t="s">
        <v>28</v>
      </c>
      <c r="O1291"/>
    </row>
    <row r="1292" spans="1:15" x14ac:dyDescent="0.3">
      <c r="A1292" t="s">
        <v>1316</v>
      </c>
      <c r="B1292" s="1">
        <v>45845</v>
      </c>
      <c r="C1292" t="s">
        <v>13</v>
      </c>
      <c r="D1292" t="s">
        <v>13</v>
      </c>
      <c r="E1292" s="2">
        <v>22.68</v>
      </c>
      <c r="F1292" s="3">
        <v>90.71</v>
      </c>
      <c r="G1292" s="4">
        <v>391.21</v>
      </c>
      <c r="H1292">
        <v>1.2</v>
      </c>
      <c r="I1292" s="4">
        <v>469.45</v>
      </c>
      <c r="J1292">
        <v>4.0999999999999996</v>
      </c>
      <c r="K1292" t="s">
        <v>33</v>
      </c>
      <c r="L1292" t="s">
        <v>26</v>
      </c>
      <c r="O1292"/>
    </row>
    <row r="1293" spans="1:15" x14ac:dyDescent="0.3">
      <c r="A1293" t="s">
        <v>1317</v>
      </c>
      <c r="B1293" s="1">
        <v>45698</v>
      </c>
      <c r="C1293" t="s">
        <v>22</v>
      </c>
      <c r="D1293" t="s">
        <v>22</v>
      </c>
      <c r="E1293" s="2">
        <v>18.03</v>
      </c>
      <c r="F1293" s="3">
        <v>42.34</v>
      </c>
      <c r="G1293" s="4">
        <v>353.91</v>
      </c>
      <c r="H1293">
        <v>1.5</v>
      </c>
      <c r="I1293" s="4">
        <v>530.86</v>
      </c>
      <c r="J1293">
        <v>4.7</v>
      </c>
      <c r="K1293" t="s">
        <v>15</v>
      </c>
      <c r="L1293" t="s">
        <v>19</v>
      </c>
      <c r="O1293"/>
    </row>
    <row r="1294" spans="1:15" x14ac:dyDescent="0.3">
      <c r="A1294" t="s">
        <v>1318</v>
      </c>
      <c r="B1294" s="1">
        <v>45819</v>
      </c>
      <c r="C1294" t="s">
        <v>14</v>
      </c>
      <c r="D1294" t="s">
        <v>25</v>
      </c>
      <c r="E1294" s="2">
        <v>29.98</v>
      </c>
      <c r="F1294" s="3">
        <v>77.16</v>
      </c>
      <c r="G1294" s="4">
        <v>383.88</v>
      </c>
      <c r="H1294">
        <v>1.5</v>
      </c>
      <c r="I1294" s="4">
        <v>575.82000000000005</v>
      </c>
      <c r="J1294">
        <v>4.2</v>
      </c>
      <c r="K1294" t="s">
        <v>33</v>
      </c>
      <c r="L1294" t="s">
        <v>16</v>
      </c>
      <c r="O1294"/>
    </row>
    <row r="1295" spans="1:15" x14ac:dyDescent="0.3">
      <c r="A1295" t="s">
        <v>1319</v>
      </c>
      <c r="B1295" s="1">
        <v>45950</v>
      </c>
      <c r="C1295" t="s">
        <v>21</v>
      </c>
      <c r="D1295" t="s">
        <v>22</v>
      </c>
      <c r="E1295" s="2">
        <v>9.27</v>
      </c>
      <c r="F1295" s="3">
        <v>33.24</v>
      </c>
      <c r="G1295" s="4">
        <v>176.66</v>
      </c>
      <c r="H1295">
        <v>1.2</v>
      </c>
      <c r="I1295" s="4">
        <v>211.99</v>
      </c>
      <c r="J1295">
        <v>4</v>
      </c>
      <c r="K1295" t="s">
        <v>18</v>
      </c>
      <c r="L1295" t="s">
        <v>26</v>
      </c>
      <c r="O1295"/>
    </row>
    <row r="1296" spans="1:15" x14ac:dyDescent="0.3">
      <c r="A1296" t="s">
        <v>1320</v>
      </c>
      <c r="B1296" s="1">
        <v>45902</v>
      </c>
      <c r="C1296" t="s">
        <v>21</v>
      </c>
      <c r="D1296" t="s">
        <v>25</v>
      </c>
      <c r="E1296" s="2">
        <v>26.56</v>
      </c>
      <c r="F1296" s="3">
        <v>70.56</v>
      </c>
      <c r="G1296" s="4">
        <v>295.57</v>
      </c>
      <c r="H1296">
        <v>2</v>
      </c>
      <c r="I1296" s="4">
        <v>591.14</v>
      </c>
      <c r="J1296">
        <v>4.5999999999999996</v>
      </c>
      <c r="K1296" t="s">
        <v>15</v>
      </c>
      <c r="L1296" t="s">
        <v>28</v>
      </c>
      <c r="O1296"/>
    </row>
    <row r="1297" spans="1:15" x14ac:dyDescent="0.3">
      <c r="A1297" t="s">
        <v>1321</v>
      </c>
      <c r="B1297" s="1">
        <v>45865</v>
      </c>
      <c r="C1297" t="s">
        <v>21</v>
      </c>
      <c r="D1297" t="s">
        <v>21</v>
      </c>
      <c r="E1297" s="2">
        <v>5.78</v>
      </c>
      <c r="F1297" s="3">
        <v>16.53</v>
      </c>
      <c r="G1297" s="4">
        <v>74.400000000000006</v>
      </c>
      <c r="H1297">
        <v>1.2</v>
      </c>
      <c r="I1297" s="4">
        <v>89.28</v>
      </c>
      <c r="J1297">
        <v>3</v>
      </c>
      <c r="K1297" t="s">
        <v>33</v>
      </c>
      <c r="L1297" t="s">
        <v>19</v>
      </c>
      <c r="O1297"/>
    </row>
    <row r="1298" spans="1:15" x14ac:dyDescent="0.3">
      <c r="A1298" t="s">
        <v>1322</v>
      </c>
      <c r="B1298" s="1">
        <v>45784</v>
      </c>
      <c r="C1298" t="s">
        <v>21</v>
      </c>
      <c r="D1298" t="s">
        <v>21</v>
      </c>
      <c r="E1298" s="2">
        <v>29.69</v>
      </c>
      <c r="F1298" s="3">
        <v>62.63</v>
      </c>
      <c r="G1298" s="4">
        <v>402.3</v>
      </c>
      <c r="H1298">
        <v>1.5</v>
      </c>
      <c r="I1298" s="4">
        <v>603.45000000000005</v>
      </c>
      <c r="J1298">
        <v>4.0999999999999996</v>
      </c>
      <c r="K1298" t="s">
        <v>30</v>
      </c>
      <c r="L1298" t="s">
        <v>26</v>
      </c>
      <c r="O1298"/>
    </row>
    <row r="1299" spans="1:15" x14ac:dyDescent="0.3">
      <c r="A1299" t="s">
        <v>1323</v>
      </c>
      <c r="B1299" s="1">
        <v>45928</v>
      </c>
      <c r="C1299" t="s">
        <v>14</v>
      </c>
      <c r="D1299" t="s">
        <v>25</v>
      </c>
      <c r="E1299" s="2">
        <v>10.16</v>
      </c>
      <c r="F1299" s="3">
        <v>35.14</v>
      </c>
      <c r="G1299" s="4">
        <v>190.47</v>
      </c>
      <c r="H1299">
        <v>1</v>
      </c>
      <c r="I1299" s="4">
        <v>190.47</v>
      </c>
      <c r="J1299">
        <v>4.9000000000000004</v>
      </c>
      <c r="K1299" t="s">
        <v>15</v>
      </c>
      <c r="L1299" t="s">
        <v>19</v>
      </c>
      <c r="O1299"/>
    </row>
    <row r="1300" spans="1:15" x14ac:dyDescent="0.3">
      <c r="A1300" t="s">
        <v>1324</v>
      </c>
      <c r="B1300" s="1">
        <v>45767</v>
      </c>
      <c r="C1300" t="s">
        <v>13</v>
      </c>
      <c r="D1300" t="s">
        <v>21</v>
      </c>
      <c r="E1300" s="2">
        <v>25.67</v>
      </c>
      <c r="F1300" s="3">
        <v>79.599999999999994</v>
      </c>
      <c r="G1300" s="4">
        <v>468.71</v>
      </c>
      <c r="H1300">
        <v>1.2</v>
      </c>
      <c r="I1300" s="4">
        <v>562.45000000000005</v>
      </c>
      <c r="J1300">
        <v>3.2</v>
      </c>
      <c r="K1300" t="s">
        <v>15</v>
      </c>
      <c r="L1300" t="s">
        <v>16</v>
      </c>
      <c r="O1300"/>
    </row>
    <row r="1301" spans="1:15" x14ac:dyDescent="0.3">
      <c r="A1301" t="s">
        <v>1325</v>
      </c>
      <c r="B1301" s="1">
        <v>45990</v>
      </c>
      <c r="C1301" t="s">
        <v>22</v>
      </c>
      <c r="D1301" t="s">
        <v>14</v>
      </c>
      <c r="E1301" s="2">
        <v>10.19</v>
      </c>
      <c r="F1301" s="3">
        <v>29.91</v>
      </c>
      <c r="G1301" s="4">
        <v>131</v>
      </c>
      <c r="H1301">
        <v>1.5</v>
      </c>
      <c r="I1301" s="4">
        <v>196.5</v>
      </c>
      <c r="J1301">
        <v>5</v>
      </c>
      <c r="K1301" t="s">
        <v>18</v>
      </c>
      <c r="L1301" t="s">
        <v>16</v>
      </c>
      <c r="O1301"/>
    </row>
    <row r="1302" spans="1:15" x14ac:dyDescent="0.3">
      <c r="A1302" t="s">
        <v>1326</v>
      </c>
      <c r="B1302" s="1">
        <v>45766</v>
      </c>
      <c r="C1302" t="s">
        <v>25</v>
      </c>
      <c r="D1302" t="s">
        <v>13</v>
      </c>
      <c r="E1302" s="2">
        <v>3.84</v>
      </c>
      <c r="F1302" s="3">
        <v>11.73</v>
      </c>
      <c r="G1302" s="4">
        <v>40.590000000000003</v>
      </c>
      <c r="H1302">
        <v>1.5</v>
      </c>
      <c r="I1302" s="4">
        <v>60.89</v>
      </c>
      <c r="J1302">
        <v>4.3</v>
      </c>
      <c r="K1302" t="s">
        <v>15</v>
      </c>
      <c r="L1302" t="s">
        <v>19</v>
      </c>
      <c r="O1302"/>
    </row>
    <row r="1303" spans="1:15" x14ac:dyDescent="0.3">
      <c r="A1303" t="s">
        <v>1327</v>
      </c>
      <c r="B1303" s="1">
        <v>45756</v>
      </c>
      <c r="C1303" t="s">
        <v>14</v>
      </c>
      <c r="D1303" t="s">
        <v>22</v>
      </c>
      <c r="E1303" s="2">
        <v>16.53</v>
      </c>
      <c r="F1303" s="3">
        <v>59.12</v>
      </c>
      <c r="G1303" s="4">
        <v>300.52999999999997</v>
      </c>
      <c r="H1303">
        <v>1</v>
      </c>
      <c r="I1303" s="4">
        <v>300.52999999999997</v>
      </c>
      <c r="J1303">
        <v>3.9</v>
      </c>
      <c r="K1303" t="s">
        <v>18</v>
      </c>
      <c r="L1303" t="s">
        <v>26</v>
      </c>
      <c r="O1303"/>
    </row>
    <row r="1304" spans="1:15" x14ac:dyDescent="0.3">
      <c r="A1304" t="s">
        <v>1328</v>
      </c>
      <c r="B1304" s="1">
        <v>45862</v>
      </c>
      <c r="C1304" t="s">
        <v>21</v>
      </c>
      <c r="D1304" t="s">
        <v>25</v>
      </c>
      <c r="E1304" s="2">
        <v>10.18</v>
      </c>
      <c r="F1304" s="3">
        <v>36.119999999999997</v>
      </c>
      <c r="G1304" s="4">
        <v>107.1</v>
      </c>
      <c r="H1304">
        <v>1</v>
      </c>
      <c r="I1304" s="4">
        <v>107.1</v>
      </c>
      <c r="J1304">
        <v>4.3</v>
      </c>
      <c r="K1304" t="s">
        <v>15</v>
      </c>
      <c r="L1304" t="s">
        <v>28</v>
      </c>
      <c r="O1304"/>
    </row>
    <row r="1305" spans="1:15" x14ac:dyDescent="0.3">
      <c r="A1305" t="s">
        <v>1329</v>
      </c>
      <c r="B1305" s="1">
        <v>45705</v>
      </c>
      <c r="C1305" t="s">
        <v>13</v>
      </c>
      <c r="D1305" t="s">
        <v>21</v>
      </c>
      <c r="E1305" s="2">
        <v>14.84</v>
      </c>
      <c r="F1305" s="3">
        <v>33.56</v>
      </c>
      <c r="G1305" s="4">
        <v>183.36</v>
      </c>
      <c r="H1305">
        <v>1.2</v>
      </c>
      <c r="I1305" s="4">
        <v>220.03</v>
      </c>
      <c r="J1305">
        <v>4.9000000000000004</v>
      </c>
      <c r="K1305" t="s">
        <v>15</v>
      </c>
      <c r="L1305" t="s">
        <v>26</v>
      </c>
      <c r="O1305"/>
    </row>
    <row r="1306" spans="1:15" x14ac:dyDescent="0.3">
      <c r="A1306" t="s">
        <v>1330</v>
      </c>
      <c r="B1306" s="1">
        <v>45922</v>
      </c>
      <c r="C1306" t="s">
        <v>14</v>
      </c>
      <c r="D1306" t="s">
        <v>14</v>
      </c>
      <c r="E1306" s="2">
        <v>24.47</v>
      </c>
      <c r="F1306" s="3">
        <v>88.1</v>
      </c>
      <c r="G1306" s="4">
        <v>472.79</v>
      </c>
      <c r="H1306">
        <v>1.2</v>
      </c>
      <c r="I1306" s="4">
        <v>567.35</v>
      </c>
      <c r="J1306">
        <v>4.9000000000000004</v>
      </c>
      <c r="K1306" t="s">
        <v>15</v>
      </c>
      <c r="L1306" t="s">
        <v>26</v>
      </c>
      <c r="O1306"/>
    </row>
    <row r="1307" spans="1:15" x14ac:dyDescent="0.3">
      <c r="A1307" t="s">
        <v>1331</v>
      </c>
      <c r="B1307" s="1">
        <v>45983</v>
      </c>
      <c r="C1307" t="s">
        <v>22</v>
      </c>
      <c r="D1307" t="s">
        <v>25</v>
      </c>
      <c r="E1307" s="2">
        <v>7.79</v>
      </c>
      <c r="F1307" s="3">
        <v>16.510000000000002</v>
      </c>
      <c r="G1307" s="4">
        <v>118.22</v>
      </c>
      <c r="H1307">
        <v>2</v>
      </c>
      <c r="I1307" s="4">
        <v>236.44</v>
      </c>
      <c r="J1307">
        <v>4.4000000000000004</v>
      </c>
      <c r="K1307" t="s">
        <v>36</v>
      </c>
      <c r="L1307" t="s">
        <v>16</v>
      </c>
      <c r="O1307"/>
    </row>
    <row r="1308" spans="1:15" x14ac:dyDescent="0.3">
      <c r="A1308" t="s">
        <v>1332</v>
      </c>
      <c r="B1308" s="1">
        <v>45902</v>
      </c>
      <c r="C1308" t="s">
        <v>25</v>
      </c>
      <c r="D1308" t="s">
        <v>13</v>
      </c>
      <c r="E1308" s="2">
        <v>9.41</v>
      </c>
      <c r="F1308" s="3">
        <v>34.869999999999997</v>
      </c>
      <c r="G1308" s="4">
        <v>130.58000000000001</v>
      </c>
      <c r="H1308">
        <v>2</v>
      </c>
      <c r="I1308" s="4">
        <v>261.16000000000003</v>
      </c>
      <c r="J1308">
        <v>4.8</v>
      </c>
      <c r="K1308" t="s">
        <v>36</v>
      </c>
      <c r="L1308" t="s">
        <v>26</v>
      </c>
      <c r="O1308"/>
    </row>
    <row r="1309" spans="1:15" x14ac:dyDescent="0.3">
      <c r="A1309" t="s">
        <v>1333</v>
      </c>
      <c r="B1309" s="1">
        <v>45703</v>
      </c>
      <c r="C1309" t="s">
        <v>21</v>
      </c>
      <c r="D1309" t="s">
        <v>14</v>
      </c>
      <c r="E1309" s="2">
        <v>11.54</v>
      </c>
      <c r="F1309" s="3">
        <v>32.090000000000003</v>
      </c>
      <c r="G1309" s="4">
        <v>127.64</v>
      </c>
      <c r="H1309">
        <v>1.5</v>
      </c>
      <c r="I1309" s="4">
        <v>191.46</v>
      </c>
      <c r="J1309">
        <v>3.3</v>
      </c>
      <c r="K1309" t="s">
        <v>33</v>
      </c>
      <c r="L1309" t="s">
        <v>19</v>
      </c>
      <c r="O1309"/>
    </row>
    <row r="1310" spans="1:15" x14ac:dyDescent="0.3">
      <c r="A1310" t="s">
        <v>1334</v>
      </c>
      <c r="B1310" s="1">
        <v>45933</v>
      </c>
      <c r="C1310" t="s">
        <v>25</v>
      </c>
      <c r="D1310" t="s">
        <v>21</v>
      </c>
      <c r="E1310" s="2">
        <v>17.98</v>
      </c>
      <c r="F1310" s="3">
        <v>57.23</v>
      </c>
      <c r="G1310" s="4">
        <v>309.11</v>
      </c>
      <c r="H1310">
        <v>1.2</v>
      </c>
      <c r="I1310" s="4">
        <v>370.93</v>
      </c>
      <c r="J1310">
        <v>3.2</v>
      </c>
      <c r="K1310" t="s">
        <v>15</v>
      </c>
      <c r="L1310" t="s">
        <v>19</v>
      </c>
      <c r="O1310"/>
    </row>
    <row r="1311" spans="1:15" x14ac:dyDescent="0.3">
      <c r="A1311" t="s">
        <v>1335</v>
      </c>
      <c r="B1311" s="1">
        <v>45858</v>
      </c>
      <c r="C1311" t="s">
        <v>25</v>
      </c>
      <c r="D1311" t="s">
        <v>14</v>
      </c>
      <c r="E1311" s="2">
        <v>10.6</v>
      </c>
      <c r="F1311" s="3">
        <v>38.950000000000003</v>
      </c>
      <c r="G1311" s="4">
        <v>138.85</v>
      </c>
      <c r="H1311">
        <v>1</v>
      </c>
      <c r="I1311" s="4">
        <v>138.85</v>
      </c>
      <c r="J1311">
        <v>4.2</v>
      </c>
      <c r="K1311" t="s">
        <v>30</v>
      </c>
      <c r="L1311" t="s">
        <v>28</v>
      </c>
      <c r="O1311"/>
    </row>
    <row r="1312" spans="1:15" x14ac:dyDescent="0.3">
      <c r="A1312" t="s">
        <v>1336</v>
      </c>
      <c r="B1312" s="1">
        <v>45991</v>
      </c>
      <c r="C1312" t="s">
        <v>21</v>
      </c>
      <c r="D1312" t="s">
        <v>13</v>
      </c>
      <c r="E1312" s="2">
        <v>25.8</v>
      </c>
      <c r="F1312" s="3">
        <v>73.89</v>
      </c>
      <c r="G1312" s="4">
        <v>357.61</v>
      </c>
      <c r="H1312">
        <v>1.5</v>
      </c>
      <c r="I1312" s="4">
        <v>536.41999999999996</v>
      </c>
      <c r="J1312">
        <v>4.5999999999999996</v>
      </c>
      <c r="K1312" t="s">
        <v>15</v>
      </c>
      <c r="L1312" t="s">
        <v>28</v>
      </c>
      <c r="O1312"/>
    </row>
    <row r="1313" spans="1:15" x14ac:dyDescent="0.3">
      <c r="A1313" t="s">
        <v>1337</v>
      </c>
      <c r="B1313" s="1">
        <v>45898</v>
      </c>
      <c r="C1313" t="s">
        <v>14</v>
      </c>
      <c r="D1313" t="s">
        <v>22</v>
      </c>
      <c r="E1313" s="2">
        <v>4.1100000000000003</v>
      </c>
      <c r="F1313" s="3">
        <v>12.4</v>
      </c>
      <c r="G1313" s="4">
        <v>71.33</v>
      </c>
      <c r="H1313">
        <v>1</v>
      </c>
      <c r="I1313" s="4">
        <v>71.33</v>
      </c>
      <c r="J1313">
        <v>4.8</v>
      </c>
      <c r="K1313" t="s">
        <v>15</v>
      </c>
      <c r="L1313" t="s">
        <v>16</v>
      </c>
      <c r="O1313"/>
    </row>
    <row r="1314" spans="1:15" x14ac:dyDescent="0.3">
      <c r="A1314" t="s">
        <v>1338</v>
      </c>
      <c r="B1314" s="1">
        <v>45785</v>
      </c>
      <c r="C1314" t="s">
        <v>21</v>
      </c>
      <c r="D1314" t="s">
        <v>22</v>
      </c>
      <c r="E1314" s="2">
        <v>11.74</v>
      </c>
      <c r="F1314" s="3">
        <v>28.79</v>
      </c>
      <c r="G1314" s="4">
        <v>219.87</v>
      </c>
      <c r="H1314">
        <v>1.5</v>
      </c>
      <c r="I1314" s="4">
        <v>329.8</v>
      </c>
      <c r="J1314">
        <v>3.2</v>
      </c>
      <c r="K1314" t="s">
        <v>30</v>
      </c>
      <c r="L1314" t="s">
        <v>16</v>
      </c>
      <c r="O1314"/>
    </row>
    <row r="1315" spans="1:15" x14ac:dyDescent="0.3">
      <c r="A1315" t="s">
        <v>1339</v>
      </c>
      <c r="B1315" s="1">
        <v>45826</v>
      </c>
      <c r="C1315" t="s">
        <v>13</v>
      </c>
      <c r="D1315" t="s">
        <v>25</v>
      </c>
      <c r="E1315" s="2">
        <v>6.82</v>
      </c>
      <c r="F1315" s="3">
        <v>23.39</v>
      </c>
      <c r="G1315" s="4">
        <v>89.68</v>
      </c>
      <c r="H1315">
        <v>1.2</v>
      </c>
      <c r="I1315" s="4">
        <v>107.62</v>
      </c>
      <c r="J1315">
        <v>4.2</v>
      </c>
      <c r="K1315" t="s">
        <v>15</v>
      </c>
      <c r="L1315" t="s">
        <v>26</v>
      </c>
      <c r="O1315"/>
    </row>
    <row r="1316" spans="1:15" x14ac:dyDescent="0.3">
      <c r="A1316" t="s">
        <v>1340</v>
      </c>
      <c r="B1316" s="1">
        <v>45813</v>
      </c>
      <c r="C1316" t="s">
        <v>25</v>
      </c>
      <c r="D1316" t="s">
        <v>25</v>
      </c>
      <c r="E1316" s="2">
        <v>8.66</v>
      </c>
      <c r="F1316" s="3">
        <v>24.72</v>
      </c>
      <c r="G1316" s="4">
        <v>150.06</v>
      </c>
      <c r="H1316">
        <v>2</v>
      </c>
      <c r="I1316" s="4">
        <v>300.12</v>
      </c>
      <c r="J1316">
        <v>3.7</v>
      </c>
      <c r="K1316" t="s">
        <v>18</v>
      </c>
      <c r="L1316" t="s">
        <v>16</v>
      </c>
      <c r="O1316"/>
    </row>
    <row r="1317" spans="1:15" x14ac:dyDescent="0.3">
      <c r="A1317" t="s">
        <v>1341</v>
      </c>
      <c r="B1317" s="1">
        <v>45972</v>
      </c>
      <c r="C1317" t="s">
        <v>21</v>
      </c>
      <c r="D1317" t="s">
        <v>25</v>
      </c>
      <c r="E1317" s="2">
        <v>13.61</v>
      </c>
      <c r="F1317" s="3">
        <v>32.47</v>
      </c>
      <c r="G1317" s="4">
        <v>162.11000000000001</v>
      </c>
      <c r="H1317">
        <v>2</v>
      </c>
      <c r="I1317" s="4">
        <v>324.22000000000003</v>
      </c>
      <c r="J1317">
        <v>4.4000000000000004</v>
      </c>
      <c r="K1317" t="s">
        <v>36</v>
      </c>
      <c r="L1317" t="s">
        <v>28</v>
      </c>
      <c r="O1317"/>
    </row>
    <row r="1318" spans="1:15" x14ac:dyDescent="0.3">
      <c r="A1318" t="s">
        <v>1342</v>
      </c>
      <c r="B1318" s="1">
        <v>45762</v>
      </c>
      <c r="C1318" t="s">
        <v>25</v>
      </c>
      <c r="D1318" t="s">
        <v>14</v>
      </c>
      <c r="E1318" s="2">
        <v>1.28</v>
      </c>
      <c r="F1318" s="3">
        <v>2.75</v>
      </c>
      <c r="G1318" s="4">
        <v>19.66</v>
      </c>
      <c r="H1318">
        <v>1.2</v>
      </c>
      <c r="I1318" s="4">
        <v>23.59</v>
      </c>
      <c r="J1318">
        <v>4.9000000000000004</v>
      </c>
      <c r="K1318" t="s">
        <v>30</v>
      </c>
      <c r="L1318" t="s">
        <v>19</v>
      </c>
      <c r="O1318"/>
    </row>
    <row r="1319" spans="1:15" x14ac:dyDescent="0.3">
      <c r="A1319" t="s">
        <v>1343</v>
      </c>
      <c r="B1319" s="1">
        <v>45988</v>
      </c>
      <c r="C1319" t="s">
        <v>25</v>
      </c>
      <c r="D1319" t="s">
        <v>13</v>
      </c>
      <c r="E1319" s="2">
        <v>28.16</v>
      </c>
      <c r="F1319" s="3">
        <v>62.31</v>
      </c>
      <c r="G1319" s="4">
        <v>518.70000000000005</v>
      </c>
      <c r="H1319">
        <v>1.5</v>
      </c>
      <c r="I1319" s="4">
        <v>778.05</v>
      </c>
      <c r="J1319">
        <v>4</v>
      </c>
      <c r="K1319" t="s">
        <v>18</v>
      </c>
      <c r="L1319" t="s">
        <v>19</v>
      </c>
      <c r="O1319"/>
    </row>
    <row r="1320" spans="1:15" x14ac:dyDescent="0.3">
      <c r="A1320" t="s">
        <v>1344</v>
      </c>
      <c r="B1320" s="1">
        <v>45910</v>
      </c>
      <c r="C1320" t="s">
        <v>13</v>
      </c>
      <c r="D1320" t="s">
        <v>22</v>
      </c>
      <c r="E1320" s="2">
        <v>15.81</v>
      </c>
      <c r="F1320" s="3">
        <v>46.7</v>
      </c>
      <c r="G1320" s="4">
        <v>290.10000000000002</v>
      </c>
      <c r="H1320">
        <v>1.2</v>
      </c>
      <c r="I1320" s="4">
        <v>348.12</v>
      </c>
      <c r="J1320">
        <v>4</v>
      </c>
      <c r="K1320" t="s">
        <v>33</v>
      </c>
      <c r="L1320" t="s">
        <v>28</v>
      </c>
      <c r="O1320"/>
    </row>
    <row r="1321" spans="1:15" x14ac:dyDescent="0.3">
      <c r="A1321" t="s">
        <v>1345</v>
      </c>
      <c r="B1321" s="1">
        <v>45967</v>
      </c>
      <c r="C1321" t="s">
        <v>13</v>
      </c>
      <c r="D1321" t="s">
        <v>21</v>
      </c>
      <c r="E1321" s="2">
        <v>4.24</v>
      </c>
      <c r="F1321" s="3">
        <v>9.4600000000000009</v>
      </c>
      <c r="G1321" s="4">
        <v>76.39</v>
      </c>
      <c r="H1321">
        <v>1.2</v>
      </c>
      <c r="I1321" s="4">
        <v>91.67</v>
      </c>
      <c r="J1321">
        <v>3.8</v>
      </c>
      <c r="K1321" t="s">
        <v>15</v>
      </c>
      <c r="L1321" t="s">
        <v>28</v>
      </c>
      <c r="O1321"/>
    </row>
    <row r="1322" spans="1:15" x14ac:dyDescent="0.3">
      <c r="A1322" t="s">
        <v>1346</v>
      </c>
      <c r="B1322" s="1">
        <v>45910</v>
      </c>
      <c r="C1322" t="s">
        <v>13</v>
      </c>
      <c r="D1322" t="s">
        <v>21</v>
      </c>
      <c r="E1322" s="2">
        <v>6.79</v>
      </c>
      <c r="F1322" s="3">
        <v>14.09</v>
      </c>
      <c r="G1322" s="4">
        <v>111.58</v>
      </c>
      <c r="H1322">
        <v>1.5</v>
      </c>
      <c r="I1322" s="4">
        <v>167.37</v>
      </c>
      <c r="J1322">
        <v>4.5</v>
      </c>
      <c r="K1322" t="s">
        <v>18</v>
      </c>
      <c r="L1322" t="s">
        <v>16</v>
      </c>
      <c r="O1322"/>
    </row>
    <row r="1323" spans="1:15" x14ac:dyDescent="0.3">
      <c r="A1323" t="s">
        <v>1347</v>
      </c>
      <c r="B1323" s="1">
        <v>45999</v>
      </c>
      <c r="C1323" t="s">
        <v>14</v>
      </c>
      <c r="D1323" t="s">
        <v>22</v>
      </c>
      <c r="E1323" s="2">
        <v>7.7</v>
      </c>
      <c r="F1323" s="3">
        <v>27.75</v>
      </c>
      <c r="G1323" s="4">
        <v>142.56</v>
      </c>
      <c r="H1323">
        <v>1.2</v>
      </c>
      <c r="I1323" s="4">
        <v>171.07</v>
      </c>
      <c r="J1323">
        <v>4.8</v>
      </c>
      <c r="K1323" t="s">
        <v>30</v>
      </c>
      <c r="L1323" t="s">
        <v>19</v>
      </c>
      <c r="O1323"/>
    </row>
    <row r="1324" spans="1:15" x14ac:dyDescent="0.3">
      <c r="A1324" t="s">
        <v>1348</v>
      </c>
      <c r="B1324" s="1">
        <v>45822</v>
      </c>
      <c r="C1324" t="s">
        <v>13</v>
      </c>
      <c r="D1324" t="s">
        <v>13</v>
      </c>
      <c r="E1324" s="2">
        <v>2.69</v>
      </c>
      <c r="F1324" s="3">
        <v>10.37</v>
      </c>
      <c r="G1324" s="4">
        <v>44.34</v>
      </c>
      <c r="H1324">
        <v>1.2</v>
      </c>
      <c r="I1324" s="4">
        <v>53.21</v>
      </c>
      <c r="J1324">
        <v>3.3</v>
      </c>
      <c r="K1324" t="s">
        <v>18</v>
      </c>
      <c r="L1324" t="s">
        <v>26</v>
      </c>
      <c r="O1324"/>
    </row>
    <row r="1325" spans="1:15" x14ac:dyDescent="0.3">
      <c r="A1325" t="s">
        <v>1349</v>
      </c>
      <c r="B1325" s="1">
        <v>45793</v>
      </c>
      <c r="C1325" t="s">
        <v>22</v>
      </c>
      <c r="D1325" t="s">
        <v>25</v>
      </c>
      <c r="E1325" s="2">
        <v>20.5</v>
      </c>
      <c r="F1325" s="3">
        <v>62.78</v>
      </c>
      <c r="G1325" s="4">
        <v>225.27</v>
      </c>
      <c r="H1325">
        <v>1.2</v>
      </c>
      <c r="I1325" s="4">
        <v>270.32</v>
      </c>
      <c r="J1325">
        <v>4.9000000000000004</v>
      </c>
      <c r="K1325" t="s">
        <v>18</v>
      </c>
      <c r="L1325" t="s">
        <v>19</v>
      </c>
      <c r="O1325"/>
    </row>
    <row r="1326" spans="1:15" x14ac:dyDescent="0.3">
      <c r="A1326" t="s">
        <v>1350</v>
      </c>
      <c r="B1326" s="1">
        <v>45897</v>
      </c>
      <c r="C1326" t="s">
        <v>25</v>
      </c>
      <c r="D1326" t="s">
        <v>21</v>
      </c>
      <c r="E1326" s="2">
        <v>5.99</v>
      </c>
      <c r="F1326" s="3">
        <v>22.17</v>
      </c>
      <c r="G1326" s="4">
        <v>112.48</v>
      </c>
      <c r="H1326">
        <v>1.5</v>
      </c>
      <c r="I1326" s="4">
        <v>168.72</v>
      </c>
      <c r="J1326">
        <v>3.1</v>
      </c>
      <c r="K1326" t="s">
        <v>36</v>
      </c>
      <c r="L1326" t="s">
        <v>19</v>
      </c>
      <c r="O1326"/>
    </row>
    <row r="1327" spans="1:15" x14ac:dyDescent="0.3">
      <c r="A1327" t="s">
        <v>1351</v>
      </c>
      <c r="B1327" s="1">
        <v>45730</v>
      </c>
      <c r="C1327" t="s">
        <v>22</v>
      </c>
      <c r="D1327" t="s">
        <v>21</v>
      </c>
      <c r="E1327" s="2">
        <v>12.08</v>
      </c>
      <c r="F1327" s="3">
        <v>30.97</v>
      </c>
      <c r="G1327" s="4">
        <v>208.02</v>
      </c>
      <c r="H1327">
        <v>1.2</v>
      </c>
      <c r="I1327" s="4">
        <v>249.62</v>
      </c>
      <c r="J1327">
        <v>3.6</v>
      </c>
      <c r="K1327" t="s">
        <v>30</v>
      </c>
      <c r="L1327" t="s">
        <v>16</v>
      </c>
      <c r="O1327"/>
    </row>
    <row r="1328" spans="1:15" x14ac:dyDescent="0.3">
      <c r="A1328" t="s">
        <v>1352</v>
      </c>
      <c r="B1328" s="1">
        <v>45990</v>
      </c>
      <c r="C1328" t="s">
        <v>14</v>
      </c>
      <c r="D1328" t="s">
        <v>25</v>
      </c>
      <c r="E1328" s="2">
        <v>15.84</v>
      </c>
      <c r="F1328" s="3">
        <v>36.71</v>
      </c>
      <c r="G1328" s="4">
        <v>166.87</v>
      </c>
      <c r="H1328">
        <v>1</v>
      </c>
      <c r="I1328" s="4">
        <v>166.87</v>
      </c>
      <c r="J1328">
        <v>4</v>
      </c>
      <c r="K1328" t="s">
        <v>18</v>
      </c>
      <c r="L1328" t="s">
        <v>28</v>
      </c>
      <c r="O1328"/>
    </row>
    <row r="1329" spans="1:15" x14ac:dyDescent="0.3">
      <c r="A1329" t="s">
        <v>1353</v>
      </c>
      <c r="B1329" s="1">
        <v>45685</v>
      </c>
      <c r="C1329" t="s">
        <v>14</v>
      </c>
      <c r="D1329" t="s">
        <v>22</v>
      </c>
      <c r="E1329" s="2">
        <v>23.22</v>
      </c>
      <c r="F1329" s="3">
        <v>69.56</v>
      </c>
      <c r="G1329" s="4">
        <v>304.19</v>
      </c>
      <c r="H1329">
        <v>1.2</v>
      </c>
      <c r="I1329" s="4">
        <v>365.03</v>
      </c>
      <c r="J1329">
        <v>4.2</v>
      </c>
      <c r="K1329" t="s">
        <v>30</v>
      </c>
      <c r="L1329" t="s">
        <v>28</v>
      </c>
      <c r="O1329"/>
    </row>
    <row r="1330" spans="1:15" x14ac:dyDescent="0.3">
      <c r="A1330" t="s">
        <v>1354</v>
      </c>
      <c r="B1330" s="1">
        <v>45799</v>
      </c>
      <c r="C1330" t="s">
        <v>21</v>
      </c>
      <c r="D1330" t="s">
        <v>22</v>
      </c>
      <c r="E1330" s="2">
        <v>20.52</v>
      </c>
      <c r="F1330" s="3">
        <v>42.97</v>
      </c>
      <c r="G1330" s="4">
        <v>321.41000000000003</v>
      </c>
      <c r="H1330">
        <v>1</v>
      </c>
      <c r="I1330" s="4">
        <v>321.41000000000003</v>
      </c>
      <c r="J1330">
        <v>4.8</v>
      </c>
      <c r="K1330" t="s">
        <v>33</v>
      </c>
      <c r="L1330" t="s">
        <v>28</v>
      </c>
      <c r="O1330"/>
    </row>
    <row r="1331" spans="1:15" x14ac:dyDescent="0.3">
      <c r="A1331" t="s">
        <v>1355</v>
      </c>
      <c r="B1331" s="1">
        <v>45798</v>
      </c>
      <c r="C1331" t="s">
        <v>22</v>
      </c>
      <c r="D1331" t="s">
        <v>25</v>
      </c>
      <c r="E1331" s="2">
        <v>21.62</v>
      </c>
      <c r="F1331" s="3">
        <v>85.33</v>
      </c>
      <c r="G1331" s="4">
        <v>387.12</v>
      </c>
      <c r="H1331">
        <v>1</v>
      </c>
      <c r="I1331" s="4">
        <v>387.12</v>
      </c>
      <c r="J1331">
        <v>3.9</v>
      </c>
      <c r="K1331" t="s">
        <v>33</v>
      </c>
      <c r="L1331" t="s">
        <v>16</v>
      </c>
      <c r="O1331"/>
    </row>
    <row r="1332" spans="1:15" x14ac:dyDescent="0.3">
      <c r="A1332" t="s">
        <v>1356</v>
      </c>
      <c r="B1332" s="1">
        <v>45921</v>
      </c>
      <c r="C1332" t="s">
        <v>14</v>
      </c>
      <c r="D1332" t="s">
        <v>14</v>
      </c>
      <c r="E1332" s="2">
        <v>3.7</v>
      </c>
      <c r="F1332" s="3">
        <v>10.86</v>
      </c>
      <c r="G1332" s="4">
        <v>69.84</v>
      </c>
      <c r="H1332">
        <v>1.2</v>
      </c>
      <c r="I1332" s="4">
        <v>83.81</v>
      </c>
      <c r="J1332">
        <v>4.0999999999999996</v>
      </c>
      <c r="K1332" t="s">
        <v>18</v>
      </c>
      <c r="L1332" t="s">
        <v>16</v>
      </c>
      <c r="O1332"/>
    </row>
    <row r="1333" spans="1:15" x14ac:dyDescent="0.3">
      <c r="A1333" t="s">
        <v>1357</v>
      </c>
      <c r="B1333" s="1">
        <v>45834</v>
      </c>
      <c r="C1333" t="s">
        <v>22</v>
      </c>
      <c r="D1333" t="s">
        <v>13</v>
      </c>
      <c r="E1333" s="2">
        <v>21.38</v>
      </c>
      <c r="F1333" s="3">
        <v>83.64</v>
      </c>
      <c r="G1333" s="4">
        <v>327.39999999999998</v>
      </c>
      <c r="H1333">
        <v>1</v>
      </c>
      <c r="I1333" s="4">
        <v>327.39999999999998</v>
      </c>
      <c r="J1333">
        <v>4.9000000000000004</v>
      </c>
      <c r="K1333" t="s">
        <v>15</v>
      </c>
      <c r="L1333" t="s">
        <v>16</v>
      </c>
      <c r="O1333"/>
    </row>
    <row r="1334" spans="1:15" x14ac:dyDescent="0.3">
      <c r="A1334" t="s">
        <v>1358</v>
      </c>
      <c r="B1334" s="1">
        <v>45989</v>
      </c>
      <c r="C1334" t="s">
        <v>14</v>
      </c>
      <c r="D1334" t="s">
        <v>13</v>
      </c>
      <c r="E1334" s="2">
        <v>19.62</v>
      </c>
      <c r="F1334" s="3">
        <v>50.94</v>
      </c>
      <c r="G1334" s="4">
        <v>221.01</v>
      </c>
      <c r="H1334">
        <v>1.2</v>
      </c>
      <c r="I1334" s="4">
        <v>265.20999999999998</v>
      </c>
      <c r="J1334">
        <v>4.8</v>
      </c>
      <c r="K1334" t="s">
        <v>18</v>
      </c>
      <c r="L1334" t="s">
        <v>16</v>
      </c>
      <c r="O1334"/>
    </row>
    <row r="1335" spans="1:15" x14ac:dyDescent="0.3">
      <c r="A1335" t="s">
        <v>1359</v>
      </c>
      <c r="B1335" s="1">
        <v>45958</v>
      </c>
      <c r="C1335" t="s">
        <v>22</v>
      </c>
      <c r="D1335" t="s">
        <v>25</v>
      </c>
      <c r="E1335" s="2">
        <v>20.149999999999999</v>
      </c>
      <c r="F1335" s="3">
        <v>59.27</v>
      </c>
      <c r="G1335" s="4">
        <v>241.58</v>
      </c>
      <c r="H1335">
        <v>1.2</v>
      </c>
      <c r="I1335" s="4">
        <v>289.89999999999998</v>
      </c>
      <c r="J1335">
        <v>4.2</v>
      </c>
      <c r="K1335" t="s">
        <v>30</v>
      </c>
      <c r="L1335" t="s">
        <v>16</v>
      </c>
      <c r="O1335"/>
    </row>
    <row r="1336" spans="1:15" x14ac:dyDescent="0.3">
      <c r="A1336" t="s">
        <v>1360</v>
      </c>
      <c r="B1336" s="1">
        <v>45906</v>
      </c>
      <c r="C1336" t="s">
        <v>22</v>
      </c>
      <c r="D1336" t="s">
        <v>14</v>
      </c>
      <c r="E1336" s="2">
        <v>16.850000000000001</v>
      </c>
      <c r="F1336" s="3">
        <v>48.39</v>
      </c>
      <c r="G1336" s="4">
        <v>294.64999999999998</v>
      </c>
      <c r="H1336">
        <v>1</v>
      </c>
      <c r="I1336" s="4">
        <v>294.64999999999998</v>
      </c>
      <c r="J1336">
        <v>3.7</v>
      </c>
      <c r="K1336" t="s">
        <v>18</v>
      </c>
      <c r="L1336" t="s">
        <v>19</v>
      </c>
      <c r="O1336"/>
    </row>
    <row r="1337" spans="1:15" x14ac:dyDescent="0.3">
      <c r="A1337" t="s">
        <v>1361</v>
      </c>
      <c r="B1337" s="1">
        <v>45745</v>
      </c>
      <c r="C1337" t="s">
        <v>14</v>
      </c>
      <c r="D1337" t="s">
        <v>21</v>
      </c>
      <c r="E1337" s="2">
        <v>2.13</v>
      </c>
      <c r="F1337" s="3">
        <v>5.09</v>
      </c>
      <c r="G1337" s="4">
        <v>32.729999999999997</v>
      </c>
      <c r="H1337">
        <v>2</v>
      </c>
      <c r="I1337" s="4">
        <v>65.459999999999994</v>
      </c>
      <c r="J1337">
        <v>3.7</v>
      </c>
      <c r="K1337" t="s">
        <v>36</v>
      </c>
      <c r="L1337" t="s">
        <v>16</v>
      </c>
      <c r="O1337"/>
    </row>
    <row r="1338" spans="1:15" x14ac:dyDescent="0.3">
      <c r="A1338" t="s">
        <v>1362</v>
      </c>
      <c r="B1338" s="1">
        <v>45730</v>
      </c>
      <c r="C1338" t="s">
        <v>13</v>
      </c>
      <c r="D1338" t="s">
        <v>25</v>
      </c>
      <c r="E1338" s="2">
        <v>25.43</v>
      </c>
      <c r="F1338" s="3">
        <v>66.28</v>
      </c>
      <c r="G1338" s="4">
        <v>363.51</v>
      </c>
      <c r="H1338">
        <v>1</v>
      </c>
      <c r="I1338" s="4">
        <v>363.51</v>
      </c>
      <c r="J1338">
        <v>4.5999999999999996</v>
      </c>
      <c r="K1338" t="s">
        <v>36</v>
      </c>
      <c r="L1338" t="s">
        <v>28</v>
      </c>
      <c r="O1338"/>
    </row>
    <row r="1339" spans="1:15" x14ac:dyDescent="0.3">
      <c r="A1339" t="s">
        <v>1363</v>
      </c>
      <c r="B1339" s="1">
        <v>45903</v>
      </c>
      <c r="C1339" t="s">
        <v>21</v>
      </c>
      <c r="D1339" t="s">
        <v>22</v>
      </c>
      <c r="E1339" s="2">
        <v>1.9</v>
      </c>
      <c r="F1339" s="3">
        <v>7.4</v>
      </c>
      <c r="G1339" s="4">
        <v>23.57</v>
      </c>
      <c r="H1339">
        <v>1.2</v>
      </c>
      <c r="I1339" s="4">
        <v>28.28</v>
      </c>
      <c r="J1339">
        <v>4.4000000000000004</v>
      </c>
      <c r="K1339" t="s">
        <v>36</v>
      </c>
      <c r="L1339" t="s">
        <v>19</v>
      </c>
      <c r="O1339"/>
    </row>
    <row r="1340" spans="1:15" x14ac:dyDescent="0.3">
      <c r="A1340" t="s">
        <v>1364</v>
      </c>
      <c r="B1340" s="1">
        <v>45967</v>
      </c>
      <c r="C1340" t="s">
        <v>14</v>
      </c>
      <c r="D1340" t="s">
        <v>21</v>
      </c>
      <c r="E1340" s="2">
        <v>27.93</v>
      </c>
      <c r="F1340" s="3">
        <v>88.24</v>
      </c>
      <c r="G1340" s="4">
        <v>465.6</v>
      </c>
      <c r="H1340">
        <v>1.5</v>
      </c>
      <c r="I1340" s="4">
        <v>698.4</v>
      </c>
      <c r="J1340">
        <v>4.4000000000000004</v>
      </c>
      <c r="K1340" t="s">
        <v>15</v>
      </c>
      <c r="L1340" t="s">
        <v>16</v>
      </c>
      <c r="O1340"/>
    </row>
    <row r="1341" spans="1:15" x14ac:dyDescent="0.3">
      <c r="A1341" t="s">
        <v>1365</v>
      </c>
      <c r="B1341" s="1">
        <v>45768</v>
      </c>
      <c r="C1341" t="s">
        <v>13</v>
      </c>
      <c r="D1341" t="s">
        <v>25</v>
      </c>
      <c r="E1341" s="2">
        <v>7.85</v>
      </c>
      <c r="F1341" s="3">
        <v>26.08</v>
      </c>
      <c r="G1341" s="4">
        <v>109.27</v>
      </c>
      <c r="H1341">
        <v>1</v>
      </c>
      <c r="I1341" s="4">
        <v>109.27</v>
      </c>
      <c r="J1341">
        <v>4.5</v>
      </c>
      <c r="K1341" t="s">
        <v>30</v>
      </c>
      <c r="L1341" t="s">
        <v>19</v>
      </c>
      <c r="O1341"/>
    </row>
    <row r="1342" spans="1:15" x14ac:dyDescent="0.3">
      <c r="A1342" t="s">
        <v>1366</v>
      </c>
      <c r="B1342" s="1">
        <v>45714</v>
      </c>
      <c r="C1342" t="s">
        <v>21</v>
      </c>
      <c r="D1342" t="s">
        <v>13</v>
      </c>
      <c r="E1342" s="2">
        <v>12.23</v>
      </c>
      <c r="F1342" s="3">
        <v>32.93</v>
      </c>
      <c r="G1342" s="4">
        <v>224.53</v>
      </c>
      <c r="H1342">
        <v>1.5</v>
      </c>
      <c r="I1342" s="4">
        <v>336.8</v>
      </c>
      <c r="J1342">
        <v>3.5</v>
      </c>
      <c r="K1342" t="s">
        <v>33</v>
      </c>
      <c r="L1342" t="s">
        <v>26</v>
      </c>
      <c r="O1342"/>
    </row>
    <row r="1343" spans="1:15" x14ac:dyDescent="0.3">
      <c r="A1343" t="s">
        <v>1367</v>
      </c>
      <c r="B1343" s="1">
        <v>45677</v>
      </c>
      <c r="C1343" t="s">
        <v>14</v>
      </c>
      <c r="D1343" t="s">
        <v>22</v>
      </c>
      <c r="E1343" s="2">
        <v>8.2100000000000009</v>
      </c>
      <c r="F1343" s="3">
        <v>16.670000000000002</v>
      </c>
      <c r="G1343" s="4">
        <v>95.79</v>
      </c>
      <c r="H1343">
        <v>1.2</v>
      </c>
      <c r="I1343" s="4">
        <v>114.95</v>
      </c>
      <c r="J1343">
        <v>3.4</v>
      </c>
      <c r="K1343" t="s">
        <v>18</v>
      </c>
      <c r="L1343" t="s">
        <v>16</v>
      </c>
      <c r="O1343"/>
    </row>
    <row r="1344" spans="1:15" x14ac:dyDescent="0.3">
      <c r="A1344" t="s">
        <v>1368</v>
      </c>
      <c r="B1344" s="1">
        <v>45936</v>
      </c>
      <c r="C1344" t="s">
        <v>25</v>
      </c>
      <c r="D1344" t="s">
        <v>25</v>
      </c>
      <c r="E1344" s="2">
        <v>1.61</v>
      </c>
      <c r="F1344" s="3">
        <v>3.34</v>
      </c>
      <c r="G1344" s="4">
        <v>30.63</v>
      </c>
      <c r="H1344">
        <v>1.5</v>
      </c>
      <c r="I1344" s="4">
        <v>45.94</v>
      </c>
      <c r="J1344">
        <v>3.7</v>
      </c>
      <c r="K1344" t="s">
        <v>36</v>
      </c>
      <c r="L1344" t="s">
        <v>16</v>
      </c>
      <c r="O1344"/>
    </row>
    <row r="1345" spans="1:15" x14ac:dyDescent="0.3">
      <c r="A1345" t="s">
        <v>1369</v>
      </c>
      <c r="B1345" s="1">
        <v>45709</v>
      </c>
      <c r="C1345" t="s">
        <v>25</v>
      </c>
      <c r="D1345" t="s">
        <v>22</v>
      </c>
      <c r="E1345" s="2">
        <v>7.62</v>
      </c>
      <c r="F1345" s="3">
        <v>26.52</v>
      </c>
      <c r="G1345" s="4">
        <v>99.8</v>
      </c>
      <c r="H1345">
        <v>1.5</v>
      </c>
      <c r="I1345" s="4">
        <v>149.69999999999999</v>
      </c>
      <c r="J1345">
        <v>4.5999999999999996</v>
      </c>
      <c r="K1345" t="s">
        <v>30</v>
      </c>
      <c r="L1345" t="s">
        <v>26</v>
      </c>
      <c r="O1345"/>
    </row>
    <row r="1346" spans="1:15" x14ac:dyDescent="0.3">
      <c r="A1346" t="s">
        <v>1370</v>
      </c>
      <c r="B1346" s="1">
        <v>45825</v>
      </c>
      <c r="C1346" t="s">
        <v>14</v>
      </c>
      <c r="D1346" t="s">
        <v>22</v>
      </c>
      <c r="E1346" s="2">
        <v>12.65</v>
      </c>
      <c r="F1346" s="3">
        <v>27.23</v>
      </c>
      <c r="G1346" s="4">
        <v>219.19</v>
      </c>
      <c r="H1346">
        <v>2</v>
      </c>
      <c r="I1346" s="4">
        <v>438.38</v>
      </c>
      <c r="J1346">
        <v>3.8</v>
      </c>
      <c r="K1346" t="s">
        <v>18</v>
      </c>
      <c r="L1346" t="s">
        <v>28</v>
      </c>
      <c r="O1346"/>
    </row>
    <row r="1347" spans="1:15" x14ac:dyDescent="0.3">
      <c r="A1347" t="s">
        <v>1371</v>
      </c>
      <c r="B1347" s="1">
        <v>45900</v>
      </c>
      <c r="C1347" t="s">
        <v>21</v>
      </c>
      <c r="D1347" t="s">
        <v>13</v>
      </c>
      <c r="E1347" s="2">
        <v>20.329999999999998</v>
      </c>
      <c r="F1347" s="3">
        <v>52.22</v>
      </c>
      <c r="G1347" s="4">
        <v>322.39</v>
      </c>
      <c r="H1347">
        <v>1</v>
      </c>
      <c r="I1347" s="4">
        <v>322.39</v>
      </c>
      <c r="J1347">
        <v>3.9</v>
      </c>
      <c r="K1347" t="s">
        <v>36</v>
      </c>
      <c r="L1347" t="s">
        <v>28</v>
      </c>
      <c r="O1347"/>
    </row>
    <row r="1348" spans="1:15" x14ac:dyDescent="0.3">
      <c r="A1348" t="s">
        <v>1372</v>
      </c>
      <c r="B1348" s="1">
        <v>45797</v>
      </c>
      <c r="C1348" t="s">
        <v>22</v>
      </c>
      <c r="D1348" t="s">
        <v>21</v>
      </c>
      <c r="E1348" s="2">
        <v>27.59</v>
      </c>
      <c r="F1348" s="3">
        <v>110.18</v>
      </c>
      <c r="G1348" s="4">
        <v>318.3</v>
      </c>
      <c r="H1348">
        <v>1.5</v>
      </c>
      <c r="I1348" s="4">
        <v>477.45</v>
      </c>
      <c r="J1348">
        <v>4.3</v>
      </c>
      <c r="K1348" t="s">
        <v>15</v>
      </c>
      <c r="L1348" t="s">
        <v>28</v>
      </c>
      <c r="O1348"/>
    </row>
    <row r="1349" spans="1:15" x14ac:dyDescent="0.3">
      <c r="A1349" t="s">
        <v>1373</v>
      </c>
      <c r="B1349" s="1">
        <v>45925</v>
      </c>
      <c r="C1349" t="s">
        <v>25</v>
      </c>
      <c r="D1349" t="s">
        <v>14</v>
      </c>
      <c r="E1349" s="2">
        <v>18.13</v>
      </c>
      <c r="F1349" s="3">
        <v>54.6</v>
      </c>
      <c r="G1349" s="4">
        <v>184.56</v>
      </c>
      <c r="H1349">
        <v>1.2</v>
      </c>
      <c r="I1349" s="4">
        <v>221.47</v>
      </c>
      <c r="J1349">
        <v>4.9000000000000004</v>
      </c>
      <c r="K1349" t="s">
        <v>33</v>
      </c>
      <c r="L1349" t="s">
        <v>28</v>
      </c>
      <c r="O1349"/>
    </row>
    <row r="1350" spans="1:15" x14ac:dyDescent="0.3">
      <c r="A1350" t="s">
        <v>1374</v>
      </c>
      <c r="B1350" s="1">
        <v>45746</v>
      </c>
      <c r="C1350" t="s">
        <v>22</v>
      </c>
      <c r="D1350" t="s">
        <v>13</v>
      </c>
      <c r="E1350" s="2">
        <v>20.96</v>
      </c>
      <c r="F1350" s="3">
        <v>74.83</v>
      </c>
      <c r="G1350" s="4">
        <v>376.29</v>
      </c>
      <c r="H1350">
        <v>1</v>
      </c>
      <c r="I1350" s="4">
        <v>376.29</v>
      </c>
      <c r="J1350">
        <v>4</v>
      </c>
      <c r="K1350" t="s">
        <v>33</v>
      </c>
      <c r="L1350" t="s">
        <v>28</v>
      </c>
      <c r="O1350"/>
    </row>
    <row r="1351" spans="1:15" x14ac:dyDescent="0.3">
      <c r="A1351" t="s">
        <v>1375</v>
      </c>
      <c r="B1351" s="1">
        <v>45985</v>
      </c>
      <c r="C1351" t="s">
        <v>13</v>
      </c>
      <c r="D1351" t="s">
        <v>21</v>
      </c>
      <c r="E1351" s="2">
        <v>25.05</v>
      </c>
      <c r="F1351" s="3">
        <v>65.260000000000005</v>
      </c>
      <c r="G1351" s="4">
        <v>367.67</v>
      </c>
      <c r="H1351">
        <v>1</v>
      </c>
      <c r="I1351" s="4">
        <v>367.67</v>
      </c>
      <c r="J1351">
        <v>4</v>
      </c>
      <c r="K1351" t="s">
        <v>15</v>
      </c>
      <c r="L1351" t="s">
        <v>19</v>
      </c>
      <c r="O1351"/>
    </row>
    <row r="1352" spans="1:15" x14ac:dyDescent="0.3">
      <c r="A1352" t="s">
        <v>1376</v>
      </c>
      <c r="B1352" s="1">
        <v>45801</v>
      </c>
      <c r="C1352" t="s">
        <v>22</v>
      </c>
      <c r="D1352" t="s">
        <v>21</v>
      </c>
      <c r="E1352" s="2">
        <v>24.28</v>
      </c>
      <c r="F1352" s="3">
        <v>60.55</v>
      </c>
      <c r="G1352" s="4">
        <v>461.23</v>
      </c>
      <c r="H1352">
        <v>1.2</v>
      </c>
      <c r="I1352" s="4">
        <v>553.48</v>
      </c>
      <c r="J1352">
        <v>3.9</v>
      </c>
      <c r="K1352" t="s">
        <v>33</v>
      </c>
      <c r="L1352" t="s">
        <v>19</v>
      </c>
      <c r="O1352"/>
    </row>
    <row r="1353" spans="1:15" x14ac:dyDescent="0.3">
      <c r="A1353" t="s">
        <v>1377</v>
      </c>
      <c r="B1353" s="1">
        <v>45864</v>
      </c>
      <c r="C1353" t="s">
        <v>21</v>
      </c>
      <c r="D1353" t="s">
        <v>14</v>
      </c>
      <c r="E1353" s="2">
        <v>16.09</v>
      </c>
      <c r="F1353" s="3">
        <v>53.97</v>
      </c>
      <c r="G1353" s="4">
        <v>286.16000000000003</v>
      </c>
      <c r="H1353">
        <v>2</v>
      </c>
      <c r="I1353" s="4">
        <v>572.32000000000005</v>
      </c>
      <c r="J1353">
        <v>3.9</v>
      </c>
      <c r="K1353" t="s">
        <v>30</v>
      </c>
      <c r="L1353" t="s">
        <v>19</v>
      </c>
      <c r="O1353"/>
    </row>
    <row r="1354" spans="1:15" x14ac:dyDescent="0.3">
      <c r="A1354" t="s">
        <v>1378</v>
      </c>
      <c r="B1354" s="1">
        <v>45996</v>
      </c>
      <c r="C1354" t="s">
        <v>13</v>
      </c>
      <c r="D1354" t="s">
        <v>21</v>
      </c>
      <c r="E1354" s="2">
        <v>12.25</v>
      </c>
      <c r="F1354" s="3">
        <v>30.44</v>
      </c>
      <c r="G1354" s="4">
        <v>235.75</v>
      </c>
      <c r="H1354">
        <v>1.5</v>
      </c>
      <c r="I1354" s="4">
        <v>353.62</v>
      </c>
      <c r="J1354">
        <v>3.7</v>
      </c>
      <c r="K1354" t="s">
        <v>30</v>
      </c>
      <c r="L1354" t="s">
        <v>26</v>
      </c>
      <c r="O1354"/>
    </row>
    <row r="1355" spans="1:15" x14ac:dyDescent="0.3">
      <c r="A1355" t="s">
        <v>1379</v>
      </c>
      <c r="B1355" s="1">
        <v>45680</v>
      </c>
      <c r="C1355" t="s">
        <v>14</v>
      </c>
      <c r="D1355" t="s">
        <v>21</v>
      </c>
      <c r="E1355" s="2">
        <v>19.07</v>
      </c>
      <c r="F1355" s="3">
        <v>40.98</v>
      </c>
      <c r="G1355" s="4">
        <v>286.75</v>
      </c>
      <c r="H1355">
        <v>1</v>
      </c>
      <c r="I1355" s="4">
        <v>286.75</v>
      </c>
      <c r="J1355">
        <v>3.1</v>
      </c>
      <c r="K1355" t="s">
        <v>33</v>
      </c>
      <c r="L1355" t="s">
        <v>26</v>
      </c>
      <c r="O1355"/>
    </row>
    <row r="1356" spans="1:15" x14ac:dyDescent="0.3">
      <c r="A1356" t="s">
        <v>1380</v>
      </c>
      <c r="B1356" s="1">
        <v>45720</v>
      </c>
      <c r="C1356" t="s">
        <v>13</v>
      </c>
      <c r="D1356" t="s">
        <v>14</v>
      </c>
      <c r="E1356" s="2">
        <v>19.48</v>
      </c>
      <c r="F1356" s="3">
        <v>60.65</v>
      </c>
      <c r="G1356" s="4">
        <v>338.62</v>
      </c>
      <c r="H1356">
        <v>1.5</v>
      </c>
      <c r="I1356" s="4">
        <v>507.93</v>
      </c>
      <c r="J1356">
        <v>3.5</v>
      </c>
      <c r="K1356" t="s">
        <v>33</v>
      </c>
      <c r="L1356" t="s">
        <v>19</v>
      </c>
      <c r="O1356"/>
    </row>
    <row r="1357" spans="1:15" x14ac:dyDescent="0.3">
      <c r="A1357" t="s">
        <v>1381</v>
      </c>
      <c r="B1357" s="1">
        <v>45864</v>
      </c>
      <c r="C1357" t="s">
        <v>14</v>
      </c>
      <c r="D1357" t="s">
        <v>14</v>
      </c>
      <c r="E1357" s="2">
        <v>14.34</v>
      </c>
      <c r="F1357" s="3">
        <v>37.22</v>
      </c>
      <c r="G1357" s="4">
        <v>148.12</v>
      </c>
      <c r="H1357">
        <v>1</v>
      </c>
      <c r="I1357" s="4">
        <v>148.12</v>
      </c>
      <c r="J1357">
        <v>4.3</v>
      </c>
      <c r="K1357" t="s">
        <v>36</v>
      </c>
      <c r="L1357" t="s">
        <v>26</v>
      </c>
      <c r="O1357"/>
    </row>
    <row r="1358" spans="1:15" x14ac:dyDescent="0.3">
      <c r="A1358" t="s">
        <v>1382</v>
      </c>
      <c r="B1358" s="1">
        <v>45844</v>
      </c>
      <c r="C1358" t="s">
        <v>14</v>
      </c>
      <c r="D1358" t="s">
        <v>21</v>
      </c>
      <c r="E1358" s="2">
        <v>9.2100000000000009</v>
      </c>
      <c r="F1358" s="3">
        <v>19.12</v>
      </c>
      <c r="G1358" s="4">
        <v>183.7</v>
      </c>
      <c r="H1358">
        <v>1</v>
      </c>
      <c r="I1358" s="4">
        <v>183.7</v>
      </c>
      <c r="J1358">
        <v>4.8</v>
      </c>
      <c r="K1358" t="s">
        <v>33</v>
      </c>
      <c r="L1358" t="s">
        <v>19</v>
      </c>
      <c r="O1358"/>
    </row>
    <row r="1359" spans="1:15" x14ac:dyDescent="0.3">
      <c r="A1359" t="s">
        <v>1383</v>
      </c>
      <c r="B1359" s="1">
        <v>45685</v>
      </c>
      <c r="C1359" t="s">
        <v>13</v>
      </c>
      <c r="D1359" t="s">
        <v>25</v>
      </c>
      <c r="E1359" s="2">
        <v>14.12</v>
      </c>
      <c r="F1359" s="3">
        <v>29.46</v>
      </c>
      <c r="G1359" s="4">
        <v>184.92</v>
      </c>
      <c r="H1359">
        <v>1</v>
      </c>
      <c r="I1359" s="4">
        <v>184.92</v>
      </c>
      <c r="J1359">
        <v>4.7</v>
      </c>
      <c r="K1359" t="s">
        <v>33</v>
      </c>
      <c r="L1359" t="s">
        <v>26</v>
      </c>
      <c r="O1359"/>
    </row>
    <row r="1360" spans="1:15" x14ac:dyDescent="0.3">
      <c r="A1360" t="s">
        <v>1384</v>
      </c>
      <c r="B1360" s="1">
        <v>45867</v>
      </c>
      <c r="C1360" t="s">
        <v>14</v>
      </c>
      <c r="D1360" t="s">
        <v>25</v>
      </c>
      <c r="E1360" s="2">
        <v>19.97</v>
      </c>
      <c r="F1360" s="3">
        <v>50.94</v>
      </c>
      <c r="G1360" s="4">
        <v>392.96</v>
      </c>
      <c r="H1360">
        <v>2</v>
      </c>
      <c r="I1360" s="4">
        <v>785.92</v>
      </c>
      <c r="J1360">
        <v>3.4</v>
      </c>
      <c r="K1360" t="s">
        <v>15</v>
      </c>
      <c r="L1360" t="s">
        <v>26</v>
      </c>
      <c r="O1360"/>
    </row>
    <row r="1361" spans="1:15" x14ac:dyDescent="0.3">
      <c r="A1361" t="s">
        <v>1385</v>
      </c>
      <c r="B1361" s="1">
        <v>45987</v>
      </c>
      <c r="C1361" t="s">
        <v>14</v>
      </c>
      <c r="D1361" t="s">
        <v>14</v>
      </c>
      <c r="E1361" s="2">
        <v>6.55</v>
      </c>
      <c r="F1361" s="3">
        <v>17.2</v>
      </c>
      <c r="G1361" s="4">
        <v>97.34</v>
      </c>
      <c r="H1361">
        <v>1</v>
      </c>
      <c r="I1361" s="4">
        <v>97.34</v>
      </c>
      <c r="J1361">
        <v>3.5</v>
      </c>
      <c r="K1361" t="s">
        <v>18</v>
      </c>
      <c r="L1361" t="s">
        <v>19</v>
      </c>
      <c r="O1361"/>
    </row>
    <row r="1362" spans="1:15" x14ac:dyDescent="0.3">
      <c r="A1362" t="s">
        <v>1386</v>
      </c>
      <c r="B1362" s="1">
        <v>45910</v>
      </c>
      <c r="C1362" t="s">
        <v>14</v>
      </c>
      <c r="D1362" t="s">
        <v>21</v>
      </c>
      <c r="E1362" s="2">
        <v>13.06</v>
      </c>
      <c r="F1362" s="3">
        <v>44.94</v>
      </c>
      <c r="G1362" s="4">
        <v>250.53</v>
      </c>
      <c r="H1362">
        <v>1.2</v>
      </c>
      <c r="I1362" s="4">
        <v>300.64</v>
      </c>
      <c r="J1362">
        <v>4.4000000000000004</v>
      </c>
      <c r="K1362" t="s">
        <v>33</v>
      </c>
      <c r="L1362" t="s">
        <v>19</v>
      </c>
      <c r="O1362"/>
    </row>
    <row r="1363" spans="1:15" x14ac:dyDescent="0.3">
      <c r="A1363" t="s">
        <v>1387</v>
      </c>
      <c r="B1363" s="1">
        <v>45870</v>
      </c>
      <c r="C1363" t="s">
        <v>14</v>
      </c>
      <c r="D1363" t="s">
        <v>22</v>
      </c>
      <c r="E1363" s="2">
        <v>16</v>
      </c>
      <c r="F1363" s="3">
        <v>61.06</v>
      </c>
      <c r="G1363" s="4">
        <v>288.7</v>
      </c>
      <c r="H1363">
        <v>1</v>
      </c>
      <c r="I1363" s="4">
        <v>288.7</v>
      </c>
      <c r="J1363">
        <v>3</v>
      </c>
      <c r="K1363" t="s">
        <v>30</v>
      </c>
      <c r="L1363" t="s">
        <v>28</v>
      </c>
      <c r="O1363"/>
    </row>
    <row r="1364" spans="1:15" x14ac:dyDescent="0.3">
      <c r="A1364" t="s">
        <v>1388</v>
      </c>
      <c r="B1364" s="1">
        <v>45749</v>
      </c>
      <c r="C1364" t="s">
        <v>13</v>
      </c>
      <c r="D1364" t="s">
        <v>22</v>
      </c>
      <c r="E1364" s="2">
        <v>4.28</v>
      </c>
      <c r="F1364" s="3">
        <v>15.18</v>
      </c>
      <c r="G1364" s="4">
        <v>63.85</v>
      </c>
      <c r="H1364">
        <v>1.2</v>
      </c>
      <c r="I1364" s="4">
        <v>76.62</v>
      </c>
      <c r="J1364">
        <v>4.8</v>
      </c>
      <c r="K1364" t="s">
        <v>30</v>
      </c>
      <c r="L1364" t="s">
        <v>16</v>
      </c>
      <c r="O1364"/>
    </row>
    <row r="1365" spans="1:15" x14ac:dyDescent="0.3">
      <c r="A1365" t="s">
        <v>1389</v>
      </c>
      <c r="B1365" s="1">
        <v>45875</v>
      </c>
      <c r="C1365" t="s">
        <v>25</v>
      </c>
      <c r="D1365" t="s">
        <v>14</v>
      </c>
      <c r="E1365" s="2">
        <v>14.98</v>
      </c>
      <c r="F1365" s="3">
        <v>32.07</v>
      </c>
      <c r="G1365" s="4">
        <v>191.47</v>
      </c>
      <c r="H1365">
        <v>1.2</v>
      </c>
      <c r="I1365" s="4">
        <v>229.76</v>
      </c>
      <c r="J1365">
        <v>3.3</v>
      </c>
      <c r="K1365" t="s">
        <v>33</v>
      </c>
      <c r="L1365" t="s">
        <v>19</v>
      </c>
      <c r="O1365"/>
    </row>
    <row r="1366" spans="1:15" x14ac:dyDescent="0.3">
      <c r="A1366" t="s">
        <v>1390</v>
      </c>
      <c r="B1366" s="1">
        <v>45984</v>
      </c>
      <c r="C1366" t="s">
        <v>25</v>
      </c>
      <c r="D1366" t="s">
        <v>21</v>
      </c>
      <c r="E1366" s="2">
        <v>27.44</v>
      </c>
      <c r="F1366" s="3">
        <v>85.29</v>
      </c>
      <c r="G1366" s="4">
        <v>419.05</v>
      </c>
      <c r="H1366">
        <v>1.5</v>
      </c>
      <c r="I1366" s="4">
        <v>628.58000000000004</v>
      </c>
      <c r="J1366">
        <v>4</v>
      </c>
      <c r="K1366" t="s">
        <v>15</v>
      </c>
      <c r="L1366" t="s">
        <v>26</v>
      </c>
      <c r="O1366"/>
    </row>
    <row r="1367" spans="1:15" x14ac:dyDescent="0.3">
      <c r="A1367" t="s">
        <v>1391</v>
      </c>
      <c r="B1367" s="1">
        <v>45891</v>
      </c>
      <c r="C1367" t="s">
        <v>25</v>
      </c>
      <c r="D1367" t="s">
        <v>14</v>
      </c>
      <c r="E1367" s="2">
        <v>27.62</v>
      </c>
      <c r="F1367" s="3">
        <v>66.150000000000006</v>
      </c>
      <c r="G1367" s="4">
        <v>548.01</v>
      </c>
      <c r="H1367">
        <v>1</v>
      </c>
      <c r="I1367" s="4">
        <v>548.01</v>
      </c>
      <c r="J1367">
        <v>3.3</v>
      </c>
      <c r="K1367" t="s">
        <v>18</v>
      </c>
      <c r="L1367" t="s">
        <v>16</v>
      </c>
      <c r="O1367"/>
    </row>
    <row r="1368" spans="1:15" x14ac:dyDescent="0.3">
      <c r="A1368" t="s">
        <v>1392</v>
      </c>
      <c r="B1368" s="1">
        <v>45788</v>
      </c>
      <c r="C1368" t="s">
        <v>22</v>
      </c>
      <c r="D1368" t="s">
        <v>14</v>
      </c>
      <c r="E1368" s="2">
        <v>20.03</v>
      </c>
      <c r="F1368" s="3">
        <v>58.95</v>
      </c>
      <c r="G1368" s="4">
        <v>314.8</v>
      </c>
      <c r="H1368">
        <v>1.2</v>
      </c>
      <c r="I1368" s="4">
        <v>377.76</v>
      </c>
      <c r="J1368">
        <v>4.9000000000000004</v>
      </c>
      <c r="K1368" t="s">
        <v>36</v>
      </c>
      <c r="L1368" t="s">
        <v>28</v>
      </c>
      <c r="O1368"/>
    </row>
    <row r="1369" spans="1:15" x14ac:dyDescent="0.3">
      <c r="A1369" t="s">
        <v>1393</v>
      </c>
      <c r="B1369" s="1">
        <v>45820</v>
      </c>
      <c r="C1369" t="s">
        <v>25</v>
      </c>
      <c r="D1369" t="s">
        <v>14</v>
      </c>
      <c r="E1369" s="2">
        <v>19.16</v>
      </c>
      <c r="F1369" s="3">
        <v>72.47</v>
      </c>
      <c r="G1369" s="4">
        <v>288.48</v>
      </c>
      <c r="H1369">
        <v>1</v>
      </c>
      <c r="I1369" s="4">
        <v>288.48</v>
      </c>
      <c r="J1369">
        <v>4.2</v>
      </c>
      <c r="K1369" t="s">
        <v>18</v>
      </c>
      <c r="L1369" t="s">
        <v>16</v>
      </c>
      <c r="O1369"/>
    </row>
    <row r="1370" spans="1:15" x14ac:dyDescent="0.3">
      <c r="A1370" t="s">
        <v>1394</v>
      </c>
      <c r="B1370" s="1">
        <v>45740</v>
      </c>
      <c r="C1370" t="s">
        <v>13</v>
      </c>
      <c r="D1370" t="s">
        <v>13</v>
      </c>
      <c r="E1370" s="2">
        <v>4.01</v>
      </c>
      <c r="F1370" s="3">
        <v>15.74</v>
      </c>
      <c r="G1370" s="4">
        <v>75.8</v>
      </c>
      <c r="H1370">
        <v>2</v>
      </c>
      <c r="I1370" s="4">
        <v>151.6</v>
      </c>
      <c r="J1370">
        <v>4.2</v>
      </c>
      <c r="K1370" t="s">
        <v>18</v>
      </c>
      <c r="L1370" t="s">
        <v>19</v>
      </c>
      <c r="O1370"/>
    </row>
    <row r="1371" spans="1:15" x14ac:dyDescent="0.3">
      <c r="A1371" t="s">
        <v>1395</v>
      </c>
      <c r="B1371" s="1">
        <v>45804</v>
      </c>
      <c r="C1371" t="s">
        <v>22</v>
      </c>
      <c r="D1371" t="s">
        <v>22</v>
      </c>
      <c r="E1371" s="2">
        <v>16.03</v>
      </c>
      <c r="F1371" s="3">
        <v>46.87</v>
      </c>
      <c r="G1371" s="4">
        <v>210.7</v>
      </c>
      <c r="H1371">
        <v>1</v>
      </c>
      <c r="I1371" s="4">
        <v>210.7</v>
      </c>
      <c r="J1371">
        <v>4.5</v>
      </c>
      <c r="K1371" t="s">
        <v>15</v>
      </c>
      <c r="L1371" t="s">
        <v>19</v>
      </c>
      <c r="O1371"/>
    </row>
    <row r="1372" spans="1:15" x14ac:dyDescent="0.3">
      <c r="A1372" t="s">
        <v>1396</v>
      </c>
      <c r="B1372" s="1">
        <v>45683</v>
      </c>
      <c r="C1372" t="s">
        <v>22</v>
      </c>
      <c r="D1372" t="s">
        <v>13</v>
      </c>
      <c r="E1372" s="2">
        <v>26.07</v>
      </c>
      <c r="F1372" s="3">
        <v>78.19</v>
      </c>
      <c r="G1372" s="4">
        <v>375.02</v>
      </c>
      <c r="H1372">
        <v>2</v>
      </c>
      <c r="I1372" s="4">
        <v>750.04</v>
      </c>
      <c r="J1372">
        <v>3.1</v>
      </c>
      <c r="K1372" t="s">
        <v>36</v>
      </c>
      <c r="L1372" t="s">
        <v>26</v>
      </c>
      <c r="O1372"/>
    </row>
    <row r="1373" spans="1:15" x14ac:dyDescent="0.3">
      <c r="A1373" t="s">
        <v>1397</v>
      </c>
      <c r="B1373" s="1">
        <v>45841</v>
      </c>
      <c r="C1373" t="s">
        <v>14</v>
      </c>
      <c r="D1373" t="s">
        <v>25</v>
      </c>
      <c r="E1373" s="2">
        <v>4.83</v>
      </c>
      <c r="F1373" s="3">
        <v>16.97</v>
      </c>
      <c r="G1373" s="4">
        <v>61.63</v>
      </c>
      <c r="H1373">
        <v>1</v>
      </c>
      <c r="I1373" s="4">
        <v>61.63</v>
      </c>
      <c r="J1373">
        <v>4</v>
      </c>
      <c r="K1373" t="s">
        <v>33</v>
      </c>
      <c r="L1373" t="s">
        <v>26</v>
      </c>
      <c r="O1373"/>
    </row>
    <row r="1374" spans="1:15" x14ac:dyDescent="0.3">
      <c r="A1374" t="s">
        <v>1398</v>
      </c>
      <c r="B1374" s="1">
        <v>45733</v>
      </c>
      <c r="C1374" t="s">
        <v>13</v>
      </c>
      <c r="D1374" t="s">
        <v>25</v>
      </c>
      <c r="E1374" s="2">
        <v>11.04</v>
      </c>
      <c r="F1374" s="3">
        <v>39.909999999999997</v>
      </c>
      <c r="G1374" s="4">
        <v>149.75</v>
      </c>
      <c r="H1374">
        <v>2</v>
      </c>
      <c r="I1374" s="4">
        <v>299.5</v>
      </c>
      <c r="J1374">
        <v>4</v>
      </c>
      <c r="K1374" t="s">
        <v>36</v>
      </c>
      <c r="L1374" t="s">
        <v>19</v>
      </c>
      <c r="O1374"/>
    </row>
    <row r="1375" spans="1:15" x14ac:dyDescent="0.3">
      <c r="A1375" t="s">
        <v>1399</v>
      </c>
      <c r="B1375" s="1">
        <v>45813</v>
      </c>
      <c r="C1375" t="s">
        <v>13</v>
      </c>
      <c r="D1375" t="s">
        <v>22</v>
      </c>
      <c r="E1375" s="2">
        <v>19.93</v>
      </c>
      <c r="F1375" s="3">
        <v>58.04</v>
      </c>
      <c r="G1375" s="4">
        <v>278.58</v>
      </c>
      <c r="H1375">
        <v>1</v>
      </c>
      <c r="I1375" s="4">
        <v>278.58</v>
      </c>
      <c r="J1375">
        <v>3.5</v>
      </c>
      <c r="K1375" t="s">
        <v>30</v>
      </c>
      <c r="L1375" t="s">
        <v>19</v>
      </c>
      <c r="O1375"/>
    </row>
    <row r="1376" spans="1:15" x14ac:dyDescent="0.3">
      <c r="A1376" t="s">
        <v>1400</v>
      </c>
      <c r="B1376" s="1">
        <v>45701</v>
      </c>
      <c r="C1376" t="s">
        <v>13</v>
      </c>
      <c r="D1376" t="s">
        <v>25</v>
      </c>
      <c r="E1376" s="2">
        <v>4.91</v>
      </c>
      <c r="F1376" s="3">
        <v>12.91</v>
      </c>
      <c r="G1376" s="4">
        <v>72.94</v>
      </c>
      <c r="H1376">
        <v>1</v>
      </c>
      <c r="I1376" s="4">
        <v>72.94</v>
      </c>
      <c r="J1376">
        <v>4.8</v>
      </c>
      <c r="K1376" t="s">
        <v>33</v>
      </c>
      <c r="L1376" t="s">
        <v>16</v>
      </c>
      <c r="O1376"/>
    </row>
    <row r="1377" spans="1:15" x14ac:dyDescent="0.3">
      <c r="A1377" t="s">
        <v>1401</v>
      </c>
      <c r="B1377" s="1">
        <v>45768</v>
      </c>
      <c r="C1377" t="s">
        <v>21</v>
      </c>
      <c r="D1377" t="s">
        <v>13</v>
      </c>
      <c r="E1377" s="2">
        <v>6.1</v>
      </c>
      <c r="F1377" s="3">
        <v>13.97</v>
      </c>
      <c r="G1377" s="4">
        <v>76.540000000000006</v>
      </c>
      <c r="H1377">
        <v>2</v>
      </c>
      <c r="I1377" s="4">
        <v>153.08000000000001</v>
      </c>
      <c r="J1377">
        <v>4.0999999999999996</v>
      </c>
      <c r="K1377" t="s">
        <v>30</v>
      </c>
      <c r="L1377" t="s">
        <v>16</v>
      </c>
      <c r="O1377"/>
    </row>
    <row r="1378" spans="1:15" x14ac:dyDescent="0.3">
      <c r="A1378" t="s">
        <v>1402</v>
      </c>
      <c r="B1378" s="1">
        <v>45746</v>
      </c>
      <c r="C1378" t="s">
        <v>25</v>
      </c>
      <c r="D1378" t="s">
        <v>22</v>
      </c>
      <c r="E1378" s="2">
        <v>22.97</v>
      </c>
      <c r="F1378" s="3">
        <v>80.739999999999995</v>
      </c>
      <c r="G1378" s="4">
        <v>415.7</v>
      </c>
      <c r="H1378">
        <v>1.5</v>
      </c>
      <c r="I1378" s="4">
        <v>623.54999999999995</v>
      </c>
      <c r="J1378">
        <v>4.0999999999999996</v>
      </c>
      <c r="K1378" t="s">
        <v>36</v>
      </c>
      <c r="L1378" t="s">
        <v>16</v>
      </c>
      <c r="O1378"/>
    </row>
    <row r="1379" spans="1:15" x14ac:dyDescent="0.3">
      <c r="A1379" t="s">
        <v>1403</v>
      </c>
      <c r="B1379" s="1">
        <v>45954</v>
      </c>
      <c r="C1379" t="s">
        <v>21</v>
      </c>
      <c r="D1379" t="s">
        <v>21</v>
      </c>
      <c r="E1379" s="2">
        <v>7.51</v>
      </c>
      <c r="F1379" s="3">
        <v>22.01</v>
      </c>
      <c r="G1379" s="4">
        <v>95.01</v>
      </c>
      <c r="H1379">
        <v>1.5</v>
      </c>
      <c r="I1379" s="4">
        <v>142.52000000000001</v>
      </c>
      <c r="J1379">
        <v>3.7</v>
      </c>
      <c r="K1379" t="s">
        <v>18</v>
      </c>
      <c r="L1379" t="s">
        <v>26</v>
      </c>
      <c r="O1379"/>
    </row>
    <row r="1380" spans="1:15" x14ac:dyDescent="0.3">
      <c r="A1380" t="s">
        <v>1404</v>
      </c>
      <c r="B1380" s="1">
        <v>46016</v>
      </c>
      <c r="C1380" t="s">
        <v>13</v>
      </c>
      <c r="D1380" t="s">
        <v>22</v>
      </c>
      <c r="E1380" s="2">
        <v>16.03</v>
      </c>
      <c r="F1380" s="3">
        <v>35.67</v>
      </c>
      <c r="G1380" s="4">
        <v>310.02</v>
      </c>
      <c r="H1380">
        <v>1.2</v>
      </c>
      <c r="I1380" s="4">
        <v>372.02</v>
      </c>
      <c r="J1380">
        <v>4</v>
      </c>
      <c r="K1380" t="s">
        <v>36</v>
      </c>
      <c r="L1380" t="s">
        <v>16</v>
      </c>
      <c r="O1380"/>
    </row>
    <row r="1381" spans="1:15" x14ac:dyDescent="0.3">
      <c r="A1381" t="s">
        <v>1405</v>
      </c>
      <c r="B1381" s="1">
        <v>45880</v>
      </c>
      <c r="C1381" t="s">
        <v>14</v>
      </c>
      <c r="D1381" t="s">
        <v>21</v>
      </c>
      <c r="E1381" s="2">
        <v>12.79</v>
      </c>
      <c r="F1381" s="3">
        <v>35.380000000000003</v>
      </c>
      <c r="G1381" s="4">
        <v>229.54</v>
      </c>
      <c r="H1381">
        <v>2</v>
      </c>
      <c r="I1381" s="4">
        <v>459.08</v>
      </c>
      <c r="J1381">
        <v>4.8</v>
      </c>
      <c r="K1381" t="s">
        <v>33</v>
      </c>
      <c r="L1381" t="s">
        <v>28</v>
      </c>
      <c r="O1381"/>
    </row>
    <row r="1382" spans="1:15" x14ac:dyDescent="0.3">
      <c r="A1382" t="s">
        <v>1406</v>
      </c>
      <c r="B1382" s="1">
        <v>45680</v>
      </c>
      <c r="C1382" t="s">
        <v>13</v>
      </c>
      <c r="D1382" t="s">
        <v>21</v>
      </c>
      <c r="E1382" s="2">
        <v>8.75</v>
      </c>
      <c r="F1382" s="3">
        <v>26.41</v>
      </c>
      <c r="G1382" s="4">
        <v>100.4</v>
      </c>
      <c r="H1382">
        <v>2</v>
      </c>
      <c r="I1382" s="4">
        <v>200.8</v>
      </c>
      <c r="J1382">
        <v>3.2</v>
      </c>
      <c r="K1382" t="s">
        <v>36</v>
      </c>
      <c r="L1382" t="s">
        <v>19</v>
      </c>
      <c r="O1382"/>
    </row>
    <row r="1383" spans="1:15" x14ac:dyDescent="0.3">
      <c r="A1383" t="s">
        <v>1407</v>
      </c>
      <c r="B1383" s="1">
        <v>45982</v>
      </c>
      <c r="C1383" t="s">
        <v>25</v>
      </c>
      <c r="D1383" t="s">
        <v>25</v>
      </c>
      <c r="E1383" s="2">
        <v>21.73</v>
      </c>
      <c r="F1383" s="3">
        <v>84.21</v>
      </c>
      <c r="G1383" s="4">
        <v>415.53</v>
      </c>
      <c r="H1383">
        <v>1</v>
      </c>
      <c r="I1383" s="4">
        <v>415.53</v>
      </c>
      <c r="J1383">
        <v>4.9000000000000004</v>
      </c>
      <c r="K1383" t="s">
        <v>30</v>
      </c>
      <c r="L1383" t="s">
        <v>26</v>
      </c>
      <c r="O1383"/>
    </row>
    <row r="1384" spans="1:15" x14ac:dyDescent="0.3">
      <c r="A1384" t="s">
        <v>1408</v>
      </c>
      <c r="B1384" s="1">
        <v>45670</v>
      </c>
      <c r="C1384" t="s">
        <v>25</v>
      </c>
      <c r="D1384" t="s">
        <v>25</v>
      </c>
      <c r="E1384" s="2">
        <v>4.82</v>
      </c>
      <c r="F1384" s="3">
        <v>12.55</v>
      </c>
      <c r="G1384" s="4">
        <v>91.34</v>
      </c>
      <c r="H1384">
        <v>2</v>
      </c>
      <c r="I1384" s="4">
        <v>182.68</v>
      </c>
      <c r="J1384">
        <v>4.7</v>
      </c>
      <c r="K1384" t="s">
        <v>18</v>
      </c>
      <c r="L1384" t="s">
        <v>16</v>
      </c>
      <c r="O1384"/>
    </row>
    <row r="1385" spans="1:15" x14ac:dyDescent="0.3">
      <c r="A1385" t="s">
        <v>1409</v>
      </c>
      <c r="B1385" s="1">
        <v>45891</v>
      </c>
      <c r="C1385" t="s">
        <v>25</v>
      </c>
      <c r="D1385" t="s">
        <v>25</v>
      </c>
      <c r="E1385" s="2">
        <v>4.1900000000000004</v>
      </c>
      <c r="F1385" s="3">
        <v>16.32</v>
      </c>
      <c r="G1385" s="4">
        <v>59.64</v>
      </c>
      <c r="H1385">
        <v>2</v>
      </c>
      <c r="I1385" s="4">
        <v>119.28</v>
      </c>
      <c r="J1385">
        <v>3.1</v>
      </c>
      <c r="K1385" t="s">
        <v>18</v>
      </c>
      <c r="L1385" t="s">
        <v>28</v>
      </c>
      <c r="O1385"/>
    </row>
    <row r="1386" spans="1:15" x14ac:dyDescent="0.3">
      <c r="A1386" t="s">
        <v>1410</v>
      </c>
      <c r="B1386" s="1">
        <v>45760</v>
      </c>
      <c r="C1386" t="s">
        <v>13</v>
      </c>
      <c r="D1386" t="s">
        <v>13</v>
      </c>
      <c r="E1386" s="2">
        <v>2.34</v>
      </c>
      <c r="F1386" s="3">
        <v>7.23</v>
      </c>
      <c r="G1386" s="4">
        <v>31.32</v>
      </c>
      <c r="H1386">
        <v>2</v>
      </c>
      <c r="I1386" s="4">
        <v>62.64</v>
      </c>
      <c r="J1386">
        <v>3.3</v>
      </c>
      <c r="K1386" t="s">
        <v>33</v>
      </c>
      <c r="L1386" t="s">
        <v>19</v>
      </c>
      <c r="O1386"/>
    </row>
    <row r="1387" spans="1:15" x14ac:dyDescent="0.3">
      <c r="A1387" t="s">
        <v>1411</v>
      </c>
      <c r="B1387" s="1">
        <v>45927</v>
      </c>
      <c r="C1387" t="s">
        <v>22</v>
      </c>
      <c r="D1387" t="s">
        <v>21</v>
      </c>
      <c r="E1387" s="2">
        <v>20.2</v>
      </c>
      <c r="F1387" s="3">
        <v>57.94</v>
      </c>
      <c r="G1387" s="4">
        <v>367.52</v>
      </c>
      <c r="H1387">
        <v>2</v>
      </c>
      <c r="I1387" s="4">
        <v>735.04</v>
      </c>
      <c r="J1387">
        <v>3</v>
      </c>
      <c r="K1387" t="s">
        <v>36</v>
      </c>
      <c r="L1387" t="s">
        <v>28</v>
      </c>
      <c r="O1387"/>
    </row>
    <row r="1388" spans="1:15" x14ac:dyDescent="0.3">
      <c r="A1388" t="s">
        <v>1412</v>
      </c>
      <c r="B1388" s="1">
        <v>46013</v>
      </c>
      <c r="C1388" t="s">
        <v>13</v>
      </c>
      <c r="D1388" t="s">
        <v>21</v>
      </c>
      <c r="E1388" s="2">
        <v>16.43</v>
      </c>
      <c r="F1388" s="3">
        <v>42.21</v>
      </c>
      <c r="G1388" s="4">
        <v>172.03</v>
      </c>
      <c r="H1388">
        <v>1.5</v>
      </c>
      <c r="I1388" s="4">
        <v>258.04000000000002</v>
      </c>
      <c r="J1388">
        <v>4</v>
      </c>
      <c r="K1388" t="s">
        <v>33</v>
      </c>
      <c r="L1388" t="s">
        <v>26</v>
      </c>
      <c r="O1388"/>
    </row>
    <row r="1389" spans="1:15" x14ac:dyDescent="0.3">
      <c r="A1389" t="s">
        <v>1413</v>
      </c>
      <c r="B1389" s="1">
        <v>45864</v>
      </c>
      <c r="C1389" t="s">
        <v>21</v>
      </c>
      <c r="D1389" t="s">
        <v>22</v>
      </c>
      <c r="E1389" s="2">
        <v>5.72</v>
      </c>
      <c r="F1389" s="3">
        <v>20.73</v>
      </c>
      <c r="G1389" s="4">
        <v>106.01</v>
      </c>
      <c r="H1389">
        <v>1</v>
      </c>
      <c r="I1389" s="4">
        <v>106.01</v>
      </c>
      <c r="J1389">
        <v>4.7</v>
      </c>
      <c r="K1389" t="s">
        <v>18</v>
      </c>
      <c r="L1389" t="s">
        <v>19</v>
      </c>
      <c r="O1389"/>
    </row>
    <row r="1390" spans="1:15" x14ac:dyDescent="0.3">
      <c r="A1390" t="s">
        <v>1414</v>
      </c>
      <c r="B1390" s="1">
        <v>45731</v>
      </c>
      <c r="C1390" t="s">
        <v>25</v>
      </c>
      <c r="D1390" t="s">
        <v>25</v>
      </c>
      <c r="E1390" s="2">
        <v>12.45</v>
      </c>
      <c r="F1390" s="3">
        <v>31.23</v>
      </c>
      <c r="G1390" s="4">
        <v>246.78</v>
      </c>
      <c r="H1390">
        <v>1.2</v>
      </c>
      <c r="I1390" s="4">
        <v>296.14</v>
      </c>
      <c r="J1390">
        <v>4.4000000000000004</v>
      </c>
      <c r="K1390" t="s">
        <v>18</v>
      </c>
      <c r="L1390" t="s">
        <v>28</v>
      </c>
      <c r="O1390"/>
    </row>
    <row r="1391" spans="1:15" x14ac:dyDescent="0.3">
      <c r="A1391" t="s">
        <v>1415</v>
      </c>
      <c r="B1391" s="1">
        <v>45798</v>
      </c>
      <c r="C1391" t="s">
        <v>21</v>
      </c>
      <c r="D1391" t="s">
        <v>25</v>
      </c>
      <c r="E1391" s="2">
        <v>23.78</v>
      </c>
      <c r="F1391" s="3">
        <v>63.05</v>
      </c>
      <c r="G1391" s="4">
        <v>432.08</v>
      </c>
      <c r="H1391">
        <v>1.2</v>
      </c>
      <c r="I1391" s="4">
        <v>518.5</v>
      </c>
      <c r="J1391">
        <v>3</v>
      </c>
      <c r="K1391" t="s">
        <v>30</v>
      </c>
      <c r="L1391" t="s">
        <v>19</v>
      </c>
      <c r="O1391"/>
    </row>
    <row r="1392" spans="1:15" x14ac:dyDescent="0.3">
      <c r="A1392" t="s">
        <v>1416</v>
      </c>
      <c r="B1392" s="1">
        <v>45713</v>
      </c>
      <c r="C1392" t="s">
        <v>13</v>
      </c>
      <c r="D1392" t="s">
        <v>21</v>
      </c>
      <c r="E1392" s="2">
        <v>22.6</v>
      </c>
      <c r="F1392" s="3">
        <v>48.8</v>
      </c>
      <c r="G1392" s="4">
        <v>236.98</v>
      </c>
      <c r="H1392">
        <v>2</v>
      </c>
      <c r="I1392" s="4">
        <v>473.96</v>
      </c>
      <c r="J1392">
        <v>4</v>
      </c>
      <c r="K1392" t="s">
        <v>18</v>
      </c>
      <c r="L1392" t="s">
        <v>28</v>
      </c>
      <c r="O1392"/>
    </row>
    <row r="1393" spans="1:15" x14ac:dyDescent="0.3">
      <c r="A1393" t="s">
        <v>1417</v>
      </c>
      <c r="B1393" s="1">
        <v>45982</v>
      </c>
      <c r="C1393" t="s">
        <v>13</v>
      </c>
      <c r="D1393" t="s">
        <v>14</v>
      </c>
      <c r="E1393" s="2">
        <v>4.66</v>
      </c>
      <c r="F1393" s="3">
        <v>10.47</v>
      </c>
      <c r="G1393" s="4">
        <v>53.47</v>
      </c>
      <c r="H1393">
        <v>1.2</v>
      </c>
      <c r="I1393" s="4">
        <v>64.16</v>
      </c>
      <c r="J1393">
        <v>3.9</v>
      </c>
      <c r="K1393" t="s">
        <v>18</v>
      </c>
      <c r="L1393" t="s">
        <v>16</v>
      </c>
      <c r="O1393"/>
    </row>
    <row r="1394" spans="1:15" x14ac:dyDescent="0.3">
      <c r="A1394" t="s">
        <v>1418</v>
      </c>
      <c r="B1394" s="1">
        <v>45994</v>
      </c>
      <c r="C1394" t="s">
        <v>21</v>
      </c>
      <c r="D1394" t="s">
        <v>14</v>
      </c>
      <c r="E1394" s="2">
        <v>9.74</v>
      </c>
      <c r="F1394" s="3">
        <v>21.32</v>
      </c>
      <c r="G1394" s="4">
        <v>171.27</v>
      </c>
      <c r="H1394">
        <v>1.5</v>
      </c>
      <c r="I1394" s="4">
        <v>256.91000000000003</v>
      </c>
      <c r="J1394">
        <v>4.3</v>
      </c>
      <c r="K1394" t="s">
        <v>18</v>
      </c>
      <c r="L1394" t="s">
        <v>16</v>
      </c>
      <c r="O1394"/>
    </row>
    <row r="1395" spans="1:15" x14ac:dyDescent="0.3">
      <c r="A1395" t="s">
        <v>1419</v>
      </c>
      <c r="B1395" s="1">
        <v>45682</v>
      </c>
      <c r="C1395" t="s">
        <v>21</v>
      </c>
      <c r="D1395" t="s">
        <v>13</v>
      </c>
      <c r="E1395" s="2">
        <v>2.5499999999999998</v>
      </c>
      <c r="F1395" s="3">
        <v>5.82</v>
      </c>
      <c r="G1395" s="4">
        <v>41.38</v>
      </c>
      <c r="H1395">
        <v>1.5</v>
      </c>
      <c r="I1395" s="4">
        <v>62.07</v>
      </c>
      <c r="J1395">
        <v>4.5999999999999996</v>
      </c>
      <c r="K1395" t="s">
        <v>15</v>
      </c>
      <c r="L1395" t="s">
        <v>28</v>
      </c>
      <c r="O1395"/>
    </row>
    <row r="1396" spans="1:15" x14ac:dyDescent="0.3">
      <c r="A1396" t="s">
        <v>1420</v>
      </c>
      <c r="B1396" s="1">
        <v>45714</v>
      </c>
      <c r="C1396" t="s">
        <v>21</v>
      </c>
      <c r="D1396" t="s">
        <v>21</v>
      </c>
      <c r="E1396" s="2">
        <v>16.8</v>
      </c>
      <c r="F1396" s="3">
        <v>43.13</v>
      </c>
      <c r="G1396" s="4">
        <v>327.33999999999997</v>
      </c>
      <c r="H1396">
        <v>1</v>
      </c>
      <c r="I1396" s="4">
        <v>327.33999999999997</v>
      </c>
      <c r="J1396">
        <v>3.7</v>
      </c>
      <c r="K1396" t="s">
        <v>33</v>
      </c>
      <c r="L1396" t="s">
        <v>26</v>
      </c>
      <c r="O1396"/>
    </row>
    <row r="1397" spans="1:15" x14ac:dyDescent="0.3">
      <c r="A1397" t="s">
        <v>1421</v>
      </c>
      <c r="B1397" s="1">
        <v>45873</v>
      </c>
      <c r="C1397" t="s">
        <v>14</v>
      </c>
      <c r="D1397" t="s">
        <v>13</v>
      </c>
      <c r="E1397" s="2">
        <v>3.26</v>
      </c>
      <c r="F1397" s="3">
        <v>7.21</v>
      </c>
      <c r="G1397" s="4">
        <v>48.66</v>
      </c>
      <c r="H1397">
        <v>2</v>
      </c>
      <c r="I1397" s="4">
        <v>97.32</v>
      </c>
      <c r="J1397">
        <v>4.2</v>
      </c>
      <c r="K1397" t="s">
        <v>18</v>
      </c>
      <c r="L1397" t="s">
        <v>19</v>
      </c>
      <c r="O1397"/>
    </row>
    <row r="1398" spans="1:15" x14ac:dyDescent="0.3">
      <c r="A1398" t="s">
        <v>1422</v>
      </c>
      <c r="B1398" s="1">
        <v>45788</v>
      </c>
      <c r="C1398" t="s">
        <v>25</v>
      </c>
      <c r="D1398" t="s">
        <v>14</v>
      </c>
      <c r="E1398" s="2">
        <v>5.6</v>
      </c>
      <c r="F1398" s="3">
        <v>16.66</v>
      </c>
      <c r="G1398" s="4">
        <v>76.39</v>
      </c>
      <c r="H1398">
        <v>1.2</v>
      </c>
      <c r="I1398" s="4">
        <v>91.67</v>
      </c>
      <c r="J1398">
        <v>4.5999999999999996</v>
      </c>
      <c r="K1398" t="s">
        <v>18</v>
      </c>
      <c r="L1398" t="s">
        <v>26</v>
      </c>
      <c r="O1398"/>
    </row>
    <row r="1399" spans="1:15" x14ac:dyDescent="0.3">
      <c r="A1399" t="s">
        <v>1423</v>
      </c>
      <c r="B1399" s="1">
        <v>45802</v>
      </c>
      <c r="C1399" t="s">
        <v>14</v>
      </c>
      <c r="D1399" t="s">
        <v>14</v>
      </c>
      <c r="E1399" s="2">
        <v>13.48</v>
      </c>
      <c r="F1399" s="3">
        <v>34.369999999999997</v>
      </c>
      <c r="G1399" s="4">
        <v>254.47</v>
      </c>
      <c r="H1399">
        <v>2</v>
      </c>
      <c r="I1399" s="4">
        <v>508.94</v>
      </c>
      <c r="J1399">
        <v>3.1</v>
      </c>
      <c r="K1399" t="s">
        <v>33</v>
      </c>
      <c r="L1399" t="s">
        <v>28</v>
      </c>
      <c r="O1399"/>
    </row>
    <row r="1400" spans="1:15" x14ac:dyDescent="0.3">
      <c r="A1400" t="s">
        <v>1424</v>
      </c>
      <c r="B1400" s="1">
        <v>45788</v>
      </c>
      <c r="C1400" t="s">
        <v>21</v>
      </c>
      <c r="D1400" t="s">
        <v>25</v>
      </c>
      <c r="E1400" s="2">
        <v>21.7</v>
      </c>
      <c r="F1400" s="3">
        <v>64.23</v>
      </c>
      <c r="G1400" s="4">
        <v>304.32</v>
      </c>
      <c r="H1400">
        <v>1</v>
      </c>
      <c r="I1400" s="4">
        <v>304.32</v>
      </c>
      <c r="J1400">
        <v>4.9000000000000004</v>
      </c>
      <c r="K1400" t="s">
        <v>30</v>
      </c>
      <c r="L1400" t="s">
        <v>28</v>
      </c>
      <c r="O1400"/>
    </row>
    <row r="1401" spans="1:15" x14ac:dyDescent="0.3">
      <c r="A1401" t="s">
        <v>1425</v>
      </c>
      <c r="B1401" s="1">
        <v>45928</v>
      </c>
      <c r="C1401" t="s">
        <v>22</v>
      </c>
      <c r="D1401" t="s">
        <v>22</v>
      </c>
      <c r="E1401" s="2">
        <v>23.35</v>
      </c>
      <c r="F1401" s="3">
        <v>59.03</v>
      </c>
      <c r="G1401" s="4">
        <v>234.76</v>
      </c>
      <c r="H1401">
        <v>2</v>
      </c>
      <c r="I1401" s="4">
        <v>469.52</v>
      </c>
      <c r="J1401">
        <v>5</v>
      </c>
      <c r="K1401" t="s">
        <v>30</v>
      </c>
      <c r="L1401" t="s">
        <v>28</v>
      </c>
      <c r="O1401"/>
    </row>
    <row r="1402" spans="1:15" x14ac:dyDescent="0.3">
      <c r="A1402" t="s">
        <v>1426</v>
      </c>
      <c r="B1402" s="1">
        <v>45737</v>
      </c>
      <c r="C1402" t="s">
        <v>13</v>
      </c>
      <c r="D1402" t="s">
        <v>25</v>
      </c>
      <c r="E1402" s="2">
        <v>19.989999999999998</v>
      </c>
      <c r="F1402" s="3">
        <v>57.68</v>
      </c>
      <c r="G1402" s="4">
        <v>389.59</v>
      </c>
      <c r="H1402">
        <v>1.2</v>
      </c>
      <c r="I1402" s="4">
        <v>467.51</v>
      </c>
      <c r="J1402">
        <v>3.5</v>
      </c>
      <c r="K1402" t="s">
        <v>15</v>
      </c>
      <c r="L1402" t="s">
        <v>26</v>
      </c>
      <c r="O1402"/>
    </row>
    <row r="1403" spans="1:15" x14ac:dyDescent="0.3">
      <c r="A1403" t="s">
        <v>1427</v>
      </c>
      <c r="B1403" s="1">
        <v>45746</v>
      </c>
      <c r="C1403" t="s">
        <v>22</v>
      </c>
      <c r="D1403" t="s">
        <v>22</v>
      </c>
      <c r="E1403" s="2">
        <v>12.68</v>
      </c>
      <c r="F1403" s="3">
        <v>30.63</v>
      </c>
      <c r="G1403" s="4">
        <v>229.94</v>
      </c>
      <c r="H1403">
        <v>1.2</v>
      </c>
      <c r="I1403" s="4">
        <v>275.93</v>
      </c>
      <c r="J1403">
        <v>3.4</v>
      </c>
      <c r="K1403" t="s">
        <v>33</v>
      </c>
      <c r="L1403" t="s">
        <v>19</v>
      </c>
      <c r="O1403"/>
    </row>
    <row r="1404" spans="1:15" x14ac:dyDescent="0.3">
      <c r="A1404" t="s">
        <v>1428</v>
      </c>
      <c r="B1404" s="1">
        <v>45843</v>
      </c>
      <c r="C1404" t="s">
        <v>13</v>
      </c>
      <c r="D1404" t="s">
        <v>21</v>
      </c>
      <c r="E1404" s="2">
        <v>7.85</v>
      </c>
      <c r="F1404" s="3">
        <v>17.239999999999998</v>
      </c>
      <c r="G1404" s="4">
        <v>123.73</v>
      </c>
      <c r="H1404">
        <v>2</v>
      </c>
      <c r="I1404" s="4">
        <v>247.46</v>
      </c>
      <c r="J1404">
        <v>4.7</v>
      </c>
      <c r="K1404" t="s">
        <v>33</v>
      </c>
      <c r="L1404" t="s">
        <v>19</v>
      </c>
      <c r="O1404"/>
    </row>
    <row r="1405" spans="1:15" x14ac:dyDescent="0.3">
      <c r="A1405" t="s">
        <v>1429</v>
      </c>
      <c r="B1405" s="1">
        <v>45894</v>
      </c>
      <c r="C1405" t="s">
        <v>14</v>
      </c>
      <c r="D1405" t="s">
        <v>14</v>
      </c>
      <c r="E1405" s="2">
        <v>2.63</v>
      </c>
      <c r="F1405" s="3">
        <v>5.68</v>
      </c>
      <c r="G1405" s="4">
        <v>52.41</v>
      </c>
      <c r="H1405">
        <v>2</v>
      </c>
      <c r="I1405" s="4">
        <v>104.82</v>
      </c>
      <c r="J1405">
        <v>3.1</v>
      </c>
      <c r="K1405" t="s">
        <v>18</v>
      </c>
      <c r="L1405" t="s">
        <v>16</v>
      </c>
      <c r="O1405"/>
    </row>
    <row r="1406" spans="1:15" x14ac:dyDescent="0.3">
      <c r="A1406" t="s">
        <v>1430</v>
      </c>
      <c r="B1406" s="1">
        <v>45965</v>
      </c>
      <c r="C1406" t="s">
        <v>22</v>
      </c>
      <c r="D1406" t="s">
        <v>25</v>
      </c>
      <c r="E1406" s="2">
        <v>19.97</v>
      </c>
      <c r="F1406" s="3">
        <v>61.25</v>
      </c>
      <c r="G1406" s="4">
        <v>388.23</v>
      </c>
      <c r="H1406">
        <v>2</v>
      </c>
      <c r="I1406" s="4">
        <v>776.46</v>
      </c>
      <c r="J1406">
        <v>4.7</v>
      </c>
      <c r="K1406" t="s">
        <v>30</v>
      </c>
      <c r="L1406" t="s">
        <v>19</v>
      </c>
      <c r="O1406"/>
    </row>
    <row r="1407" spans="1:15" x14ac:dyDescent="0.3">
      <c r="A1407" t="s">
        <v>1431</v>
      </c>
      <c r="B1407" s="1">
        <v>45776</v>
      </c>
      <c r="C1407" t="s">
        <v>22</v>
      </c>
      <c r="D1407" t="s">
        <v>13</v>
      </c>
      <c r="E1407" s="2">
        <v>15.19</v>
      </c>
      <c r="F1407" s="3">
        <v>45.95</v>
      </c>
      <c r="G1407" s="4">
        <v>192.57</v>
      </c>
      <c r="H1407">
        <v>1</v>
      </c>
      <c r="I1407" s="4">
        <v>192.57</v>
      </c>
      <c r="J1407">
        <v>4.2</v>
      </c>
      <c r="K1407" t="s">
        <v>15</v>
      </c>
      <c r="L1407" t="s">
        <v>16</v>
      </c>
      <c r="O1407"/>
    </row>
    <row r="1408" spans="1:15" x14ac:dyDescent="0.3">
      <c r="A1408" t="s">
        <v>1432</v>
      </c>
      <c r="B1408" s="1">
        <v>45774</v>
      </c>
      <c r="C1408" t="s">
        <v>14</v>
      </c>
      <c r="D1408" t="s">
        <v>13</v>
      </c>
      <c r="E1408" s="2">
        <v>21.49</v>
      </c>
      <c r="F1408" s="3">
        <v>83.41</v>
      </c>
      <c r="G1408" s="4">
        <v>285.67</v>
      </c>
      <c r="H1408">
        <v>1</v>
      </c>
      <c r="I1408" s="4">
        <v>285.67</v>
      </c>
      <c r="J1408">
        <v>3</v>
      </c>
      <c r="K1408" t="s">
        <v>33</v>
      </c>
      <c r="L1408" t="s">
        <v>16</v>
      </c>
      <c r="O1408"/>
    </row>
    <row r="1409" spans="1:15" x14ac:dyDescent="0.3">
      <c r="A1409" t="s">
        <v>1433</v>
      </c>
      <c r="B1409" s="1">
        <v>45993</v>
      </c>
      <c r="C1409" t="s">
        <v>22</v>
      </c>
      <c r="D1409" t="s">
        <v>21</v>
      </c>
      <c r="E1409" s="2">
        <v>16.79</v>
      </c>
      <c r="F1409" s="3">
        <v>39.24</v>
      </c>
      <c r="G1409" s="4">
        <v>295.58</v>
      </c>
      <c r="H1409">
        <v>1.2</v>
      </c>
      <c r="I1409" s="4">
        <v>354.7</v>
      </c>
      <c r="J1409">
        <v>3.4</v>
      </c>
      <c r="K1409" t="s">
        <v>33</v>
      </c>
      <c r="L1409" t="s">
        <v>26</v>
      </c>
      <c r="O1409"/>
    </row>
    <row r="1410" spans="1:15" x14ac:dyDescent="0.3">
      <c r="A1410" t="s">
        <v>1434</v>
      </c>
      <c r="B1410" s="1">
        <v>45811</v>
      </c>
      <c r="C1410" t="s">
        <v>13</v>
      </c>
      <c r="D1410" t="s">
        <v>14</v>
      </c>
      <c r="E1410" s="2">
        <v>6.72</v>
      </c>
      <c r="F1410" s="3">
        <v>25.2</v>
      </c>
      <c r="G1410" s="4">
        <v>114.54</v>
      </c>
      <c r="H1410">
        <v>1</v>
      </c>
      <c r="I1410" s="4">
        <v>114.54</v>
      </c>
      <c r="J1410">
        <v>4.3</v>
      </c>
      <c r="K1410" t="s">
        <v>36</v>
      </c>
      <c r="L1410" t="s">
        <v>19</v>
      </c>
      <c r="O1410"/>
    </row>
    <row r="1411" spans="1:15" x14ac:dyDescent="0.3">
      <c r="A1411" t="s">
        <v>1435</v>
      </c>
      <c r="B1411" s="1">
        <v>45979</v>
      </c>
      <c r="C1411" t="s">
        <v>13</v>
      </c>
      <c r="D1411" t="s">
        <v>25</v>
      </c>
      <c r="E1411" s="2">
        <v>14.92</v>
      </c>
      <c r="F1411" s="3">
        <v>40.98</v>
      </c>
      <c r="G1411" s="4">
        <v>222.79</v>
      </c>
      <c r="H1411">
        <v>1</v>
      </c>
      <c r="I1411" s="4">
        <v>222.79</v>
      </c>
      <c r="J1411">
        <v>4</v>
      </c>
      <c r="K1411" t="s">
        <v>33</v>
      </c>
      <c r="L1411" t="s">
        <v>26</v>
      </c>
      <c r="O1411"/>
    </row>
    <row r="1412" spans="1:15" x14ac:dyDescent="0.3">
      <c r="A1412" t="s">
        <v>1436</v>
      </c>
      <c r="B1412" s="1">
        <v>45659</v>
      </c>
      <c r="C1412" t="s">
        <v>13</v>
      </c>
      <c r="D1412" t="s">
        <v>14</v>
      </c>
      <c r="E1412" s="2">
        <v>16.059999999999999</v>
      </c>
      <c r="F1412" s="3">
        <v>41.69</v>
      </c>
      <c r="G1412" s="4">
        <v>228.46</v>
      </c>
      <c r="H1412">
        <v>1</v>
      </c>
      <c r="I1412" s="4">
        <v>228.46</v>
      </c>
      <c r="J1412">
        <v>3.2</v>
      </c>
      <c r="K1412" t="s">
        <v>36</v>
      </c>
      <c r="L1412" t="s">
        <v>19</v>
      </c>
      <c r="O1412"/>
    </row>
    <row r="1413" spans="1:15" x14ac:dyDescent="0.3">
      <c r="A1413" t="s">
        <v>1437</v>
      </c>
      <c r="B1413" s="1">
        <v>45852</v>
      </c>
      <c r="C1413" t="s">
        <v>22</v>
      </c>
      <c r="D1413" t="s">
        <v>14</v>
      </c>
      <c r="E1413" s="2">
        <v>11.52</v>
      </c>
      <c r="F1413" s="3">
        <v>28.82</v>
      </c>
      <c r="G1413" s="4">
        <v>193.93</v>
      </c>
      <c r="H1413">
        <v>1.5</v>
      </c>
      <c r="I1413" s="4">
        <v>290.89999999999998</v>
      </c>
      <c r="J1413">
        <v>3.9</v>
      </c>
      <c r="K1413" t="s">
        <v>18</v>
      </c>
      <c r="L1413" t="s">
        <v>26</v>
      </c>
      <c r="O1413"/>
    </row>
    <row r="1414" spans="1:15" x14ac:dyDescent="0.3">
      <c r="A1414" t="s">
        <v>1438</v>
      </c>
      <c r="B1414" s="1">
        <v>45761</v>
      </c>
      <c r="C1414" t="s">
        <v>14</v>
      </c>
      <c r="D1414" t="s">
        <v>25</v>
      </c>
      <c r="E1414" s="2">
        <v>23.56</v>
      </c>
      <c r="F1414" s="3">
        <v>86.76</v>
      </c>
      <c r="G1414" s="4">
        <v>372.19</v>
      </c>
      <c r="H1414">
        <v>1.2</v>
      </c>
      <c r="I1414" s="4">
        <v>446.63</v>
      </c>
      <c r="J1414">
        <v>3.7</v>
      </c>
      <c r="K1414" t="s">
        <v>18</v>
      </c>
      <c r="L1414" t="s">
        <v>19</v>
      </c>
      <c r="O1414"/>
    </row>
    <row r="1415" spans="1:15" x14ac:dyDescent="0.3">
      <c r="A1415" t="s">
        <v>1439</v>
      </c>
      <c r="B1415" s="1">
        <v>45946</v>
      </c>
      <c r="C1415" t="s">
        <v>25</v>
      </c>
      <c r="D1415" t="s">
        <v>13</v>
      </c>
      <c r="E1415" s="2">
        <v>26.95</v>
      </c>
      <c r="F1415" s="3">
        <v>55.2</v>
      </c>
      <c r="G1415" s="4">
        <v>363.45</v>
      </c>
      <c r="H1415">
        <v>1.5</v>
      </c>
      <c r="I1415" s="4">
        <v>545.16999999999996</v>
      </c>
      <c r="J1415">
        <v>4.3</v>
      </c>
      <c r="K1415" t="s">
        <v>15</v>
      </c>
      <c r="L1415" t="s">
        <v>19</v>
      </c>
      <c r="O1415"/>
    </row>
    <row r="1416" spans="1:15" x14ac:dyDescent="0.3">
      <c r="A1416" t="s">
        <v>1440</v>
      </c>
      <c r="B1416" s="1">
        <v>45833</v>
      </c>
      <c r="C1416" t="s">
        <v>22</v>
      </c>
      <c r="D1416" t="s">
        <v>25</v>
      </c>
      <c r="E1416" s="2">
        <v>24.5</v>
      </c>
      <c r="F1416" s="3">
        <v>75.290000000000006</v>
      </c>
      <c r="G1416" s="4">
        <v>313.16000000000003</v>
      </c>
      <c r="H1416">
        <v>1.5</v>
      </c>
      <c r="I1416" s="4">
        <v>469.74</v>
      </c>
      <c r="J1416">
        <v>4.5999999999999996</v>
      </c>
      <c r="K1416" t="s">
        <v>30</v>
      </c>
      <c r="L1416" t="s">
        <v>19</v>
      </c>
      <c r="O1416"/>
    </row>
    <row r="1417" spans="1:15" x14ac:dyDescent="0.3">
      <c r="A1417" t="s">
        <v>1441</v>
      </c>
      <c r="B1417" s="1">
        <v>45994</v>
      </c>
      <c r="C1417" t="s">
        <v>21</v>
      </c>
      <c r="D1417" t="s">
        <v>14</v>
      </c>
      <c r="E1417" s="2">
        <v>26.96</v>
      </c>
      <c r="F1417" s="3">
        <v>90.91</v>
      </c>
      <c r="G1417" s="4">
        <v>336.97</v>
      </c>
      <c r="H1417">
        <v>1.2</v>
      </c>
      <c r="I1417" s="4">
        <v>404.36</v>
      </c>
      <c r="J1417">
        <v>4.3</v>
      </c>
      <c r="K1417" t="s">
        <v>36</v>
      </c>
      <c r="L1417" t="s">
        <v>26</v>
      </c>
      <c r="O1417"/>
    </row>
    <row r="1418" spans="1:15" x14ac:dyDescent="0.3">
      <c r="A1418" t="s">
        <v>1442</v>
      </c>
      <c r="B1418" s="1">
        <v>45925</v>
      </c>
      <c r="C1418" t="s">
        <v>21</v>
      </c>
      <c r="D1418" t="s">
        <v>14</v>
      </c>
      <c r="E1418" s="2">
        <v>17.600000000000001</v>
      </c>
      <c r="F1418" s="3">
        <v>49.44</v>
      </c>
      <c r="G1418" s="4">
        <v>240</v>
      </c>
      <c r="H1418">
        <v>2</v>
      </c>
      <c r="I1418" s="4">
        <v>480</v>
      </c>
      <c r="J1418">
        <v>4</v>
      </c>
      <c r="K1418" t="s">
        <v>30</v>
      </c>
      <c r="L1418" t="s">
        <v>26</v>
      </c>
      <c r="O1418"/>
    </row>
    <row r="1419" spans="1:15" x14ac:dyDescent="0.3">
      <c r="A1419" t="s">
        <v>1443</v>
      </c>
      <c r="B1419" s="1">
        <v>45916</v>
      </c>
      <c r="C1419" t="s">
        <v>13</v>
      </c>
      <c r="D1419" t="s">
        <v>14</v>
      </c>
      <c r="E1419" s="2">
        <v>29.15</v>
      </c>
      <c r="F1419" s="3">
        <v>68.540000000000006</v>
      </c>
      <c r="G1419" s="4">
        <v>465.56</v>
      </c>
      <c r="H1419">
        <v>1.2</v>
      </c>
      <c r="I1419" s="4">
        <v>558.66999999999996</v>
      </c>
      <c r="J1419">
        <v>3.9</v>
      </c>
      <c r="K1419" t="s">
        <v>15</v>
      </c>
      <c r="L1419" t="s">
        <v>19</v>
      </c>
      <c r="O1419"/>
    </row>
    <row r="1420" spans="1:15" x14ac:dyDescent="0.3">
      <c r="A1420" t="s">
        <v>1444</v>
      </c>
      <c r="B1420" s="1">
        <v>45702</v>
      </c>
      <c r="C1420" t="s">
        <v>21</v>
      </c>
      <c r="D1420" t="s">
        <v>22</v>
      </c>
      <c r="E1420" s="2">
        <v>8.3699999999999992</v>
      </c>
      <c r="F1420" s="3">
        <v>30.55</v>
      </c>
      <c r="G1420" s="4">
        <v>124.32</v>
      </c>
      <c r="H1420">
        <v>1.2</v>
      </c>
      <c r="I1420" s="4">
        <v>149.18</v>
      </c>
      <c r="J1420">
        <v>4.7</v>
      </c>
      <c r="K1420" t="s">
        <v>15</v>
      </c>
      <c r="L1420" t="s">
        <v>28</v>
      </c>
      <c r="O1420"/>
    </row>
    <row r="1421" spans="1:15" x14ac:dyDescent="0.3">
      <c r="A1421" t="s">
        <v>1445</v>
      </c>
      <c r="B1421" s="1">
        <v>45724</v>
      </c>
      <c r="C1421" t="s">
        <v>25</v>
      </c>
      <c r="D1421" t="s">
        <v>22</v>
      </c>
      <c r="E1421" s="2">
        <v>6.27</v>
      </c>
      <c r="F1421" s="3">
        <v>13.62</v>
      </c>
      <c r="G1421" s="4">
        <v>107.48</v>
      </c>
      <c r="H1421">
        <v>2</v>
      </c>
      <c r="I1421" s="4">
        <v>214.96</v>
      </c>
      <c r="J1421">
        <v>3.9</v>
      </c>
      <c r="K1421" t="s">
        <v>36</v>
      </c>
      <c r="L1421" t="s">
        <v>28</v>
      </c>
      <c r="O1421"/>
    </row>
    <row r="1422" spans="1:15" x14ac:dyDescent="0.3">
      <c r="A1422" t="s">
        <v>1446</v>
      </c>
      <c r="B1422" s="1">
        <v>45725</v>
      </c>
      <c r="C1422" t="s">
        <v>13</v>
      </c>
      <c r="D1422" t="s">
        <v>25</v>
      </c>
      <c r="E1422" s="2">
        <v>12.32</v>
      </c>
      <c r="F1422" s="3">
        <v>34.880000000000003</v>
      </c>
      <c r="G1422" s="4">
        <v>181</v>
      </c>
      <c r="H1422">
        <v>2</v>
      </c>
      <c r="I1422" s="4">
        <v>362</v>
      </c>
      <c r="J1422">
        <v>4.0999999999999996</v>
      </c>
      <c r="K1422" t="s">
        <v>30</v>
      </c>
      <c r="L1422" t="s">
        <v>19</v>
      </c>
      <c r="O1422"/>
    </row>
    <row r="1423" spans="1:15" x14ac:dyDescent="0.3">
      <c r="A1423" t="s">
        <v>1447</v>
      </c>
      <c r="B1423" s="1">
        <v>45765</v>
      </c>
      <c r="C1423" t="s">
        <v>25</v>
      </c>
      <c r="D1423" t="s">
        <v>25</v>
      </c>
      <c r="E1423" s="2">
        <v>9.98</v>
      </c>
      <c r="F1423" s="3">
        <v>33.21</v>
      </c>
      <c r="G1423" s="4">
        <v>166.25</v>
      </c>
      <c r="H1423">
        <v>1.2</v>
      </c>
      <c r="I1423" s="4">
        <v>199.5</v>
      </c>
      <c r="J1423">
        <v>3.4</v>
      </c>
      <c r="K1423" t="s">
        <v>33</v>
      </c>
      <c r="L1423" t="s">
        <v>26</v>
      </c>
      <c r="O1423"/>
    </row>
    <row r="1424" spans="1:15" x14ac:dyDescent="0.3">
      <c r="A1424" t="s">
        <v>1448</v>
      </c>
      <c r="B1424" s="1">
        <v>45977</v>
      </c>
      <c r="C1424" t="s">
        <v>25</v>
      </c>
      <c r="D1424" t="s">
        <v>13</v>
      </c>
      <c r="E1424" s="2">
        <v>6.61</v>
      </c>
      <c r="F1424" s="3">
        <v>16</v>
      </c>
      <c r="G1424" s="4">
        <v>67.62</v>
      </c>
      <c r="H1424">
        <v>1.5</v>
      </c>
      <c r="I1424" s="4">
        <v>101.43</v>
      </c>
      <c r="J1424">
        <v>4</v>
      </c>
      <c r="K1424" t="s">
        <v>30</v>
      </c>
      <c r="L1424" t="s">
        <v>19</v>
      </c>
      <c r="O1424"/>
    </row>
    <row r="1425" spans="1:15" x14ac:dyDescent="0.3">
      <c r="A1425" t="s">
        <v>1449</v>
      </c>
      <c r="B1425" s="1">
        <v>45942</v>
      </c>
      <c r="C1425" t="s">
        <v>13</v>
      </c>
      <c r="D1425" t="s">
        <v>14</v>
      </c>
      <c r="E1425" s="2">
        <v>1.1599999999999999</v>
      </c>
      <c r="F1425" s="3">
        <v>2.4</v>
      </c>
      <c r="G1425" s="4">
        <v>22.18</v>
      </c>
      <c r="H1425">
        <v>1.2</v>
      </c>
      <c r="I1425" s="4">
        <v>26.62</v>
      </c>
      <c r="J1425">
        <v>3.2</v>
      </c>
      <c r="K1425" t="s">
        <v>30</v>
      </c>
      <c r="L1425" t="s">
        <v>26</v>
      </c>
      <c r="O1425"/>
    </row>
    <row r="1426" spans="1:15" x14ac:dyDescent="0.3">
      <c r="A1426" t="s">
        <v>1450</v>
      </c>
      <c r="B1426" s="1">
        <v>45927</v>
      </c>
      <c r="C1426" t="s">
        <v>21</v>
      </c>
      <c r="D1426" t="s">
        <v>14</v>
      </c>
      <c r="E1426" s="2">
        <v>22.85</v>
      </c>
      <c r="F1426" s="3">
        <v>89.37</v>
      </c>
      <c r="G1426" s="4">
        <v>404.92</v>
      </c>
      <c r="H1426">
        <v>1.5</v>
      </c>
      <c r="I1426" s="4">
        <v>607.38</v>
      </c>
      <c r="J1426">
        <v>4.0999999999999996</v>
      </c>
      <c r="K1426" t="s">
        <v>33</v>
      </c>
      <c r="L1426" t="s">
        <v>16</v>
      </c>
      <c r="O1426"/>
    </row>
    <row r="1427" spans="1:15" x14ac:dyDescent="0.3">
      <c r="A1427" t="s">
        <v>1451</v>
      </c>
      <c r="B1427" s="1">
        <v>45808</v>
      </c>
      <c r="C1427" t="s">
        <v>22</v>
      </c>
      <c r="D1427" t="s">
        <v>21</v>
      </c>
      <c r="E1427" s="2">
        <v>5.88</v>
      </c>
      <c r="F1427" s="3">
        <v>21.56</v>
      </c>
      <c r="G1427" s="4">
        <v>70.27</v>
      </c>
      <c r="H1427">
        <v>1.2</v>
      </c>
      <c r="I1427" s="4">
        <v>84.32</v>
      </c>
      <c r="J1427">
        <v>3.9</v>
      </c>
      <c r="K1427" t="s">
        <v>18</v>
      </c>
      <c r="L1427" t="s">
        <v>19</v>
      </c>
      <c r="O1427"/>
    </row>
    <row r="1428" spans="1:15" x14ac:dyDescent="0.3">
      <c r="A1428" t="s">
        <v>1452</v>
      </c>
      <c r="B1428" s="1">
        <v>45884</v>
      </c>
      <c r="C1428" t="s">
        <v>14</v>
      </c>
      <c r="D1428" t="s">
        <v>14</v>
      </c>
      <c r="E1428" s="2">
        <v>20.63</v>
      </c>
      <c r="F1428" s="3">
        <v>61.78</v>
      </c>
      <c r="G1428" s="4">
        <v>225.69</v>
      </c>
      <c r="H1428">
        <v>1.5</v>
      </c>
      <c r="I1428" s="4">
        <v>338.54</v>
      </c>
      <c r="J1428">
        <v>4.2</v>
      </c>
      <c r="K1428" t="s">
        <v>18</v>
      </c>
      <c r="L1428" t="s">
        <v>28</v>
      </c>
      <c r="O1428"/>
    </row>
    <row r="1429" spans="1:15" x14ac:dyDescent="0.3">
      <c r="A1429" t="s">
        <v>1453</v>
      </c>
      <c r="B1429" s="1">
        <v>45901</v>
      </c>
      <c r="C1429" t="s">
        <v>14</v>
      </c>
      <c r="D1429" t="s">
        <v>21</v>
      </c>
      <c r="E1429" s="2">
        <v>7.53</v>
      </c>
      <c r="F1429" s="3">
        <v>18.93</v>
      </c>
      <c r="G1429" s="4">
        <v>111.4</v>
      </c>
      <c r="H1429">
        <v>1.2</v>
      </c>
      <c r="I1429" s="4">
        <v>133.68</v>
      </c>
      <c r="J1429">
        <v>4.2</v>
      </c>
      <c r="K1429" t="s">
        <v>30</v>
      </c>
      <c r="L1429" t="s">
        <v>28</v>
      </c>
      <c r="O1429"/>
    </row>
    <row r="1430" spans="1:15" x14ac:dyDescent="0.3">
      <c r="A1430" t="s">
        <v>1454</v>
      </c>
      <c r="B1430" s="1">
        <v>45799</v>
      </c>
      <c r="C1430" t="s">
        <v>13</v>
      </c>
      <c r="D1430" t="s">
        <v>13</v>
      </c>
      <c r="E1430" s="2">
        <v>27.14</v>
      </c>
      <c r="F1430" s="3">
        <v>84.54</v>
      </c>
      <c r="G1430" s="4">
        <v>507.1</v>
      </c>
      <c r="H1430">
        <v>2</v>
      </c>
      <c r="I1430" s="4">
        <v>1014.2</v>
      </c>
      <c r="J1430">
        <v>4.3</v>
      </c>
      <c r="K1430" t="s">
        <v>33</v>
      </c>
      <c r="L1430" t="s">
        <v>28</v>
      </c>
      <c r="O1430"/>
    </row>
    <row r="1431" spans="1:15" x14ac:dyDescent="0.3">
      <c r="A1431" t="s">
        <v>1455</v>
      </c>
      <c r="B1431" s="1">
        <v>46015</v>
      </c>
      <c r="C1431" t="s">
        <v>13</v>
      </c>
      <c r="D1431" t="s">
        <v>14</v>
      </c>
      <c r="E1431" s="2">
        <v>21.25</v>
      </c>
      <c r="F1431" s="3">
        <v>54.89</v>
      </c>
      <c r="G1431" s="4">
        <v>283.93</v>
      </c>
      <c r="H1431">
        <v>1.5</v>
      </c>
      <c r="I1431" s="4">
        <v>425.9</v>
      </c>
      <c r="J1431">
        <v>4.7</v>
      </c>
      <c r="K1431" t="s">
        <v>15</v>
      </c>
      <c r="L1431" t="s">
        <v>26</v>
      </c>
      <c r="O1431"/>
    </row>
    <row r="1432" spans="1:15" x14ac:dyDescent="0.3">
      <c r="A1432" t="s">
        <v>1456</v>
      </c>
      <c r="B1432" s="1">
        <v>45769</v>
      </c>
      <c r="C1432" t="s">
        <v>13</v>
      </c>
      <c r="D1432" t="s">
        <v>13</v>
      </c>
      <c r="E1432" s="2">
        <v>12.55</v>
      </c>
      <c r="F1432" s="3">
        <v>37.58</v>
      </c>
      <c r="G1432" s="4">
        <v>209.26</v>
      </c>
      <c r="H1432">
        <v>1.2</v>
      </c>
      <c r="I1432" s="4">
        <v>251.11</v>
      </c>
      <c r="J1432">
        <v>4.0999999999999996</v>
      </c>
      <c r="K1432" t="s">
        <v>33</v>
      </c>
      <c r="L1432" t="s">
        <v>16</v>
      </c>
      <c r="O1432"/>
    </row>
    <row r="1433" spans="1:15" x14ac:dyDescent="0.3">
      <c r="A1433" t="s">
        <v>1457</v>
      </c>
      <c r="B1433" s="1">
        <v>45734</v>
      </c>
      <c r="C1433" t="s">
        <v>21</v>
      </c>
      <c r="D1433" t="s">
        <v>22</v>
      </c>
      <c r="E1433" s="2">
        <v>13.96</v>
      </c>
      <c r="F1433" s="3">
        <v>37.5</v>
      </c>
      <c r="G1433" s="4">
        <v>158.9</v>
      </c>
      <c r="H1433">
        <v>2</v>
      </c>
      <c r="I1433" s="4">
        <v>317.8</v>
      </c>
      <c r="J1433">
        <v>3.2</v>
      </c>
      <c r="K1433" t="s">
        <v>18</v>
      </c>
      <c r="L1433" t="s">
        <v>19</v>
      </c>
      <c r="O1433"/>
    </row>
    <row r="1434" spans="1:15" x14ac:dyDescent="0.3">
      <c r="A1434" t="s">
        <v>1458</v>
      </c>
      <c r="B1434" s="1">
        <v>45766</v>
      </c>
      <c r="C1434" t="s">
        <v>13</v>
      </c>
      <c r="D1434" t="s">
        <v>22</v>
      </c>
      <c r="E1434" s="2">
        <v>12.71</v>
      </c>
      <c r="F1434" s="3">
        <v>42.67</v>
      </c>
      <c r="G1434" s="4">
        <v>180.6</v>
      </c>
      <c r="H1434">
        <v>1</v>
      </c>
      <c r="I1434" s="4">
        <v>180.6</v>
      </c>
      <c r="J1434">
        <v>4.9000000000000004</v>
      </c>
      <c r="K1434" t="s">
        <v>36</v>
      </c>
      <c r="L1434" t="s">
        <v>19</v>
      </c>
      <c r="O1434"/>
    </row>
    <row r="1435" spans="1:15" x14ac:dyDescent="0.3">
      <c r="A1435" t="s">
        <v>1459</v>
      </c>
      <c r="B1435" s="1">
        <v>45718</v>
      </c>
      <c r="C1435" t="s">
        <v>13</v>
      </c>
      <c r="D1435" t="s">
        <v>14</v>
      </c>
      <c r="E1435" s="2">
        <v>24.42</v>
      </c>
      <c r="F1435" s="3">
        <v>54.18</v>
      </c>
      <c r="G1435" s="4">
        <v>341.22</v>
      </c>
      <c r="H1435">
        <v>1</v>
      </c>
      <c r="I1435" s="4">
        <v>341.22</v>
      </c>
      <c r="J1435">
        <v>3.3</v>
      </c>
      <c r="K1435" t="s">
        <v>33</v>
      </c>
      <c r="L1435" t="s">
        <v>19</v>
      </c>
      <c r="O1435"/>
    </row>
    <row r="1436" spans="1:15" x14ac:dyDescent="0.3">
      <c r="A1436" t="s">
        <v>1460</v>
      </c>
      <c r="B1436" s="1">
        <v>45753</v>
      </c>
      <c r="C1436" t="s">
        <v>25</v>
      </c>
      <c r="D1436" t="s">
        <v>14</v>
      </c>
      <c r="E1436" s="2">
        <v>3.27</v>
      </c>
      <c r="F1436" s="3">
        <v>7.01</v>
      </c>
      <c r="G1436" s="4">
        <v>60.51</v>
      </c>
      <c r="H1436">
        <v>2</v>
      </c>
      <c r="I1436" s="4">
        <v>121.02</v>
      </c>
      <c r="J1436">
        <v>4.9000000000000004</v>
      </c>
      <c r="K1436" t="s">
        <v>30</v>
      </c>
      <c r="L1436" t="s">
        <v>28</v>
      </c>
      <c r="O1436"/>
    </row>
    <row r="1437" spans="1:15" x14ac:dyDescent="0.3">
      <c r="A1437" t="s">
        <v>1461</v>
      </c>
      <c r="B1437" s="1">
        <v>45789</v>
      </c>
      <c r="C1437" t="s">
        <v>25</v>
      </c>
      <c r="D1437" t="s">
        <v>21</v>
      </c>
      <c r="E1437" s="2">
        <v>25.15</v>
      </c>
      <c r="F1437" s="3">
        <v>56.59</v>
      </c>
      <c r="G1437" s="4">
        <v>284.14</v>
      </c>
      <c r="H1437">
        <v>1.2</v>
      </c>
      <c r="I1437" s="4">
        <v>340.97</v>
      </c>
      <c r="J1437">
        <v>3.5</v>
      </c>
      <c r="K1437" t="s">
        <v>15</v>
      </c>
      <c r="L1437" t="s">
        <v>26</v>
      </c>
      <c r="O1437"/>
    </row>
    <row r="1438" spans="1:15" x14ac:dyDescent="0.3">
      <c r="A1438" t="s">
        <v>1462</v>
      </c>
      <c r="B1438" s="1">
        <v>45917</v>
      </c>
      <c r="C1438" t="s">
        <v>14</v>
      </c>
      <c r="D1438" t="s">
        <v>21</v>
      </c>
      <c r="E1438" s="2">
        <v>8.35</v>
      </c>
      <c r="F1438" s="3">
        <v>31.46</v>
      </c>
      <c r="G1438" s="4">
        <v>130.38</v>
      </c>
      <c r="H1438">
        <v>2</v>
      </c>
      <c r="I1438" s="4">
        <v>260.76</v>
      </c>
      <c r="J1438">
        <v>4.7</v>
      </c>
      <c r="K1438" t="s">
        <v>15</v>
      </c>
      <c r="L1438" t="s">
        <v>26</v>
      </c>
      <c r="O1438"/>
    </row>
    <row r="1439" spans="1:15" x14ac:dyDescent="0.3">
      <c r="A1439" t="s">
        <v>1463</v>
      </c>
      <c r="B1439" s="1">
        <v>45830</v>
      </c>
      <c r="C1439" t="s">
        <v>13</v>
      </c>
      <c r="D1439" t="s">
        <v>21</v>
      </c>
      <c r="E1439" s="2">
        <v>1.65</v>
      </c>
      <c r="F1439" s="3">
        <v>3.67</v>
      </c>
      <c r="G1439" s="4">
        <v>26.56</v>
      </c>
      <c r="H1439">
        <v>1.2</v>
      </c>
      <c r="I1439" s="4">
        <v>31.87</v>
      </c>
      <c r="J1439">
        <v>3.7</v>
      </c>
      <c r="K1439" t="s">
        <v>36</v>
      </c>
      <c r="L1439" t="s">
        <v>19</v>
      </c>
      <c r="O1439"/>
    </row>
    <row r="1440" spans="1:15" x14ac:dyDescent="0.3">
      <c r="A1440" t="s">
        <v>1464</v>
      </c>
      <c r="B1440" s="1">
        <v>45699</v>
      </c>
      <c r="C1440" t="s">
        <v>13</v>
      </c>
      <c r="D1440" t="s">
        <v>25</v>
      </c>
      <c r="E1440" s="2">
        <v>7.94</v>
      </c>
      <c r="F1440" s="3">
        <v>28.38</v>
      </c>
      <c r="G1440" s="4">
        <v>83.88</v>
      </c>
      <c r="H1440">
        <v>1.5</v>
      </c>
      <c r="I1440" s="4">
        <v>125.82</v>
      </c>
      <c r="J1440">
        <v>4.4000000000000004</v>
      </c>
      <c r="K1440" t="s">
        <v>18</v>
      </c>
      <c r="L1440" t="s">
        <v>16</v>
      </c>
      <c r="O1440"/>
    </row>
    <row r="1441" spans="1:15" x14ac:dyDescent="0.3">
      <c r="A1441" t="s">
        <v>1465</v>
      </c>
      <c r="B1441" s="1">
        <v>45763</v>
      </c>
      <c r="C1441" t="s">
        <v>25</v>
      </c>
      <c r="D1441" t="s">
        <v>13</v>
      </c>
      <c r="E1441" s="2">
        <v>17.25</v>
      </c>
      <c r="F1441" s="3">
        <v>59.64</v>
      </c>
      <c r="G1441" s="4">
        <v>233.71</v>
      </c>
      <c r="H1441">
        <v>1.5</v>
      </c>
      <c r="I1441" s="4">
        <v>350.56</v>
      </c>
      <c r="J1441">
        <v>4.4000000000000004</v>
      </c>
      <c r="K1441" t="s">
        <v>15</v>
      </c>
      <c r="L1441" t="s">
        <v>16</v>
      </c>
      <c r="O1441"/>
    </row>
    <row r="1442" spans="1:15" x14ac:dyDescent="0.3">
      <c r="A1442" t="s">
        <v>1466</v>
      </c>
      <c r="B1442" s="1">
        <v>45899</v>
      </c>
      <c r="C1442" t="s">
        <v>25</v>
      </c>
      <c r="D1442" t="s">
        <v>25</v>
      </c>
      <c r="E1442" s="2">
        <v>16.88</v>
      </c>
      <c r="F1442" s="3">
        <v>55.38</v>
      </c>
      <c r="G1442" s="4">
        <v>212.6</v>
      </c>
      <c r="H1442">
        <v>1.5</v>
      </c>
      <c r="I1442" s="4">
        <v>318.89999999999998</v>
      </c>
      <c r="J1442">
        <v>3.8</v>
      </c>
      <c r="K1442" t="s">
        <v>33</v>
      </c>
      <c r="L1442" t="s">
        <v>16</v>
      </c>
      <c r="O1442"/>
    </row>
    <row r="1443" spans="1:15" x14ac:dyDescent="0.3">
      <c r="A1443" t="s">
        <v>1467</v>
      </c>
      <c r="B1443" s="1">
        <v>45746</v>
      </c>
      <c r="C1443" t="s">
        <v>14</v>
      </c>
      <c r="D1443" t="s">
        <v>25</v>
      </c>
      <c r="E1443" s="2">
        <v>7.51</v>
      </c>
      <c r="F1443" s="3">
        <v>22.53</v>
      </c>
      <c r="G1443" s="4">
        <v>138.22</v>
      </c>
      <c r="H1443">
        <v>2</v>
      </c>
      <c r="I1443" s="4">
        <v>276.44</v>
      </c>
      <c r="J1443">
        <v>3.1</v>
      </c>
      <c r="K1443" t="s">
        <v>18</v>
      </c>
      <c r="L1443" t="s">
        <v>19</v>
      </c>
      <c r="O1443"/>
    </row>
    <row r="1444" spans="1:15" x14ac:dyDescent="0.3">
      <c r="A1444" t="s">
        <v>1468</v>
      </c>
      <c r="B1444" s="1">
        <v>45729</v>
      </c>
      <c r="C1444" t="s">
        <v>25</v>
      </c>
      <c r="D1444" t="s">
        <v>21</v>
      </c>
      <c r="E1444" s="2">
        <v>12.73</v>
      </c>
      <c r="F1444" s="3">
        <v>35.479999999999997</v>
      </c>
      <c r="G1444" s="4">
        <v>151.72999999999999</v>
      </c>
      <c r="H1444">
        <v>1.2</v>
      </c>
      <c r="I1444" s="4">
        <v>182.08</v>
      </c>
      <c r="J1444">
        <v>4.5</v>
      </c>
      <c r="K1444" t="s">
        <v>18</v>
      </c>
      <c r="L1444" t="s">
        <v>19</v>
      </c>
      <c r="O1444"/>
    </row>
    <row r="1445" spans="1:15" x14ac:dyDescent="0.3">
      <c r="A1445" t="s">
        <v>1469</v>
      </c>
      <c r="B1445" s="1">
        <v>45677</v>
      </c>
      <c r="C1445" t="s">
        <v>25</v>
      </c>
      <c r="D1445" t="s">
        <v>14</v>
      </c>
      <c r="E1445" s="2">
        <v>29.69</v>
      </c>
      <c r="F1445" s="3">
        <v>69.290000000000006</v>
      </c>
      <c r="G1445" s="4">
        <v>310.76</v>
      </c>
      <c r="H1445">
        <v>2</v>
      </c>
      <c r="I1445" s="4">
        <v>621.52</v>
      </c>
      <c r="J1445">
        <v>3.5</v>
      </c>
      <c r="K1445" t="s">
        <v>30</v>
      </c>
      <c r="L1445" t="s">
        <v>19</v>
      </c>
      <c r="O1445"/>
    </row>
    <row r="1446" spans="1:15" x14ac:dyDescent="0.3">
      <c r="A1446" t="s">
        <v>1470</v>
      </c>
      <c r="B1446" s="1">
        <v>45853</v>
      </c>
      <c r="C1446" t="s">
        <v>21</v>
      </c>
      <c r="D1446" t="s">
        <v>13</v>
      </c>
      <c r="E1446" s="2">
        <v>25.06</v>
      </c>
      <c r="F1446" s="3">
        <v>85.4</v>
      </c>
      <c r="G1446" s="4">
        <v>487.59</v>
      </c>
      <c r="H1446">
        <v>1.2</v>
      </c>
      <c r="I1446" s="4">
        <v>585.11</v>
      </c>
      <c r="J1446">
        <v>4</v>
      </c>
      <c r="K1446" t="s">
        <v>18</v>
      </c>
      <c r="L1446" t="s">
        <v>26</v>
      </c>
      <c r="O1446"/>
    </row>
    <row r="1447" spans="1:15" x14ac:dyDescent="0.3">
      <c r="A1447" t="s">
        <v>1471</v>
      </c>
      <c r="B1447" s="1">
        <v>45921</v>
      </c>
      <c r="C1447" t="s">
        <v>21</v>
      </c>
      <c r="D1447" t="s">
        <v>13</v>
      </c>
      <c r="E1447" s="2">
        <v>16.39</v>
      </c>
      <c r="F1447" s="3">
        <v>41.15</v>
      </c>
      <c r="G1447" s="4">
        <v>274.64</v>
      </c>
      <c r="H1447">
        <v>1.5</v>
      </c>
      <c r="I1447" s="4">
        <v>411.96</v>
      </c>
      <c r="J1447">
        <v>4</v>
      </c>
      <c r="K1447" t="s">
        <v>15</v>
      </c>
      <c r="L1447" t="s">
        <v>16</v>
      </c>
      <c r="O1447"/>
    </row>
    <row r="1448" spans="1:15" x14ac:dyDescent="0.3">
      <c r="A1448" t="s">
        <v>1472</v>
      </c>
      <c r="B1448" s="1">
        <v>45999</v>
      </c>
      <c r="C1448" t="s">
        <v>22</v>
      </c>
      <c r="D1448" t="s">
        <v>14</v>
      </c>
      <c r="E1448" s="2">
        <v>17.64</v>
      </c>
      <c r="F1448" s="3">
        <v>64.260000000000005</v>
      </c>
      <c r="G1448" s="4">
        <v>181.44</v>
      </c>
      <c r="H1448">
        <v>1</v>
      </c>
      <c r="I1448" s="4">
        <v>181.44</v>
      </c>
      <c r="J1448">
        <v>3.2</v>
      </c>
      <c r="K1448" t="s">
        <v>18</v>
      </c>
      <c r="L1448" t="s">
        <v>19</v>
      </c>
      <c r="O1448"/>
    </row>
    <row r="1449" spans="1:15" x14ac:dyDescent="0.3">
      <c r="A1449" t="s">
        <v>1473</v>
      </c>
      <c r="B1449" s="1">
        <v>45946</v>
      </c>
      <c r="C1449" t="s">
        <v>13</v>
      </c>
      <c r="D1449" t="s">
        <v>13</v>
      </c>
      <c r="E1449" s="2">
        <v>9.49</v>
      </c>
      <c r="F1449" s="3">
        <v>26.43</v>
      </c>
      <c r="G1449" s="4">
        <v>127.36</v>
      </c>
      <c r="H1449">
        <v>2</v>
      </c>
      <c r="I1449" s="4">
        <v>254.72</v>
      </c>
      <c r="J1449">
        <v>3.1</v>
      </c>
      <c r="K1449" t="s">
        <v>18</v>
      </c>
      <c r="L1449" t="s">
        <v>19</v>
      </c>
      <c r="O1449"/>
    </row>
    <row r="1450" spans="1:15" x14ac:dyDescent="0.3">
      <c r="A1450" t="s">
        <v>1474</v>
      </c>
      <c r="B1450" s="1">
        <v>45823</v>
      </c>
      <c r="C1450" t="s">
        <v>14</v>
      </c>
      <c r="D1450" t="s">
        <v>21</v>
      </c>
      <c r="E1450" s="2">
        <v>22.26</v>
      </c>
      <c r="F1450" s="3">
        <v>48.71</v>
      </c>
      <c r="G1450" s="4">
        <v>434.38</v>
      </c>
      <c r="H1450">
        <v>2</v>
      </c>
      <c r="I1450" s="4">
        <v>868.76</v>
      </c>
      <c r="J1450">
        <v>3.3</v>
      </c>
      <c r="K1450" t="s">
        <v>33</v>
      </c>
      <c r="L1450" t="s">
        <v>28</v>
      </c>
      <c r="O1450"/>
    </row>
    <row r="1451" spans="1:15" x14ac:dyDescent="0.3">
      <c r="A1451" t="s">
        <v>1475</v>
      </c>
      <c r="B1451" s="1">
        <v>45667</v>
      </c>
      <c r="C1451" t="s">
        <v>21</v>
      </c>
      <c r="D1451" t="s">
        <v>21</v>
      </c>
      <c r="E1451" s="2">
        <v>9.64</v>
      </c>
      <c r="F1451" s="3">
        <v>27.23</v>
      </c>
      <c r="G1451" s="4">
        <v>117.97</v>
      </c>
      <c r="H1451">
        <v>2</v>
      </c>
      <c r="I1451" s="4">
        <v>235.94</v>
      </c>
      <c r="J1451">
        <v>4.4000000000000004</v>
      </c>
      <c r="K1451" t="s">
        <v>30</v>
      </c>
      <c r="L1451" t="s">
        <v>16</v>
      </c>
      <c r="O1451"/>
    </row>
    <row r="1452" spans="1:15" x14ac:dyDescent="0.3">
      <c r="A1452" t="s">
        <v>1476</v>
      </c>
      <c r="B1452" s="1">
        <v>45993</v>
      </c>
      <c r="C1452" t="s">
        <v>22</v>
      </c>
      <c r="D1452" t="s">
        <v>25</v>
      </c>
      <c r="E1452" s="2">
        <v>19.28</v>
      </c>
      <c r="F1452" s="3">
        <v>66.87</v>
      </c>
      <c r="G1452" s="4">
        <v>264.35000000000002</v>
      </c>
      <c r="H1452">
        <v>1.2</v>
      </c>
      <c r="I1452" s="4">
        <v>317.22000000000003</v>
      </c>
      <c r="J1452">
        <v>3</v>
      </c>
      <c r="K1452" t="s">
        <v>36</v>
      </c>
      <c r="L1452" t="s">
        <v>16</v>
      </c>
      <c r="O1452"/>
    </row>
    <row r="1453" spans="1:15" x14ac:dyDescent="0.3">
      <c r="A1453" t="s">
        <v>1477</v>
      </c>
      <c r="B1453" s="1">
        <v>45940</v>
      </c>
      <c r="C1453" t="s">
        <v>21</v>
      </c>
      <c r="D1453" t="s">
        <v>22</v>
      </c>
      <c r="E1453" s="2">
        <v>16.5</v>
      </c>
      <c r="F1453" s="3">
        <v>55.28</v>
      </c>
      <c r="G1453" s="4">
        <v>233.88</v>
      </c>
      <c r="H1453">
        <v>1.2</v>
      </c>
      <c r="I1453" s="4">
        <v>280.66000000000003</v>
      </c>
      <c r="J1453">
        <v>4.5999999999999996</v>
      </c>
      <c r="K1453" t="s">
        <v>18</v>
      </c>
      <c r="L1453" t="s">
        <v>28</v>
      </c>
      <c r="O1453"/>
    </row>
    <row r="1454" spans="1:15" x14ac:dyDescent="0.3">
      <c r="A1454" t="s">
        <v>1478</v>
      </c>
      <c r="B1454" s="1">
        <v>45690</v>
      </c>
      <c r="C1454" t="s">
        <v>22</v>
      </c>
      <c r="D1454" t="s">
        <v>13</v>
      </c>
      <c r="E1454" s="2">
        <v>3.15</v>
      </c>
      <c r="F1454" s="3">
        <v>7.51</v>
      </c>
      <c r="G1454" s="4">
        <v>57.96</v>
      </c>
      <c r="H1454">
        <v>1.5</v>
      </c>
      <c r="I1454" s="4">
        <v>86.94</v>
      </c>
      <c r="J1454">
        <v>4.7</v>
      </c>
      <c r="K1454" t="s">
        <v>30</v>
      </c>
      <c r="L1454" t="s">
        <v>26</v>
      </c>
      <c r="O1454"/>
    </row>
    <row r="1455" spans="1:15" x14ac:dyDescent="0.3">
      <c r="A1455" t="s">
        <v>1479</v>
      </c>
      <c r="B1455" s="1">
        <v>45834</v>
      </c>
      <c r="C1455" t="s">
        <v>13</v>
      </c>
      <c r="D1455" t="s">
        <v>14</v>
      </c>
      <c r="E1455" s="2">
        <v>4.41</v>
      </c>
      <c r="F1455" s="3">
        <v>17.55</v>
      </c>
      <c r="G1455" s="4">
        <v>53.33</v>
      </c>
      <c r="H1455">
        <v>1.5</v>
      </c>
      <c r="I1455" s="4">
        <v>80</v>
      </c>
      <c r="J1455">
        <v>3.5</v>
      </c>
      <c r="K1455" t="s">
        <v>36</v>
      </c>
      <c r="L1455" t="s">
        <v>28</v>
      </c>
      <c r="O1455"/>
    </row>
    <row r="1456" spans="1:15" x14ac:dyDescent="0.3">
      <c r="A1456" t="s">
        <v>1480</v>
      </c>
      <c r="B1456" s="1">
        <v>45982</v>
      </c>
      <c r="C1456" t="s">
        <v>13</v>
      </c>
      <c r="D1456" t="s">
        <v>13</v>
      </c>
      <c r="E1456" s="2">
        <v>9.83</v>
      </c>
      <c r="F1456" s="3">
        <v>23.12</v>
      </c>
      <c r="G1456" s="4">
        <v>175.62</v>
      </c>
      <c r="H1456">
        <v>1.5</v>
      </c>
      <c r="I1456" s="4">
        <v>263.43</v>
      </c>
      <c r="J1456">
        <v>4.8</v>
      </c>
      <c r="K1456" t="s">
        <v>15</v>
      </c>
      <c r="L1456" t="s">
        <v>28</v>
      </c>
      <c r="O1456"/>
    </row>
    <row r="1457" spans="1:15" x14ac:dyDescent="0.3">
      <c r="A1457" t="s">
        <v>1481</v>
      </c>
      <c r="B1457" s="1">
        <v>45803</v>
      </c>
      <c r="C1457" t="s">
        <v>22</v>
      </c>
      <c r="D1457" t="s">
        <v>21</v>
      </c>
      <c r="E1457" s="2">
        <v>25.38</v>
      </c>
      <c r="F1457" s="3">
        <v>93.79</v>
      </c>
      <c r="G1457" s="4">
        <v>449.62</v>
      </c>
      <c r="H1457">
        <v>1.5</v>
      </c>
      <c r="I1457" s="4">
        <v>674.43</v>
      </c>
      <c r="J1457">
        <v>3.7</v>
      </c>
      <c r="K1457" t="s">
        <v>15</v>
      </c>
      <c r="L1457" t="s">
        <v>28</v>
      </c>
      <c r="O1457"/>
    </row>
    <row r="1458" spans="1:15" x14ac:dyDescent="0.3">
      <c r="A1458" t="s">
        <v>1482</v>
      </c>
      <c r="B1458" s="1">
        <v>45792</v>
      </c>
      <c r="C1458" t="s">
        <v>13</v>
      </c>
      <c r="D1458" t="s">
        <v>22</v>
      </c>
      <c r="E1458" s="2">
        <v>18.47</v>
      </c>
      <c r="F1458" s="3">
        <v>47.87</v>
      </c>
      <c r="G1458" s="4">
        <v>348.75</v>
      </c>
      <c r="H1458">
        <v>2</v>
      </c>
      <c r="I1458" s="4">
        <v>697.5</v>
      </c>
      <c r="J1458">
        <v>3.8</v>
      </c>
      <c r="K1458" t="s">
        <v>15</v>
      </c>
      <c r="L1458" t="s">
        <v>19</v>
      </c>
      <c r="O1458"/>
    </row>
    <row r="1459" spans="1:15" x14ac:dyDescent="0.3">
      <c r="A1459" t="s">
        <v>1483</v>
      </c>
      <c r="B1459" s="1">
        <v>45965</v>
      </c>
      <c r="C1459" t="s">
        <v>25</v>
      </c>
      <c r="D1459" t="s">
        <v>14</v>
      </c>
      <c r="E1459" s="2">
        <v>19.52</v>
      </c>
      <c r="F1459" s="3">
        <v>41.02</v>
      </c>
      <c r="G1459" s="4">
        <v>376.01</v>
      </c>
      <c r="H1459">
        <v>1.5</v>
      </c>
      <c r="I1459" s="4">
        <v>564.02</v>
      </c>
      <c r="J1459">
        <v>3.9</v>
      </c>
      <c r="K1459" t="s">
        <v>30</v>
      </c>
      <c r="L1459" t="s">
        <v>28</v>
      </c>
      <c r="O1459"/>
    </row>
    <row r="1460" spans="1:15" x14ac:dyDescent="0.3">
      <c r="A1460" t="s">
        <v>1484</v>
      </c>
      <c r="B1460" s="1">
        <v>45985</v>
      </c>
      <c r="C1460" t="s">
        <v>13</v>
      </c>
      <c r="D1460" t="s">
        <v>21</v>
      </c>
      <c r="E1460" s="2">
        <v>20.62</v>
      </c>
      <c r="F1460" s="3">
        <v>45.05</v>
      </c>
      <c r="G1460" s="4">
        <v>356.63</v>
      </c>
      <c r="H1460">
        <v>1</v>
      </c>
      <c r="I1460" s="4">
        <v>356.63</v>
      </c>
      <c r="J1460">
        <v>4</v>
      </c>
      <c r="K1460" t="s">
        <v>18</v>
      </c>
      <c r="L1460" t="s">
        <v>16</v>
      </c>
      <c r="O1460"/>
    </row>
    <row r="1461" spans="1:15" x14ac:dyDescent="0.3">
      <c r="A1461" t="s">
        <v>1485</v>
      </c>
      <c r="B1461" s="1">
        <v>45707</v>
      </c>
      <c r="C1461" t="s">
        <v>22</v>
      </c>
      <c r="D1461" t="s">
        <v>14</v>
      </c>
      <c r="E1461" s="2">
        <v>11.81</v>
      </c>
      <c r="F1461" s="3">
        <v>27.06</v>
      </c>
      <c r="G1461" s="4">
        <v>166.06</v>
      </c>
      <c r="H1461">
        <v>1</v>
      </c>
      <c r="I1461" s="4">
        <v>166.06</v>
      </c>
      <c r="J1461">
        <v>4.5</v>
      </c>
      <c r="K1461" t="s">
        <v>18</v>
      </c>
      <c r="L1461" t="s">
        <v>16</v>
      </c>
      <c r="O1461"/>
    </row>
    <row r="1462" spans="1:15" x14ac:dyDescent="0.3">
      <c r="A1462" t="s">
        <v>1486</v>
      </c>
      <c r="B1462" s="1">
        <v>45757</v>
      </c>
      <c r="C1462" t="s">
        <v>13</v>
      </c>
      <c r="D1462" t="s">
        <v>21</v>
      </c>
      <c r="E1462" s="2">
        <v>2.19</v>
      </c>
      <c r="F1462" s="3">
        <v>6.69</v>
      </c>
      <c r="G1462" s="4">
        <v>41.31</v>
      </c>
      <c r="H1462">
        <v>1</v>
      </c>
      <c r="I1462" s="4">
        <v>41.31</v>
      </c>
      <c r="J1462">
        <v>4.3</v>
      </c>
      <c r="K1462" t="s">
        <v>18</v>
      </c>
      <c r="L1462" t="s">
        <v>26</v>
      </c>
      <c r="O1462"/>
    </row>
    <row r="1463" spans="1:15" x14ac:dyDescent="0.3">
      <c r="A1463" t="s">
        <v>1487</v>
      </c>
      <c r="B1463" s="1">
        <v>45680</v>
      </c>
      <c r="C1463" t="s">
        <v>25</v>
      </c>
      <c r="D1463" t="s">
        <v>21</v>
      </c>
      <c r="E1463" s="2">
        <v>27.74</v>
      </c>
      <c r="F1463" s="3">
        <v>61.28</v>
      </c>
      <c r="G1463" s="4">
        <v>313.11</v>
      </c>
      <c r="H1463">
        <v>1.5</v>
      </c>
      <c r="I1463" s="4">
        <v>469.66</v>
      </c>
      <c r="J1463">
        <v>3</v>
      </c>
      <c r="K1463" t="s">
        <v>30</v>
      </c>
      <c r="L1463" t="s">
        <v>19</v>
      </c>
      <c r="O1463"/>
    </row>
    <row r="1464" spans="1:15" x14ac:dyDescent="0.3">
      <c r="A1464" t="s">
        <v>1488</v>
      </c>
      <c r="B1464" s="1">
        <v>45990</v>
      </c>
      <c r="C1464" t="s">
        <v>21</v>
      </c>
      <c r="D1464" t="s">
        <v>22</v>
      </c>
      <c r="E1464" s="2">
        <v>10.65</v>
      </c>
      <c r="F1464" s="3">
        <v>30.64</v>
      </c>
      <c r="G1464" s="4">
        <v>134.47999999999999</v>
      </c>
      <c r="H1464">
        <v>1</v>
      </c>
      <c r="I1464" s="4">
        <v>134.47999999999999</v>
      </c>
      <c r="J1464">
        <v>4.5</v>
      </c>
      <c r="K1464" t="s">
        <v>18</v>
      </c>
      <c r="L1464" t="s">
        <v>19</v>
      </c>
      <c r="O1464"/>
    </row>
    <row r="1465" spans="1:15" x14ac:dyDescent="0.3">
      <c r="A1465" t="s">
        <v>1489</v>
      </c>
      <c r="B1465" s="1">
        <v>45866</v>
      </c>
      <c r="C1465" t="s">
        <v>14</v>
      </c>
      <c r="D1465" t="s">
        <v>22</v>
      </c>
      <c r="E1465" s="2">
        <v>15.92</v>
      </c>
      <c r="F1465" s="3">
        <v>38.21</v>
      </c>
      <c r="G1465" s="4">
        <v>210.08</v>
      </c>
      <c r="H1465">
        <v>1.2</v>
      </c>
      <c r="I1465" s="4">
        <v>252.1</v>
      </c>
      <c r="J1465">
        <v>4.5999999999999996</v>
      </c>
      <c r="K1465" t="s">
        <v>15</v>
      </c>
      <c r="L1465" t="s">
        <v>16</v>
      </c>
      <c r="O1465"/>
    </row>
    <row r="1466" spans="1:15" x14ac:dyDescent="0.3">
      <c r="A1466" t="s">
        <v>1490</v>
      </c>
      <c r="B1466" s="1">
        <v>45835</v>
      </c>
      <c r="C1466" t="s">
        <v>13</v>
      </c>
      <c r="D1466" t="s">
        <v>21</v>
      </c>
      <c r="E1466" s="2">
        <v>5.28</v>
      </c>
      <c r="F1466" s="3">
        <v>11.33</v>
      </c>
      <c r="G1466" s="4">
        <v>95.69</v>
      </c>
      <c r="H1466">
        <v>1.5</v>
      </c>
      <c r="I1466" s="4">
        <v>143.54</v>
      </c>
      <c r="J1466">
        <v>4.5999999999999996</v>
      </c>
      <c r="K1466" t="s">
        <v>36</v>
      </c>
      <c r="L1466" t="s">
        <v>19</v>
      </c>
      <c r="O1466"/>
    </row>
    <row r="1467" spans="1:15" x14ac:dyDescent="0.3">
      <c r="A1467" t="s">
        <v>1491</v>
      </c>
      <c r="B1467" s="1">
        <v>45925</v>
      </c>
      <c r="C1467" t="s">
        <v>22</v>
      </c>
      <c r="D1467" t="s">
        <v>21</v>
      </c>
      <c r="E1467" s="2">
        <v>21.77</v>
      </c>
      <c r="F1467" s="3">
        <v>72.69</v>
      </c>
      <c r="G1467" s="4">
        <v>321.54000000000002</v>
      </c>
      <c r="H1467">
        <v>1.5</v>
      </c>
      <c r="I1467" s="4">
        <v>482.31</v>
      </c>
      <c r="J1467">
        <v>4.7</v>
      </c>
      <c r="K1467" t="s">
        <v>30</v>
      </c>
      <c r="L1467" t="s">
        <v>28</v>
      </c>
      <c r="O1467"/>
    </row>
    <row r="1468" spans="1:15" x14ac:dyDescent="0.3">
      <c r="A1468" t="s">
        <v>1492</v>
      </c>
      <c r="B1468" s="1">
        <v>45873</v>
      </c>
      <c r="C1468" t="s">
        <v>25</v>
      </c>
      <c r="D1468" t="s">
        <v>14</v>
      </c>
      <c r="E1468" s="2">
        <v>25.41</v>
      </c>
      <c r="F1468" s="3">
        <v>66.02</v>
      </c>
      <c r="G1468" s="4">
        <v>334.55</v>
      </c>
      <c r="H1468">
        <v>1.2</v>
      </c>
      <c r="I1468" s="4">
        <v>401.46</v>
      </c>
      <c r="J1468">
        <v>3.6</v>
      </c>
      <c r="K1468" t="s">
        <v>33</v>
      </c>
      <c r="L1468" t="s">
        <v>19</v>
      </c>
      <c r="O1468"/>
    </row>
    <row r="1469" spans="1:15" x14ac:dyDescent="0.3">
      <c r="A1469" t="s">
        <v>1493</v>
      </c>
      <c r="B1469" s="1">
        <v>45865</v>
      </c>
      <c r="C1469" t="s">
        <v>14</v>
      </c>
      <c r="D1469" t="s">
        <v>13</v>
      </c>
      <c r="E1469" s="2">
        <v>22.07</v>
      </c>
      <c r="F1469" s="3">
        <v>81.03</v>
      </c>
      <c r="G1469" s="4">
        <v>312.33</v>
      </c>
      <c r="H1469">
        <v>1</v>
      </c>
      <c r="I1469" s="4">
        <v>312.33</v>
      </c>
      <c r="J1469">
        <v>4.5</v>
      </c>
      <c r="K1469" t="s">
        <v>30</v>
      </c>
      <c r="L1469" t="s">
        <v>16</v>
      </c>
      <c r="O1469"/>
    </row>
    <row r="1470" spans="1:15" x14ac:dyDescent="0.3">
      <c r="A1470" t="s">
        <v>1494</v>
      </c>
      <c r="B1470" s="1">
        <v>45704</v>
      </c>
      <c r="C1470" t="s">
        <v>14</v>
      </c>
      <c r="D1470" t="s">
        <v>25</v>
      </c>
      <c r="E1470" s="2">
        <v>26.6</v>
      </c>
      <c r="F1470" s="3">
        <v>81.28</v>
      </c>
      <c r="G1470" s="4">
        <v>403.69</v>
      </c>
      <c r="H1470">
        <v>1.2</v>
      </c>
      <c r="I1470" s="4">
        <v>484.43</v>
      </c>
      <c r="J1470">
        <v>4.9000000000000004</v>
      </c>
      <c r="K1470" t="s">
        <v>30</v>
      </c>
      <c r="L1470" t="s">
        <v>26</v>
      </c>
      <c r="O1470"/>
    </row>
    <row r="1471" spans="1:15" x14ac:dyDescent="0.3">
      <c r="A1471" t="s">
        <v>1495</v>
      </c>
      <c r="B1471" s="1">
        <v>46010</v>
      </c>
      <c r="C1471" t="s">
        <v>25</v>
      </c>
      <c r="D1471" t="s">
        <v>14</v>
      </c>
      <c r="E1471" s="2">
        <v>28.98</v>
      </c>
      <c r="F1471" s="3">
        <v>62.22</v>
      </c>
      <c r="G1471" s="4">
        <v>305.29000000000002</v>
      </c>
      <c r="H1471">
        <v>1.5</v>
      </c>
      <c r="I1471" s="4">
        <v>457.94</v>
      </c>
      <c r="J1471">
        <v>3.3</v>
      </c>
      <c r="K1471" t="s">
        <v>30</v>
      </c>
      <c r="L1471" t="s">
        <v>16</v>
      </c>
      <c r="O1471"/>
    </row>
    <row r="1472" spans="1:15" x14ac:dyDescent="0.3">
      <c r="A1472" t="s">
        <v>1496</v>
      </c>
      <c r="B1472" s="1">
        <v>45885</v>
      </c>
      <c r="C1472" t="s">
        <v>22</v>
      </c>
      <c r="D1472" t="s">
        <v>13</v>
      </c>
      <c r="E1472" s="2">
        <v>18.829999999999998</v>
      </c>
      <c r="F1472" s="3">
        <v>55.83</v>
      </c>
      <c r="G1472" s="4">
        <v>205.94</v>
      </c>
      <c r="H1472">
        <v>1.5</v>
      </c>
      <c r="I1472" s="4">
        <v>308.91000000000003</v>
      </c>
      <c r="J1472">
        <v>3.5</v>
      </c>
      <c r="K1472" t="s">
        <v>18</v>
      </c>
      <c r="L1472" t="s">
        <v>26</v>
      </c>
      <c r="O1472"/>
    </row>
    <row r="1473" spans="1:15" x14ac:dyDescent="0.3">
      <c r="A1473" t="s">
        <v>1497</v>
      </c>
      <c r="B1473" s="1">
        <v>45973</v>
      </c>
      <c r="C1473" t="s">
        <v>21</v>
      </c>
      <c r="D1473" t="s">
        <v>21</v>
      </c>
      <c r="E1473" s="2">
        <v>9.8800000000000008</v>
      </c>
      <c r="F1473" s="3">
        <v>36.32</v>
      </c>
      <c r="G1473" s="4">
        <v>105.95</v>
      </c>
      <c r="H1473">
        <v>1</v>
      </c>
      <c r="I1473" s="4">
        <v>105.95</v>
      </c>
      <c r="J1473">
        <v>3.3</v>
      </c>
      <c r="K1473" t="s">
        <v>18</v>
      </c>
      <c r="L1473" t="s">
        <v>28</v>
      </c>
      <c r="O1473"/>
    </row>
    <row r="1474" spans="1:15" x14ac:dyDescent="0.3">
      <c r="A1474" t="s">
        <v>1498</v>
      </c>
      <c r="B1474" s="1">
        <v>45916</v>
      </c>
      <c r="C1474" t="s">
        <v>13</v>
      </c>
      <c r="D1474" t="s">
        <v>22</v>
      </c>
      <c r="E1474" s="2">
        <v>18.2</v>
      </c>
      <c r="F1474" s="3">
        <v>70.47</v>
      </c>
      <c r="G1474" s="4">
        <v>305.42</v>
      </c>
      <c r="H1474">
        <v>1.5</v>
      </c>
      <c r="I1474" s="4">
        <v>458.13</v>
      </c>
      <c r="J1474">
        <v>4.7</v>
      </c>
      <c r="K1474" t="s">
        <v>33</v>
      </c>
      <c r="L1474" t="s">
        <v>26</v>
      </c>
      <c r="O1474"/>
    </row>
    <row r="1475" spans="1:15" x14ac:dyDescent="0.3">
      <c r="A1475" t="s">
        <v>1499</v>
      </c>
      <c r="B1475" s="1">
        <v>45865</v>
      </c>
      <c r="C1475" t="s">
        <v>25</v>
      </c>
      <c r="D1475" t="s">
        <v>22</v>
      </c>
      <c r="E1475" s="2">
        <v>10.98</v>
      </c>
      <c r="F1475" s="3">
        <v>28.05</v>
      </c>
      <c r="G1475" s="4">
        <v>219.24</v>
      </c>
      <c r="H1475">
        <v>1</v>
      </c>
      <c r="I1475" s="4">
        <v>219.24</v>
      </c>
      <c r="J1475">
        <v>3.1</v>
      </c>
      <c r="K1475" t="s">
        <v>18</v>
      </c>
      <c r="L1475" t="s">
        <v>28</v>
      </c>
      <c r="O1475"/>
    </row>
    <row r="1476" spans="1:15" x14ac:dyDescent="0.3">
      <c r="A1476" t="s">
        <v>1500</v>
      </c>
      <c r="B1476" s="1">
        <v>45744</v>
      </c>
      <c r="C1476" t="s">
        <v>22</v>
      </c>
      <c r="D1476" t="s">
        <v>22</v>
      </c>
      <c r="E1476" s="2">
        <v>11.3</v>
      </c>
      <c r="F1476" s="3">
        <v>23.71</v>
      </c>
      <c r="G1476" s="4">
        <v>116.51</v>
      </c>
      <c r="H1476">
        <v>1.5</v>
      </c>
      <c r="I1476" s="4">
        <v>174.76</v>
      </c>
      <c r="J1476">
        <v>3</v>
      </c>
      <c r="K1476" t="s">
        <v>36</v>
      </c>
      <c r="L1476" t="s">
        <v>28</v>
      </c>
      <c r="O1476"/>
    </row>
    <row r="1477" spans="1:15" x14ac:dyDescent="0.3">
      <c r="A1477" t="s">
        <v>1501</v>
      </c>
      <c r="B1477" s="1">
        <v>45868</v>
      </c>
      <c r="C1477" t="s">
        <v>21</v>
      </c>
      <c r="D1477" t="s">
        <v>13</v>
      </c>
      <c r="E1477" s="2">
        <v>1.46</v>
      </c>
      <c r="F1477" s="3">
        <v>3.19</v>
      </c>
      <c r="G1477" s="4">
        <v>19.37</v>
      </c>
      <c r="H1477">
        <v>1.5</v>
      </c>
      <c r="I1477" s="4">
        <v>29.06</v>
      </c>
      <c r="J1477">
        <v>3.5</v>
      </c>
      <c r="K1477" t="s">
        <v>30</v>
      </c>
      <c r="L1477" t="s">
        <v>19</v>
      </c>
      <c r="O1477"/>
    </row>
    <row r="1478" spans="1:15" x14ac:dyDescent="0.3">
      <c r="A1478" t="s">
        <v>1502</v>
      </c>
      <c r="B1478" s="1">
        <v>45967</v>
      </c>
      <c r="C1478" t="s">
        <v>14</v>
      </c>
      <c r="D1478" t="s">
        <v>13</v>
      </c>
      <c r="E1478" s="2">
        <v>17.87</v>
      </c>
      <c r="F1478" s="3">
        <v>37.72</v>
      </c>
      <c r="G1478" s="4">
        <v>204.54</v>
      </c>
      <c r="H1478">
        <v>1.2</v>
      </c>
      <c r="I1478" s="4">
        <v>245.45</v>
      </c>
      <c r="J1478">
        <v>4.8</v>
      </c>
      <c r="K1478" t="s">
        <v>30</v>
      </c>
      <c r="L1478" t="s">
        <v>28</v>
      </c>
      <c r="O1478"/>
    </row>
    <row r="1479" spans="1:15" x14ac:dyDescent="0.3">
      <c r="A1479" t="s">
        <v>1503</v>
      </c>
      <c r="B1479" s="1">
        <v>46022</v>
      </c>
      <c r="C1479" t="s">
        <v>13</v>
      </c>
      <c r="D1479" t="s">
        <v>14</v>
      </c>
      <c r="E1479" s="2">
        <v>19.55</v>
      </c>
      <c r="F1479" s="3">
        <v>41.24</v>
      </c>
      <c r="G1479" s="4">
        <v>275.14</v>
      </c>
      <c r="H1479">
        <v>1</v>
      </c>
      <c r="I1479" s="4">
        <v>275.14</v>
      </c>
      <c r="J1479">
        <v>3</v>
      </c>
      <c r="K1479" t="s">
        <v>33</v>
      </c>
      <c r="L1479" t="s">
        <v>28</v>
      </c>
      <c r="O1479"/>
    </row>
    <row r="1480" spans="1:15" x14ac:dyDescent="0.3">
      <c r="A1480" t="s">
        <v>1504</v>
      </c>
      <c r="B1480" s="1">
        <v>45679</v>
      </c>
      <c r="C1480" t="s">
        <v>21</v>
      </c>
      <c r="D1480" t="s">
        <v>13</v>
      </c>
      <c r="E1480" s="2">
        <v>17.440000000000001</v>
      </c>
      <c r="F1480" s="3">
        <v>67.260000000000005</v>
      </c>
      <c r="G1480" s="4">
        <v>183.95</v>
      </c>
      <c r="H1480">
        <v>1.5</v>
      </c>
      <c r="I1480" s="4">
        <v>275.92</v>
      </c>
      <c r="J1480">
        <v>3.8</v>
      </c>
      <c r="K1480" t="s">
        <v>30</v>
      </c>
      <c r="L1480" t="s">
        <v>16</v>
      </c>
      <c r="O1480"/>
    </row>
    <row r="1481" spans="1:15" x14ac:dyDescent="0.3">
      <c r="A1481" t="s">
        <v>1505</v>
      </c>
      <c r="B1481" s="1">
        <v>45840</v>
      </c>
      <c r="C1481" t="s">
        <v>14</v>
      </c>
      <c r="D1481" t="s">
        <v>14</v>
      </c>
      <c r="E1481" s="2">
        <v>14.42</v>
      </c>
      <c r="F1481" s="3">
        <v>52.1</v>
      </c>
      <c r="G1481" s="4">
        <v>170.1</v>
      </c>
      <c r="H1481">
        <v>1.5</v>
      </c>
      <c r="I1481" s="4">
        <v>255.15</v>
      </c>
      <c r="J1481">
        <v>3</v>
      </c>
      <c r="K1481" t="s">
        <v>36</v>
      </c>
      <c r="L1481" t="s">
        <v>19</v>
      </c>
      <c r="O1481"/>
    </row>
    <row r="1482" spans="1:15" x14ac:dyDescent="0.3">
      <c r="A1482" t="s">
        <v>1506</v>
      </c>
      <c r="B1482" s="1">
        <v>46003</v>
      </c>
      <c r="C1482" t="s">
        <v>21</v>
      </c>
      <c r="D1482" t="s">
        <v>22</v>
      </c>
      <c r="E1482" s="2">
        <v>10.91</v>
      </c>
      <c r="F1482" s="3">
        <v>40.9</v>
      </c>
      <c r="G1482" s="4">
        <v>170.62</v>
      </c>
      <c r="H1482">
        <v>1.2</v>
      </c>
      <c r="I1482" s="4">
        <v>204.74</v>
      </c>
      <c r="J1482">
        <v>3.4</v>
      </c>
      <c r="K1482" t="s">
        <v>36</v>
      </c>
      <c r="L1482" t="s">
        <v>16</v>
      </c>
      <c r="O1482"/>
    </row>
    <row r="1483" spans="1:15" x14ac:dyDescent="0.3">
      <c r="A1483" t="s">
        <v>1507</v>
      </c>
      <c r="B1483" s="1">
        <v>45685</v>
      </c>
      <c r="C1483" t="s">
        <v>21</v>
      </c>
      <c r="D1483" t="s">
        <v>25</v>
      </c>
      <c r="E1483" s="2">
        <v>17.82</v>
      </c>
      <c r="F1483" s="3">
        <v>41.43</v>
      </c>
      <c r="G1483" s="4">
        <v>298.33999999999997</v>
      </c>
      <c r="H1483">
        <v>2</v>
      </c>
      <c r="I1483" s="4">
        <v>596.67999999999995</v>
      </c>
      <c r="J1483">
        <v>4.5</v>
      </c>
      <c r="K1483" t="s">
        <v>15</v>
      </c>
      <c r="L1483" t="s">
        <v>28</v>
      </c>
      <c r="O1483"/>
    </row>
    <row r="1484" spans="1:15" x14ac:dyDescent="0.3">
      <c r="A1484" t="s">
        <v>1508</v>
      </c>
      <c r="B1484" s="1">
        <v>45777</v>
      </c>
      <c r="C1484" t="s">
        <v>22</v>
      </c>
      <c r="D1484" t="s">
        <v>21</v>
      </c>
      <c r="E1484" s="2">
        <v>29.7</v>
      </c>
      <c r="F1484" s="3">
        <v>81.819999999999993</v>
      </c>
      <c r="G1484" s="4">
        <v>429.09</v>
      </c>
      <c r="H1484">
        <v>2</v>
      </c>
      <c r="I1484" s="4">
        <v>858.18</v>
      </c>
      <c r="J1484">
        <v>4.5</v>
      </c>
      <c r="K1484" t="s">
        <v>33</v>
      </c>
      <c r="L1484" t="s">
        <v>19</v>
      </c>
      <c r="O1484"/>
    </row>
    <row r="1485" spans="1:15" x14ac:dyDescent="0.3">
      <c r="A1485" t="s">
        <v>1509</v>
      </c>
      <c r="B1485" s="1">
        <v>45723</v>
      </c>
      <c r="C1485" t="s">
        <v>14</v>
      </c>
      <c r="D1485" t="s">
        <v>21</v>
      </c>
      <c r="E1485" s="2">
        <v>27.72</v>
      </c>
      <c r="F1485" s="3">
        <v>62.57</v>
      </c>
      <c r="G1485" s="4">
        <v>400.77</v>
      </c>
      <c r="H1485">
        <v>2</v>
      </c>
      <c r="I1485" s="4">
        <v>801.54</v>
      </c>
      <c r="J1485">
        <v>3.3</v>
      </c>
      <c r="K1485" t="s">
        <v>33</v>
      </c>
      <c r="L1485" t="s">
        <v>26</v>
      </c>
      <c r="O1485"/>
    </row>
    <row r="1486" spans="1:15" x14ac:dyDescent="0.3">
      <c r="A1486" t="s">
        <v>1510</v>
      </c>
      <c r="B1486" s="1">
        <v>45951</v>
      </c>
      <c r="C1486" t="s">
        <v>25</v>
      </c>
      <c r="D1486" t="s">
        <v>13</v>
      </c>
      <c r="E1486" s="2">
        <v>8.17</v>
      </c>
      <c r="F1486" s="3">
        <v>28.57</v>
      </c>
      <c r="G1486" s="4">
        <v>103.11</v>
      </c>
      <c r="H1486">
        <v>1</v>
      </c>
      <c r="I1486" s="4">
        <v>103.11</v>
      </c>
      <c r="J1486">
        <v>4.2</v>
      </c>
      <c r="K1486" t="s">
        <v>30</v>
      </c>
      <c r="L1486" t="s">
        <v>26</v>
      </c>
      <c r="O1486"/>
    </row>
    <row r="1487" spans="1:15" x14ac:dyDescent="0.3">
      <c r="A1487" t="s">
        <v>1511</v>
      </c>
      <c r="B1487" s="1">
        <v>45995</v>
      </c>
      <c r="C1487" t="s">
        <v>14</v>
      </c>
      <c r="D1487" t="s">
        <v>22</v>
      </c>
      <c r="E1487" s="2">
        <v>6.7</v>
      </c>
      <c r="F1487" s="3">
        <v>21.63</v>
      </c>
      <c r="G1487" s="4">
        <v>72.88</v>
      </c>
      <c r="H1487">
        <v>1.5</v>
      </c>
      <c r="I1487" s="4">
        <v>109.32</v>
      </c>
      <c r="J1487">
        <v>4.9000000000000004</v>
      </c>
      <c r="K1487" t="s">
        <v>15</v>
      </c>
      <c r="L1487" t="s">
        <v>28</v>
      </c>
      <c r="O1487"/>
    </row>
    <row r="1488" spans="1:15" x14ac:dyDescent="0.3">
      <c r="A1488" t="s">
        <v>1512</v>
      </c>
      <c r="B1488" s="1">
        <v>45714</v>
      </c>
      <c r="C1488" t="s">
        <v>21</v>
      </c>
      <c r="D1488" t="s">
        <v>14</v>
      </c>
      <c r="E1488" s="2">
        <v>29.49</v>
      </c>
      <c r="F1488" s="3">
        <v>90.11</v>
      </c>
      <c r="G1488" s="4">
        <v>527.26</v>
      </c>
      <c r="H1488">
        <v>1.5</v>
      </c>
      <c r="I1488" s="4">
        <v>790.89</v>
      </c>
      <c r="J1488">
        <v>3.2</v>
      </c>
      <c r="K1488" t="s">
        <v>30</v>
      </c>
      <c r="L1488" t="s">
        <v>26</v>
      </c>
      <c r="O1488"/>
    </row>
    <row r="1489" spans="1:15" x14ac:dyDescent="0.3">
      <c r="A1489" t="s">
        <v>1513</v>
      </c>
      <c r="B1489" s="1">
        <v>45960</v>
      </c>
      <c r="C1489" t="s">
        <v>25</v>
      </c>
      <c r="D1489" t="s">
        <v>25</v>
      </c>
      <c r="E1489" s="2">
        <v>10.82</v>
      </c>
      <c r="F1489" s="3">
        <v>31.81</v>
      </c>
      <c r="G1489" s="4">
        <v>201.03</v>
      </c>
      <c r="H1489">
        <v>1</v>
      </c>
      <c r="I1489" s="4">
        <v>201.03</v>
      </c>
      <c r="J1489">
        <v>3.6</v>
      </c>
      <c r="K1489" t="s">
        <v>33</v>
      </c>
      <c r="L1489" t="s">
        <v>28</v>
      </c>
      <c r="O1489"/>
    </row>
    <row r="1490" spans="1:15" x14ac:dyDescent="0.3">
      <c r="A1490" t="s">
        <v>1514</v>
      </c>
      <c r="B1490" s="1">
        <v>45907</v>
      </c>
      <c r="C1490" t="s">
        <v>13</v>
      </c>
      <c r="D1490" t="s">
        <v>22</v>
      </c>
      <c r="E1490" s="2">
        <v>7.66</v>
      </c>
      <c r="F1490" s="3">
        <v>26.8</v>
      </c>
      <c r="G1490" s="4">
        <v>124.9</v>
      </c>
      <c r="H1490">
        <v>1.2</v>
      </c>
      <c r="I1490" s="4">
        <v>149.88</v>
      </c>
      <c r="J1490">
        <v>4.8</v>
      </c>
      <c r="K1490" t="s">
        <v>18</v>
      </c>
      <c r="L1490" t="s">
        <v>26</v>
      </c>
      <c r="O1490"/>
    </row>
    <row r="1491" spans="1:15" x14ac:dyDescent="0.3">
      <c r="A1491" t="s">
        <v>1515</v>
      </c>
      <c r="B1491" s="1">
        <v>45798</v>
      </c>
      <c r="C1491" t="s">
        <v>25</v>
      </c>
      <c r="D1491" t="s">
        <v>13</v>
      </c>
      <c r="E1491" s="2">
        <v>28.05</v>
      </c>
      <c r="F1491" s="3">
        <v>91.58</v>
      </c>
      <c r="G1491" s="4">
        <v>361.37</v>
      </c>
      <c r="H1491">
        <v>2</v>
      </c>
      <c r="I1491" s="4">
        <v>722.74</v>
      </c>
      <c r="J1491">
        <v>3</v>
      </c>
      <c r="K1491" t="s">
        <v>18</v>
      </c>
      <c r="L1491" t="s">
        <v>28</v>
      </c>
      <c r="O1491"/>
    </row>
    <row r="1492" spans="1:15" x14ac:dyDescent="0.3">
      <c r="A1492" t="s">
        <v>1516</v>
      </c>
      <c r="B1492" s="1">
        <v>45697</v>
      </c>
      <c r="C1492" t="s">
        <v>22</v>
      </c>
      <c r="D1492" t="s">
        <v>21</v>
      </c>
      <c r="E1492" s="2">
        <v>9.52</v>
      </c>
      <c r="F1492" s="3">
        <v>26.65</v>
      </c>
      <c r="G1492" s="4">
        <v>176.35</v>
      </c>
      <c r="H1492">
        <v>1</v>
      </c>
      <c r="I1492" s="4">
        <v>176.35</v>
      </c>
      <c r="J1492">
        <v>3</v>
      </c>
      <c r="K1492" t="s">
        <v>36</v>
      </c>
      <c r="L1492" t="s">
        <v>28</v>
      </c>
      <c r="O1492"/>
    </row>
    <row r="1493" spans="1:15" x14ac:dyDescent="0.3">
      <c r="A1493" t="s">
        <v>1517</v>
      </c>
      <c r="B1493" s="1">
        <v>45914</v>
      </c>
      <c r="C1493" t="s">
        <v>13</v>
      </c>
      <c r="D1493" t="s">
        <v>22</v>
      </c>
      <c r="E1493" s="2">
        <v>12.37</v>
      </c>
      <c r="F1493" s="3">
        <v>31.26</v>
      </c>
      <c r="G1493" s="4">
        <v>241.79</v>
      </c>
      <c r="H1493">
        <v>1.2</v>
      </c>
      <c r="I1493" s="4">
        <v>290.14999999999998</v>
      </c>
      <c r="J1493">
        <v>4.3</v>
      </c>
      <c r="K1493" t="s">
        <v>30</v>
      </c>
      <c r="L1493" t="s">
        <v>16</v>
      </c>
      <c r="O1493"/>
    </row>
    <row r="1494" spans="1:15" x14ac:dyDescent="0.3">
      <c r="A1494" t="s">
        <v>1518</v>
      </c>
      <c r="B1494" s="1">
        <v>45965</v>
      </c>
      <c r="C1494" t="s">
        <v>22</v>
      </c>
      <c r="D1494" t="s">
        <v>21</v>
      </c>
      <c r="E1494" s="2">
        <v>6.9</v>
      </c>
      <c r="F1494" s="3">
        <v>15.83</v>
      </c>
      <c r="G1494" s="4">
        <v>128.05000000000001</v>
      </c>
      <c r="H1494">
        <v>1</v>
      </c>
      <c r="I1494" s="4">
        <v>128.05000000000001</v>
      </c>
      <c r="J1494">
        <v>3.5</v>
      </c>
      <c r="K1494" t="s">
        <v>15</v>
      </c>
      <c r="L1494" t="s">
        <v>26</v>
      </c>
      <c r="O1494"/>
    </row>
    <row r="1495" spans="1:15" x14ac:dyDescent="0.3">
      <c r="A1495" t="s">
        <v>1519</v>
      </c>
      <c r="B1495" s="1">
        <v>45911</v>
      </c>
      <c r="C1495" t="s">
        <v>25</v>
      </c>
      <c r="D1495" t="s">
        <v>14</v>
      </c>
      <c r="E1495" s="2">
        <v>8.81</v>
      </c>
      <c r="F1495" s="3">
        <v>31.73</v>
      </c>
      <c r="G1495" s="4">
        <v>128.09</v>
      </c>
      <c r="H1495">
        <v>1.2</v>
      </c>
      <c r="I1495" s="4">
        <v>153.71</v>
      </c>
      <c r="J1495">
        <v>3.6</v>
      </c>
      <c r="K1495" t="s">
        <v>36</v>
      </c>
      <c r="L1495" t="s">
        <v>19</v>
      </c>
      <c r="O1495"/>
    </row>
    <row r="1496" spans="1:15" x14ac:dyDescent="0.3">
      <c r="A1496" t="s">
        <v>1520</v>
      </c>
      <c r="B1496" s="1">
        <v>45989</v>
      </c>
      <c r="C1496" t="s">
        <v>22</v>
      </c>
      <c r="D1496" t="s">
        <v>22</v>
      </c>
      <c r="E1496" s="2">
        <v>12.06</v>
      </c>
      <c r="F1496" s="3">
        <v>48.02</v>
      </c>
      <c r="G1496" s="4">
        <v>150.46</v>
      </c>
      <c r="H1496">
        <v>1.2</v>
      </c>
      <c r="I1496" s="4">
        <v>180.55</v>
      </c>
      <c r="J1496">
        <v>3.5</v>
      </c>
      <c r="K1496" t="s">
        <v>33</v>
      </c>
      <c r="L1496" t="s">
        <v>28</v>
      </c>
      <c r="O1496"/>
    </row>
    <row r="1497" spans="1:15" x14ac:dyDescent="0.3">
      <c r="A1497" t="s">
        <v>1521</v>
      </c>
      <c r="B1497" s="1">
        <v>46012</v>
      </c>
      <c r="C1497" t="s">
        <v>13</v>
      </c>
      <c r="D1497" t="s">
        <v>21</v>
      </c>
      <c r="E1497" s="2">
        <v>7.94</v>
      </c>
      <c r="F1497" s="3">
        <v>22.47</v>
      </c>
      <c r="G1497" s="4">
        <v>128.24</v>
      </c>
      <c r="H1497">
        <v>1.2</v>
      </c>
      <c r="I1497" s="4">
        <v>153.88999999999999</v>
      </c>
      <c r="J1497">
        <v>3.9</v>
      </c>
      <c r="K1497" t="s">
        <v>36</v>
      </c>
      <c r="L1497" t="s">
        <v>19</v>
      </c>
      <c r="O1497"/>
    </row>
    <row r="1498" spans="1:15" x14ac:dyDescent="0.3">
      <c r="A1498" t="s">
        <v>1522</v>
      </c>
      <c r="B1498" s="1">
        <v>45713</v>
      </c>
      <c r="C1498" t="s">
        <v>22</v>
      </c>
      <c r="D1498" t="s">
        <v>21</v>
      </c>
      <c r="E1498" s="2">
        <v>11.51</v>
      </c>
      <c r="F1498" s="3">
        <v>36.520000000000003</v>
      </c>
      <c r="G1498" s="4">
        <v>186.97</v>
      </c>
      <c r="H1498">
        <v>1.5</v>
      </c>
      <c r="I1498" s="4">
        <v>280.45999999999998</v>
      </c>
      <c r="J1498">
        <v>4.8</v>
      </c>
      <c r="K1498" t="s">
        <v>15</v>
      </c>
      <c r="L1498" t="s">
        <v>26</v>
      </c>
      <c r="O1498"/>
    </row>
    <row r="1499" spans="1:15" x14ac:dyDescent="0.3">
      <c r="A1499" t="s">
        <v>1523</v>
      </c>
      <c r="B1499" s="1">
        <v>45764</v>
      </c>
      <c r="C1499" t="s">
        <v>21</v>
      </c>
      <c r="D1499" t="s">
        <v>25</v>
      </c>
      <c r="E1499" s="2">
        <v>19.3</v>
      </c>
      <c r="F1499" s="3">
        <v>75.39</v>
      </c>
      <c r="G1499" s="4">
        <v>297.41000000000003</v>
      </c>
      <c r="H1499">
        <v>1.5</v>
      </c>
      <c r="I1499" s="4">
        <v>446.12</v>
      </c>
      <c r="J1499">
        <v>4.5</v>
      </c>
      <c r="K1499" t="s">
        <v>33</v>
      </c>
      <c r="L1499" t="s">
        <v>26</v>
      </c>
      <c r="O1499"/>
    </row>
    <row r="1500" spans="1:15" x14ac:dyDescent="0.3">
      <c r="A1500" t="s">
        <v>1524</v>
      </c>
      <c r="B1500" s="1">
        <v>45902</v>
      </c>
      <c r="C1500" t="s">
        <v>21</v>
      </c>
      <c r="D1500" t="s">
        <v>13</v>
      </c>
      <c r="E1500" s="2">
        <v>25.79</v>
      </c>
      <c r="F1500" s="3">
        <v>99.53</v>
      </c>
      <c r="G1500" s="4">
        <v>305.41000000000003</v>
      </c>
      <c r="H1500">
        <v>2</v>
      </c>
      <c r="I1500" s="4">
        <v>610.82000000000005</v>
      </c>
      <c r="J1500">
        <v>4.0999999999999996</v>
      </c>
      <c r="K1500" t="s">
        <v>33</v>
      </c>
      <c r="L1500" t="s">
        <v>16</v>
      </c>
      <c r="O1500"/>
    </row>
    <row r="1501" spans="1:15" x14ac:dyDescent="0.3">
      <c r="A1501" t="s">
        <v>1525</v>
      </c>
      <c r="B1501" s="1">
        <v>45682</v>
      </c>
      <c r="C1501" t="s">
        <v>13</v>
      </c>
      <c r="D1501" t="s">
        <v>14</v>
      </c>
      <c r="E1501" s="2">
        <v>12.75</v>
      </c>
      <c r="F1501" s="3">
        <v>28.7</v>
      </c>
      <c r="G1501" s="4">
        <v>231.24</v>
      </c>
      <c r="H1501">
        <v>1.2</v>
      </c>
      <c r="I1501" s="4">
        <v>277.49</v>
      </c>
      <c r="J1501">
        <v>4.8</v>
      </c>
      <c r="K1501" t="s">
        <v>18</v>
      </c>
      <c r="L1501" t="s">
        <v>28</v>
      </c>
      <c r="O1501"/>
    </row>
    <row r="1502" spans="1:15" x14ac:dyDescent="0.3">
      <c r="A1502" t="s">
        <v>1526</v>
      </c>
      <c r="B1502" s="1">
        <v>45848</v>
      </c>
      <c r="C1502" t="s">
        <v>13</v>
      </c>
      <c r="D1502" t="s">
        <v>21</v>
      </c>
      <c r="E1502" s="2">
        <v>20.190000000000001</v>
      </c>
      <c r="F1502" s="3">
        <v>48.76</v>
      </c>
      <c r="G1502" s="4">
        <v>384.79</v>
      </c>
      <c r="H1502">
        <v>2</v>
      </c>
      <c r="I1502" s="4">
        <v>769.58</v>
      </c>
      <c r="J1502">
        <v>3.8</v>
      </c>
      <c r="K1502" t="s">
        <v>33</v>
      </c>
      <c r="L1502" t="s">
        <v>19</v>
      </c>
      <c r="O1502"/>
    </row>
    <row r="1503" spans="1:15" x14ac:dyDescent="0.3">
      <c r="A1503" t="s">
        <v>1527</v>
      </c>
      <c r="B1503" s="1">
        <v>45863</v>
      </c>
      <c r="C1503" t="s">
        <v>21</v>
      </c>
      <c r="D1503" t="s">
        <v>22</v>
      </c>
      <c r="E1503" s="2">
        <v>12.92</v>
      </c>
      <c r="F1503" s="3">
        <v>31.95</v>
      </c>
      <c r="G1503" s="4">
        <v>223.52</v>
      </c>
      <c r="H1503">
        <v>1.5</v>
      </c>
      <c r="I1503" s="4">
        <v>335.28</v>
      </c>
      <c r="J1503">
        <v>3.9</v>
      </c>
      <c r="K1503" t="s">
        <v>36</v>
      </c>
      <c r="L1503" t="s">
        <v>16</v>
      </c>
      <c r="O1503"/>
    </row>
    <row r="1504" spans="1:15" x14ac:dyDescent="0.3">
      <c r="A1504" t="s">
        <v>1528</v>
      </c>
      <c r="B1504" s="1">
        <v>45768</v>
      </c>
      <c r="C1504" t="s">
        <v>13</v>
      </c>
      <c r="D1504" t="s">
        <v>14</v>
      </c>
      <c r="E1504" s="2">
        <v>25.43</v>
      </c>
      <c r="F1504" s="3">
        <v>62.48</v>
      </c>
      <c r="G1504" s="4">
        <v>474.63</v>
      </c>
      <c r="H1504">
        <v>1.2</v>
      </c>
      <c r="I1504" s="4">
        <v>569.55999999999995</v>
      </c>
      <c r="J1504">
        <v>3.2</v>
      </c>
      <c r="K1504" t="s">
        <v>15</v>
      </c>
      <c r="L1504" t="s">
        <v>28</v>
      </c>
      <c r="O1504"/>
    </row>
    <row r="1505" spans="1:15" x14ac:dyDescent="0.3">
      <c r="A1505" t="s">
        <v>1529</v>
      </c>
      <c r="B1505" s="1">
        <v>45821</v>
      </c>
      <c r="C1505" t="s">
        <v>22</v>
      </c>
      <c r="D1505" t="s">
        <v>14</v>
      </c>
      <c r="E1505" s="2">
        <v>4.43</v>
      </c>
      <c r="F1505" s="3">
        <v>14.58</v>
      </c>
      <c r="G1505" s="4">
        <v>55.38</v>
      </c>
      <c r="H1505">
        <v>2</v>
      </c>
      <c r="I1505" s="4">
        <v>110.76</v>
      </c>
      <c r="J1505">
        <v>3.6</v>
      </c>
      <c r="K1505" t="s">
        <v>15</v>
      </c>
      <c r="L1505" t="s">
        <v>28</v>
      </c>
      <c r="O1505"/>
    </row>
    <row r="1506" spans="1:15" x14ac:dyDescent="0.3">
      <c r="A1506" t="s">
        <v>1530</v>
      </c>
      <c r="B1506" s="1">
        <v>45892</v>
      </c>
      <c r="C1506" t="s">
        <v>22</v>
      </c>
      <c r="D1506" t="s">
        <v>22</v>
      </c>
      <c r="E1506" s="2">
        <v>4.92</v>
      </c>
      <c r="F1506" s="3">
        <v>15.46</v>
      </c>
      <c r="G1506" s="4">
        <v>69.27</v>
      </c>
      <c r="H1506">
        <v>2</v>
      </c>
      <c r="I1506" s="4">
        <v>138.54</v>
      </c>
      <c r="J1506">
        <v>3.3</v>
      </c>
      <c r="K1506" t="s">
        <v>15</v>
      </c>
      <c r="L1506" t="s">
        <v>19</v>
      </c>
      <c r="O1506"/>
    </row>
    <row r="1507" spans="1:15" x14ac:dyDescent="0.3">
      <c r="A1507" t="s">
        <v>1531</v>
      </c>
      <c r="B1507" s="1">
        <v>45764</v>
      </c>
      <c r="C1507" t="s">
        <v>25</v>
      </c>
      <c r="D1507" t="s">
        <v>21</v>
      </c>
      <c r="E1507" s="2">
        <v>12.87</v>
      </c>
      <c r="F1507" s="3">
        <v>33.200000000000003</v>
      </c>
      <c r="G1507" s="4">
        <v>130.57</v>
      </c>
      <c r="H1507">
        <v>2</v>
      </c>
      <c r="I1507" s="4">
        <v>261.14</v>
      </c>
      <c r="J1507">
        <v>4.3</v>
      </c>
      <c r="K1507" t="s">
        <v>15</v>
      </c>
      <c r="L1507" t="s">
        <v>19</v>
      </c>
      <c r="O1507"/>
    </row>
    <row r="1508" spans="1:15" x14ac:dyDescent="0.3">
      <c r="A1508" t="s">
        <v>1532</v>
      </c>
      <c r="B1508" s="1">
        <v>45791</v>
      </c>
      <c r="C1508" t="s">
        <v>13</v>
      </c>
      <c r="D1508" t="s">
        <v>25</v>
      </c>
      <c r="E1508" s="2">
        <v>11.86</v>
      </c>
      <c r="F1508" s="3">
        <v>28.06</v>
      </c>
      <c r="G1508" s="4">
        <v>169.6</v>
      </c>
      <c r="H1508">
        <v>2</v>
      </c>
      <c r="I1508" s="4">
        <v>339.2</v>
      </c>
      <c r="J1508">
        <v>3.7</v>
      </c>
      <c r="K1508" t="s">
        <v>15</v>
      </c>
      <c r="L1508" t="s">
        <v>16</v>
      </c>
      <c r="O1508"/>
    </row>
    <row r="1509" spans="1:15" x14ac:dyDescent="0.3">
      <c r="A1509" t="s">
        <v>1533</v>
      </c>
      <c r="B1509" s="1">
        <v>45792</v>
      </c>
      <c r="C1509" t="s">
        <v>25</v>
      </c>
      <c r="D1509" t="s">
        <v>14</v>
      </c>
      <c r="E1509" s="2">
        <v>18.39</v>
      </c>
      <c r="F1509" s="3">
        <v>65.34</v>
      </c>
      <c r="G1509" s="4">
        <v>321.67</v>
      </c>
      <c r="H1509">
        <v>2</v>
      </c>
      <c r="I1509" s="4">
        <v>643.34</v>
      </c>
      <c r="J1509">
        <v>4.8</v>
      </c>
      <c r="K1509" t="s">
        <v>33</v>
      </c>
      <c r="L1509" t="s">
        <v>26</v>
      </c>
      <c r="O1509"/>
    </row>
    <row r="1510" spans="1:15" x14ac:dyDescent="0.3">
      <c r="A1510" t="s">
        <v>1534</v>
      </c>
      <c r="B1510" s="1">
        <v>45851</v>
      </c>
      <c r="C1510" t="s">
        <v>13</v>
      </c>
      <c r="D1510" t="s">
        <v>21</v>
      </c>
      <c r="E1510" s="2">
        <v>26.27</v>
      </c>
      <c r="F1510" s="3">
        <v>53.35</v>
      </c>
      <c r="G1510" s="4">
        <v>377.17</v>
      </c>
      <c r="H1510">
        <v>1.2</v>
      </c>
      <c r="I1510" s="4">
        <v>452.6</v>
      </c>
      <c r="J1510">
        <v>4.3</v>
      </c>
      <c r="K1510" t="s">
        <v>36</v>
      </c>
      <c r="L1510" t="s">
        <v>28</v>
      </c>
      <c r="O1510"/>
    </row>
    <row r="1511" spans="1:15" x14ac:dyDescent="0.3">
      <c r="A1511" t="s">
        <v>1535</v>
      </c>
      <c r="B1511" s="1">
        <v>45901</v>
      </c>
      <c r="C1511" t="s">
        <v>13</v>
      </c>
      <c r="D1511" t="s">
        <v>14</v>
      </c>
      <c r="E1511" s="2">
        <v>13.06</v>
      </c>
      <c r="F1511" s="3">
        <v>45.62</v>
      </c>
      <c r="G1511" s="4">
        <v>142.85</v>
      </c>
      <c r="H1511">
        <v>2</v>
      </c>
      <c r="I1511" s="4">
        <v>285.7</v>
      </c>
      <c r="J1511">
        <v>4.8</v>
      </c>
      <c r="K1511" t="s">
        <v>15</v>
      </c>
      <c r="L1511" t="s">
        <v>16</v>
      </c>
      <c r="O1511"/>
    </row>
    <row r="1512" spans="1:15" x14ac:dyDescent="0.3">
      <c r="A1512" t="s">
        <v>1536</v>
      </c>
      <c r="B1512" s="1">
        <v>45688</v>
      </c>
      <c r="C1512" t="s">
        <v>14</v>
      </c>
      <c r="D1512" t="s">
        <v>22</v>
      </c>
      <c r="E1512" s="2">
        <v>15.33</v>
      </c>
      <c r="F1512" s="3">
        <v>53.1</v>
      </c>
      <c r="G1512" s="4">
        <v>212.14</v>
      </c>
      <c r="H1512">
        <v>1.2</v>
      </c>
      <c r="I1512" s="4">
        <v>254.57</v>
      </c>
      <c r="J1512">
        <v>3.6</v>
      </c>
      <c r="K1512" t="s">
        <v>33</v>
      </c>
      <c r="L1512" t="s">
        <v>19</v>
      </c>
      <c r="O1512"/>
    </row>
    <row r="1513" spans="1:15" x14ac:dyDescent="0.3">
      <c r="A1513" t="s">
        <v>1537</v>
      </c>
      <c r="B1513" s="1">
        <v>45975</v>
      </c>
      <c r="C1513" t="s">
        <v>13</v>
      </c>
      <c r="D1513" t="s">
        <v>22</v>
      </c>
      <c r="E1513" s="2">
        <v>5.36</v>
      </c>
      <c r="F1513" s="3">
        <v>16.12</v>
      </c>
      <c r="G1513" s="4">
        <v>96.57</v>
      </c>
      <c r="H1513">
        <v>2</v>
      </c>
      <c r="I1513" s="4">
        <v>193.14</v>
      </c>
      <c r="J1513">
        <v>4.4000000000000004</v>
      </c>
      <c r="K1513" t="s">
        <v>15</v>
      </c>
      <c r="L1513" t="s">
        <v>26</v>
      </c>
      <c r="O1513"/>
    </row>
    <row r="1514" spans="1:15" x14ac:dyDescent="0.3">
      <c r="A1514" t="s">
        <v>1538</v>
      </c>
      <c r="B1514" s="1">
        <v>45692</v>
      </c>
      <c r="C1514" t="s">
        <v>13</v>
      </c>
      <c r="D1514" t="s">
        <v>13</v>
      </c>
      <c r="E1514" s="2">
        <v>25.61</v>
      </c>
      <c r="F1514" s="3">
        <v>87.38</v>
      </c>
      <c r="G1514" s="4">
        <v>381.71</v>
      </c>
      <c r="H1514">
        <v>1.5</v>
      </c>
      <c r="I1514" s="4">
        <v>572.55999999999995</v>
      </c>
      <c r="J1514">
        <v>3.8</v>
      </c>
      <c r="K1514" t="s">
        <v>30</v>
      </c>
      <c r="L1514" t="s">
        <v>26</v>
      </c>
      <c r="O1514"/>
    </row>
    <row r="1515" spans="1:15" x14ac:dyDescent="0.3">
      <c r="A1515" t="s">
        <v>1539</v>
      </c>
      <c r="B1515" s="1">
        <v>45820</v>
      </c>
      <c r="C1515" t="s">
        <v>21</v>
      </c>
      <c r="D1515" t="s">
        <v>14</v>
      </c>
      <c r="E1515" s="2">
        <v>17.73</v>
      </c>
      <c r="F1515" s="3">
        <v>43.3</v>
      </c>
      <c r="G1515" s="4">
        <v>225.01</v>
      </c>
      <c r="H1515">
        <v>1</v>
      </c>
      <c r="I1515" s="4">
        <v>225.01</v>
      </c>
      <c r="J1515">
        <v>4</v>
      </c>
      <c r="K1515" t="s">
        <v>33</v>
      </c>
      <c r="L1515" t="s">
        <v>26</v>
      </c>
      <c r="O1515"/>
    </row>
    <row r="1516" spans="1:15" x14ac:dyDescent="0.3">
      <c r="A1516" t="s">
        <v>1540</v>
      </c>
      <c r="B1516" s="1">
        <v>45850</v>
      </c>
      <c r="C1516" t="s">
        <v>14</v>
      </c>
      <c r="D1516" t="s">
        <v>13</v>
      </c>
      <c r="E1516" s="2">
        <v>29.77</v>
      </c>
      <c r="F1516" s="3">
        <v>67.3</v>
      </c>
      <c r="G1516" s="4">
        <v>534.69000000000005</v>
      </c>
      <c r="H1516">
        <v>1.5</v>
      </c>
      <c r="I1516" s="4">
        <v>802.04</v>
      </c>
      <c r="J1516">
        <v>3.2</v>
      </c>
      <c r="K1516" t="s">
        <v>18</v>
      </c>
      <c r="L1516" t="s">
        <v>28</v>
      </c>
      <c r="O1516"/>
    </row>
    <row r="1517" spans="1:15" x14ac:dyDescent="0.3">
      <c r="A1517" t="s">
        <v>1541</v>
      </c>
      <c r="B1517" s="1">
        <v>45892</v>
      </c>
      <c r="C1517" t="s">
        <v>22</v>
      </c>
      <c r="D1517" t="s">
        <v>21</v>
      </c>
      <c r="E1517" s="2">
        <v>20.41</v>
      </c>
      <c r="F1517" s="3">
        <v>70.72</v>
      </c>
      <c r="G1517" s="4">
        <v>292.31</v>
      </c>
      <c r="H1517">
        <v>1.5</v>
      </c>
      <c r="I1517" s="4">
        <v>438.46</v>
      </c>
      <c r="J1517">
        <v>3</v>
      </c>
      <c r="K1517" t="s">
        <v>33</v>
      </c>
      <c r="L1517" t="s">
        <v>16</v>
      </c>
      <c r="O1517"/>
    </row>
    <row r="1518" spans="1:15" x14ac:dyDescent="0.3">
      <c r="A1518" t="s">
        <v>1542</v>
      </c>
      <c r="B1518" s="1">
        <v>45753</v>
      </c>
      <c r="C1518" t="s">
        <v>25</v>
      </c>
      <c r="D1518" t="s">
        <v>25</v>
      </c>
      <c r="E1518" s="2">
        <v>23.3</v>
      </c>
      <c r="F1518" s="3">
        <v>67.42</v>
      </c>
      <c r="G1518" s="4">
        <v>343.17</v>
      </c>
      <c r="H1518">
        <v>1</v>
      </c>
      <c r="I1518" s="4">
        <v>343.17</v>
      </c>
      <c r="J1518">
        <v>3.8</v>
      </c>
      <c r="K1518" t="s">
        <v>33</v>
      </c>
      <c r="L1518" t="s">
        <v>26</v>
      </c>
      <c r="O1518"/>
    </row>
    <row r="1519" spans="1:15" x14ac:dyDescent="0.3">
      <c r="A1519" t="s">
        <v>1543</v>
      </c>
      <c r="B1519" s="1">
        <v>45984</v>
      </c>
      <c r="C1519" t="s">
        <v>13</v>
      </c>
      <c r="D1519" t="s">
        <v>22</v>
      </c>
      <c r="E1519" s="2">
        <v>21.65</v>
      </c>
      <c r="F1519" s="3">
        <v>51.03</v>
      </c>
      <c r="G1519" s="4">
        <v>233.73</v>
      </c>
      <c r="H1519">
        <v>1.5</v>
      </c>
      <c r="I1519" s="4">
        <v>350.6</v>
      </c>
      <c r="J1519">
        <v>3.6</v>
      </c>
      <c r="K1519" t="s">
        <v>18</v>
      </c>
      <c r="L1519" t="s">
        <v>19</v>
      </c>
      <c r="O1519"/>
    </row>
    <row r="1520" spans="1:15" x14ac:dyDescent="0.3">
      <c r="A1520" t="s">
        <v>1544</v>
      </c>
      <c r="B1520" s="1">
        <v>45724</v>
      </c>
      <c r="C1520" t="s">
        <v>21</v>
      </c>
      <c r="D1520" t="s">
        <v>13</v>
      </c>
      <c r="E1520" s="2">
        <v>25.75</v>
      </c>
      <c r="F1520" s="3">
        <v>95.97</v>
      </c>
      <c r="G1520" s="4">
        <v>456.42</v>
      </c>
      <c r="H1520">
        <v>1</v>
      </c>
      <c r="I1520" s="4">
        <v>456.42</v>
      </c>
      <c r="J1520">
        <v>3.2</v>
      </c>
      <c r="K1520" t="s">
        <v>15</v>
      </c>
      <c r="L1520" t="s">
        <v>26</v>
      </c>
      <c r="O1520"/>
    </row>
    <row r="1521" spans="1:15" x14ac:dyDescent="0.3">
      <c r="A1521" t="s">
        <v>1545</v>
      </c>
      <c r="B1521" s="1">
        <v>46013</v>
      </c>
      <c r="C1521" t="s">
        <v>25</v>
      </c>
      <c r="D1521" t="s">
        <v>13</v>
      </c>
      <c r="E1521" s="2">
        <v>23.31</v>
      </c>
      <c r="F1521" s="3">
        <v>74.44</v>
      </c>
      <c r="G1521" s="4">
        <v>311.7</v>
      </c>
      <c r="H1521">
        <v>1.2</v>
      </c>
      <c r="I1521" s="4">
        <v>374.04</v>
      </c>
      <c r="J1521">
        <v>3.9</v>
      </c>
      <c r="K1521" t="s">
        <v>33</v>
      </c>
      <c r="L1521" t="s">
        <v>16</v>
      </c>
      <c r="O1521"/>
    </row>
    <row r="1522" spans="1:15" x14ac:dyDescent="0.3">
      <c r="A1522" t="s">
        <v>1546</v>
      </c>
      <c r="B1522" s="1">
        <v>45676</v>
      </c>
      <c r="C1522" t="s">
        <v>14</v>
      </c>
      <c r="D1522" t="s">
        <v>21</v>
      </c>
      <c r="E1522" s="2">
        <v>15.78</v>
      </c>
      <c r="F1522" s="3">
        <v>50.03</v>
      </c>
      <c r="G1522" s="4">
        <v>214.5</v>
      </c>
      <c r="H1522">
        <v>2</v>
      </c>
      <c r="I1522" s="4">
        <v>429</v>
      </c>
      <c r="J1522">
        <v>3.1</v>
      </c>
      <c r="K1522" t="s">
        <v>33</v>
      </c>
      <c r="L1522" t="s">
        <v>19</v>
      </c>
      <c r="O1522"/>
    </row>
    <row r="1523" spans="1:15" x14ac:dyDescent="0.3">
      <c r="A1523" t="s">
        <v>1547</v>
      </c>
      <c r="B1523" s="1">
        <v>45897</v>
      </c>
      <c r="C1523" t="s">
        <v>14</v>
      </c>
      <c r="D1523" t="s">
        <v>13</v>
      </c>
      <c r="E1523" s="2">
        <v>19.59</v>
      </c>
      <c r="F1523" s="3">
        <v>74.489999999999995</v>
      </c>
      <c r="G1523" s="4">
        <v>228.01</v>
      </c>
      <c r="H1523">
        <v>1</v>
      </c>
      <c r="I1523" s="4">
        <v>228.01</v>
      </c>
      <c r="J1523">
        <v>4.8</v>
      </c>
      <c r="K1523" t="s">
        <v>15</v>
      </c>
      <c r="L1523" t="s">
        <v>26</v>
      </c>
      <c r="O1523"/>
    </row>
    <row r="1524" spans="1:15" x14ac:dyDescent="0.3">
      <c r="A1524" t="s">
        <v>1548</v>
      </c>
      <c r="B1524" s="1">
        <v>45830</v>
      </c>
      <c r="C1524" t="s">
        <v>22</v>
      </c>
      <c r="D1524" t="s">
        <v>21</v>
      </c>
      <c r="E1524" s="2">
        <v>19.12</v>
      </c>
      <c r="F1524" s="3">
        <v>66.11</v>
      </c>
      <c r="G1524" s="4">
        <v>369.38</v>
      </c>
      <c r="H1524">
        <v>1</v>
      </c>
      <c r="I1524" s="4">
        <v>369.38</v>
      </c>
      <c r="J1524">
        <v>3.7</v>
      </c>
      <c r="K1524" t="s">
        <v>36</v>
      </c>
      <c r="L1524" t="s">
        <v>28</v>
      </c>
      <c r="O1524"/>
    </row>
    <row r="1525" spans="1:15" x14ac:dyDescent="0.3">
      <c r="A1525" t="s">
        <v>1549</v>
      </c>
      <c r="B1525" s="1">
        <v>45804</v>
      </c>
      <c r="C1525" t="s">
        <v>14</v>
      </c>
      <c r="D1525" t="s">
        <v>21</v>
      </c>
      <c r="E1525" s="2">
        <v>2.83</v>
      </c>
      <c r="F1525" s="3">
        <v>9.07</v>
      </c>
      <c r="G1525" s="4">
        <v>29.92</v>
      </c>
      <c r="H1525">
        <v>1.5</v>
      </c>
      <c r="I1525" s="4">
        <v>44.88</v>
      </c>
      <c r="J1525">
        <v>4.7</v>
      </c>
      <c r="K1525" t="s">
        <v>15</v>
      </c>
      <c r="L1525" t="s">
        <v>26</v>
      </c>
      <c r="O1525"/>
    </row>
    <row r="1526" spans="1:15" x14ac:dyDescent="0.3">
      <c r="A1526" t="s">
        <v>1550</v>
      </c>
      <c r="B1526" s="1">
        <v>45865</v>
      </c>
      <c r="C1526" t="s">
        <v>13</v>
      </c>
      <c r="D1526" t="s">
        <v>21</v>
      </c>
      <c r="E1526" s="2">
        <v>20.41</v>
      </c>
      <c r="F1526" s="3">
        <v>74.760000000000005</v>
      </c>
      <c r="G1526" s="4">
        <v>234.78</v>
      </c>
      <c r="H1526">
        <v>1.2</v>
      </c>
      <c r="I1526" s="4">
        <v>281.74</v>
      </c>
      <c r="J1526">
        <v>4.5</v>
      </c>
      <c r="K1526" t="s">
        <v>15</v>
      </c>
      <c r="L1526" t="s">
        <v>16</v>
      </c>
      <c r="O1526"/>
    </row>
    <row r="1527" spans="1:15" x14ac:dyDescent="0.3">
      <c r="A1527" t="s">
        <v>1551</v>
      </c>
      <c r="B1527" s="1">
        <v>45878</v>
      </c>
      <c r="C1527" t="s">
        <v>25</v>
      </c>
      <c r="D1527" t="s">
        <v>14</v>
      </c>
      <c r="E1527" s="2">
        <v>8.58</v>
      </c>
      <c r="F1527" s="3">
        <v>34.01</v>
      </c>
      <c r="G1527" s="4">
        <v>162.84</v>
      </c>
      <c r="H1527">
        <v>2</v>
      </c>
      <c r="I1527" s="4">
        <v>325.68</v>
      </c>
      <c r="J1527">
        <v>3.1</v>
      </c>
      <c r="K1527" t="s">
        <v>36</v>
      </c>
      <c r="L1527" t="s">
        <v>19</v>
      </c>
      <c r="O1527"/>
    </row>
    <row r="1528" spans="1:15" x14ac:dyDescent="0.3">
      <c r="A1528" t="s">
        <v>1552</v>
      </c>
      <c r="B1528" s="1">
        <v>45815</v>
      </c>
      <c r="C1528" t="s">
        <v>22</v>
      </c>
      <c r="D1528" t="s">
        <v>25</v>
      </c>
      <c r="E1528" s="2">
        <v>18.52</v>
      </c>
      <c r="F1528" s="3">
        <v>71.7</v>
      </c>
      <c r="G1528" s="4">
        <v>228.54</v>
      </c>
      <c r="H1528">
        <v>1.2</v>
      </c>
      <c r="I1528" s="4">
        <v>274.25</v>
      </c>
      <c r="J1528">
        <v>4.3</v>
      </c>
      <c r="K1528" t="s">
        <v>15</v>
      </c>
      <c r="L1528" t="s">
        <v>28</v>
      </c>
      <c r="O1528"/>
    </row>
    <row r="1529" spans="1:15" x14ac:dyDescent="0.3">
      <c r="A1529" t="s">
        <v>1553</v>
      </c>
      <c r="B1529" s="1">
        <v>45815</v>
      </c>
      <c r="C1529" t="s">
        <v>13</v>
      </c>
      <c r="D1529" t="s">
        <v>14</v>
      </c>
      <c r="E1529" s="2">
        <v>1.55</v>
      </c>
      <c r="F1529" s="3">
        <v>3.21</v>
      </c>
      <c r="G1529" s="4">
        <v>29.68</v>
      </c>
      <c r="H1529">
        <v>1</v>
      </c>
      <c r="I1529" s="4">
        <v>29.68</v>
      </c>
      <c r="J1529">
        <v>4.8</v>
      </c>
      <c r="K1529" t="s">
        <v>33</v>
      </c>
      <c r="L1529" t="s">
        <v>16</v>
      </c>
      <c r="O1529"/>
    </row>
    <row r="1530" spans="1:15" x14ac:dyDescent="0.3">
      <c r="A1530" t="s">
        <v>1554</v>
      </c>
      <c r="B1530" s="1">
        <v>45954</v>
      </c>
      <c r="C1530" t="s">
        <v>13</v>
      </c>
      <c r="D1530" t="s">
        <v>14</v>
      </c>
      <c r="E1530" s="2">
        <v>22.22</v>
      </c>
      <c r="F1530" s="3">
        <v>75.959999999999994</v>
      </c>
      <c r="G1530" s="4">
        <v>266.72000000000003</v>
      </c>
      <c r="H1530">
        <v>1</v>
      </c>
      <c r="I1530" s="4">
        <v>266.72000000000003</v>
      </c>
      <c r="J1530">
        <v>4.5</v>
      </c>
      <c r="K1530" t="s">
        <v>33</v>
      </c>
      <c r="L1530" t="s">
        <v>26</v>
      </c>
      <c r="O1530"/>
    </row>
    <row r="1531" spans="1:15" x14ac:dyDescent="0.3">
      <c r="A1531" t="s">
        <v>1555</v>
      </c>
      <c r="B1531" s="1">
        <v>45665</v>
      </c>
      <c r="C1531" t="s">
        <v>25</v>
      </c>
      <c r="D1531" t="s">
        <v>14</v>
      </c>
      <c r="E1531" s="2">
        <v>9.98</v>
      </c>
      <c r="F1531" s="3">
        <v>29.6</v>
      </c>
      <c r="G1531" s="4">
        <v>132.04</v>
      </c>
      <c r="H1531">
        <v>1</v>
      </c>
      <c r="I1531" s="4">
        <v>132.04</v>
      </c>
      <c r="J1531">
        <v>3.9</v>
      </c>
      <c r="K1531" t="s">
        <v>18</v>
      </c>
      <c r="L1531" t="s">
        <v>26</v>
      </c>
      <c r="O1531"/>
    </row>
    <row r="1532" spans="1:15" x14ac:dyDescent="0.3">
      <c r="A1532" t="s">
        <v>1556</v>
      </c>
      <c r="B1532" s="1">
        <v>45921</v>
      </c>
      <c r="C1532" t="s">
        <v>25</v>
      </c>
      <c r="D1532" t="s">
        <v>25</v>
      </c>
      <c r="E1532" s="2">
        <v>25.32</v>
      </c>
      <c r="F1532" s="3">
        <v>83.8</v>
      </c>
      <c r="G1532" s="4">
        <v>311.04000000000002</v>
      </c>
      <c r="H1532">
        <v>2</v>
      </c>
      <c r="I1532" s="4">
        <v>622.08000000000004</v>
      </c>
      <c r="J1532">
        <v>4.2</v>
      </c>
      <c r="K1532" t="s">
        <v>33</v>
      </c>
      <c r="L1532" t="s">
        <v>19</v>
      </c>
      <c r="O1532"/>
    </row>
    <row r="1533" spans="1:15" x14ac:dyDescent="0.3">
      <c r="A1533" t="s">
        <v>1557</v>
      </c>
      <c r="B1533" s="1">
        <v>45835</v>
      </c>
      <c r="C1533" t="s">
        <v>14</v>
      </c>
      <c r="D1533" t="s">
        <v>13</v>
      </c>
      <c r="E1533" s="2">
        <v>4.3899999999999997</v>
      </c>
      <c r="F1533" s="3">
        <v>11.18</v>
      </c>
      <c r="G1533" s="4">
        <v>53.1</v>
      </c>
      <c r="H1533">
        <v>2</v>
      </c>
      <c r="I1533" s="4">
        <v>106.2</v>
      </c>
      <c r="J1533">
        <v>3.6</v>
      </c>
      <c r="K1533" t="s">
        <v>18</v>
      </c>
      <c r="L1533" t="s">
        <v>16</v>
      </c>
      <c r="O1533"/>
    </row>
    <row r="1534" spans="1:15" x14ac:dyDescent="0.3">
      <c r="A1534" t="s">
        <v>1558</v>
      </c>
      <c r="B1534" s="1">
        <v>45869</v>
      </c>
      <c r="C1534" t="s">
        <v>13</v>
      </c>
      <c r="D1534" t="s">
        <v>22</v>
      </c>
      <c r="E1534" s="2">
        <v>22.33</v>
      </c>
      <c r="F1534" s="3">
        <v>58.21</v>
      </c>
      <c r="G1534" s="4">
        <v>300.42</v>
      </c>
      <c r="H1534">
        <v>1</v>
      </c>
      <c r="I1534" s="4">
        <v>300.42</v>
      </c>
      <c r="J1534">
        <v>4.8</v>
      </c>
      <c r="K1534" t="s">
        <v>36</v>
      </c>
      <c r="L1534" t="s">
        <v>28</v>
      </c>
      <c r="O1534"/>
    </row>
    <row r="1535" spans="1:15" x14ac:dyDescent="0.3">
      <c r="A1535" t="s">
        <v>1559</v>
      </c>
      <c r="B1535" s="1">
        <v>45906</v>
      </c>
      <c r="C1535" t="s">
        <v>25</v>
      </c>
      <c r="D1535" t="s">
        <v>25</v>
      </c>
      <c r="E1535" s="2">
        <v>12.73</v>
      </c>
      <c r="F1535" s="3">
        <v>27.05</v>
      </c>
      <c r="G1535" s="4">
        <v>231.82</v>
      </c>
      <c r="H1535">
        <v>1.2</v>
      </c>
      <c r="I1535" s="4">
        <v>278.18</v>
      </c>
      <c r="J1535">
        <v>4.4000000000000004</v>
      </c>
      <c r="K1535" t="s">
        <v>18</v>
      </c>
      <c r="L1535" t="s">
        <v>19</v>
      </c>
      <c r="O1535"/>
    </row>
    <row r="1536" spans="1:15" x14ac:dyDescent="0.3">
      <c r="A1536" t="s">
        <v>1560</v>
      </c>
      <c r="B1536" s="1">
        <v>45787</v>
      </c>
      <c r="C1536" t="s">
        <v>25</v>
      </c>
      <c r="D1536" t="s">
        <v>22</v>
      </c>
      <c r="E1536" s="2">
        <v>25.34</v>
      </c>
      <c r="F1536" s="3">
        <v>73.39</v>
      </c>
      <c r="G1536" s="4">
        <v>414.74</v>
      </c>
      <c r="H1536">
        <v>1.5</v>
      </c>
      <c r="I1536" s="4">
        <v>622.11</v>
      </c>
      <c r="J1536">
        <v>4</v>
      </c>
      <c r="K1536" t="s">
        <v>36</v>
      </c>
      <c r="L1536" t="s">
        <v>16</v>
      </c>
      <c r="O1536"/>
    </row>
    <row r="1537" spans="1:15" x14ac:dyDescent="0.3">
      <c r="A1537" t="s">
        <v>1561</v>
      </c>
      <c r="B1537" s="1">
        <v>45785</v>
      </c>
      <c r="C1537" t="s">
        <v>22</v>
      </c>
      <c r="D1537" t="s">
        <v>14</v>
      </c>
      <c r="E1537" s="2">
        <v>23.39</v>
      </c>
      <c r="F1537" s="3">
        <v>68.92</v>
      </c>
      <c r="G1537" s="4">
        <v>378.39</v>
      </c>
      <c r="H1537">
        <v>1.2</v>
      </c>
      <c r="I1537" s="4">
        <v>454.07</v>
      </c>
      <c r="J1537">
        <v>4.4000000000000004</v>
      </c>
      <c r="K1537" t="s">
        <v>15</v>
      </c>
      <c r="L1537" t="s">
        <v>19</v>
      </c>
      <c r="O1537"/>
    </row>
    <row r="1538" spans="1:15" x14ac:dyDescent="0.3">
      <c r="A1538" t="s">
        <v>1562</v>
      </c>
      <c r="B1538" s="1">
        <v>45891</v>
      </c>
      <c r="C1538" t="s">
        <v>13</v>
      </c>
      <c r="D1538" t="s">
        <v>14</v>
      </c>
      <c r="E1538" s="2">
        <v>15.44</v>
      </c>
      <c r="F1538" s="3">
        <v>56.88</v>
      </c>
      <c r="G1538" s="4">
        <v>278.13</v>
      </c>
      <c r="H1538">
        <v>1</v>
      </c>
      <c r="I1538" s="4">
        <v>278.13</v>
      </c>
      <c r="J1538">
        <v>3.9</v>
      </c>
      <c r="K1538" t="s">
        <v>15</v>
      </c>
      <c r="L1538" t="s">
        <v>16</v>
      </c>
      <c r="O1538"/>
    </row>
    <row r="1539" spans="1:15" x14ac:dyDescent="0.3">
      <c r="A1539" t="s">
        <v>1563</v>
      </c>
      <c r="B1539" s="1">
        <v>45819</v>
      </c>
      <c r="C1539" t="s">
        <v>25</v>
      </c>
      <c r="D1539" t="s">
        <v>14</v>
      </c>
      <c r="E1539" s="2">
        <v>24.96</v>
      </c>
      <c r="F1539" s="3">
        <v>61.28</v>
      </c>
      <c r="G1539" s="4">
        <v>380.5</v>
      </c>
      <c r="H1539">
        <v>1.2</v>
      </c>
      <c r="I1539" s="4">
        <v>456.6</v>
      </c>
      <c r="J1539">
        <v>3.1</v>
      </c>
      <c r="K1539" t="s">
        <v>18</v>
      </c>
      <c r="L1539" t="s">
        <v>26</v>
      </c>
      <c r="O1539"/>
    </row>
    <row r="1540" spans="1:15" x14ac:dyDescent="0.3">
      <c r="A1540" t="s">
        <v>1564</v>
      </c>
      <c r="B1540" s="1">
        <v>46021</v>
      </c>
      <c r="C1540" t="s">
        <v>25</v>
      </c>
      <c r="D1540" t="s">
        <v>25</v>
      </c>
      <c r="E1540" s="2">
        <v>19.62</v>
      </c>
      <c r="F1540" s="3">
        <v>48.88</v>
      </c>
      <c r="G1540" s="4">
        <v>217.64</v>
      </c>
      <c r="H1540">
        <v>1.5</v>
      </c>
      <c r="I1540" s="4">
        <v>326.45999999999998</v>
      </c>
      <c r="J1540">
        <v>4.7</v>
      </c>
      <c r="K1540" t="s">
        <v>36</v>
      </c>
      <c r="L1540" t="s">
        <v>19</v>
      </c>
      <c r="O1540"/>
    </row>
    <row r="1541" spans="1:15" x14ac:dyDescent="0.3">
      <c r="A1541" t="s">
        <v>1565</v>
      </c>
      <c r="B1541" s="1">
        <v>45739</v>
      </c>
      <c r="C1541" t="s">
        <v>21</v>
      </c>
      <c r="D1541" t="s">
        <v>22</v>
      </c>
      <c r="E1541" s="2">
        <v>8.8000000000000007</v>
      </c>
      <c r="F1541" s="3">
        <v>31.89</v>
      </c>
      <c r="G1541" s="4">
        <v>134.94999999999999</v>
      </c>
      <c r="H1541">
        <v>1.5</v>
      </c>
      <c r="I1541" s="4">
        <v>202.42</v>
      </c>
      <c r="J1541">
        <v>5</v>
      </c>
      <c r="K1541" t="s">
        <v>36</v>
      </c>
      <c r="L1541" t="s">
        <v>16</v>
      </c>
      <c r="O1541"/>
    </row>
    <row r="1542" spans="1:15" x14ac:dyDescent="0.3">
      <c r="A1542" t="s">
        <v>1566</v>
      </c>
      <c r="B1542" s="1">
        <v>45849</v>
      </c>
      <c r="C1542" t="s">
        <v>14</v>
      </c>
      <c r="D1542" t="s">
        <v>21</v>
      </c>
      <c r="E1542" s="2">
        <v>28.32</v>
      </c>
      <c r="F1542" s="3">
        <v>106.93</v>
      </c>
      <c r="G1542" s="4">
        <v>312.16000000000003</v>
      </c>
      <c r="H1542">
        <v>1</v>
      </c>
      <c r="I1542" s="4">
        <v>312.16000000000003</v>
      </c>
      <c r="J1542">
        <v>3.2</v>
      </c>
      <c r="K1542" t="s">
        <v>33</v>
      </c>
      <c r="L1542" t="s">
        <v>28</v>
      </c>
      <c r="O1542"/>
    </row>
    <row r="1543" spans="1:15" x14ac:dyDescent="0.3">
      <c r="A1543" t="s">
        <v>1567</v>
      </c>
      <c r="B1543" s="1">
        <v>45960</v>
      </c>
      <c r="C1543" t="s">
        <v>22</v>
      </c>
      <c r="D1543" t="s">
        <v>25</v>
      </c>
      <c r="E1543" s="2">
        <v>8.8699999999999992</v>
      </c>
      <c r="F1543" s="3">
        <v>26.11</v>
      </c>
      <c r="G1543" s="4">
        <v>151.76</v>
      </c>
      <c r="H1543">
        <v>1.2</v>
      </c>
      <c r="I1543" s="4">
        <v>182.11</v>
      </c>
      <c r="J1543">
        <v>3.3</v>
      </c>
      <c r="K1543" t="s">
        <v>36</v>
      </c>
      <c r="L1543" t="s">
        <v>19</v>
      </c>
      <c r="O1543"/>
    </row>
    <row r="1544" spans="1:15" x14ac:dyDescent="0.3">
      <c r="A1544" t="s">
        <v>1568</v>
      </c>
      <c r="B1544" s="1">
        <v>45682</v>
      </c>
      <c r="C1544" t="s">
        <v>22</v>
      </c>
      <c r="D1544" t="s">
        <v>21</v>
      </c>
      <c r="E1544" s="2">
        <v>21.47</v>
      </c>
      <c r="F1544" s="3">
        <v>82.09</v>
      </c>
      <c r="G1544" s="4">
        <v>354.79</v>
      </c>
      <c r="H1544">
        <v>2</v>
      </c>
      <c r="I1544" s="4">
        <v>709.58</v>
      </c>
      <c r="J1544">
        <v>3.8</v>
      </c>
      <c r="K1544" t="s">
        <v>33</v>
      </c>
      <c r="L1544" t="s">
        <v>19</v>
      </c>
      <c r="O1544"/>
    </row>
    <row r="1545" spans="1:15" x14ac:dyDescent="0.3">
      <c r="A1545" t="s">
        <v>1569</v>
      </c>
      <c r="B1545" s="1">
        <v>45983</v>
      </c>
      <c r="C1545" t="s">
        <v>25</v>
      </c>
      <c r="D1545" t="s">
        <v>25</v>
      </c>
      <c r="E1545" s="2">
        <v>6.31</v>
      </c>
      <c r="F1545" s="3">
        <v>20.73</v>
      </c>
      <c r="G1545" s="4">
        <v>83.78</v>
      </c>
      <c r="H1545">
        <v>1.5</v>
      </c>
      <c r="I1545" s="4">
        <v>125.67</v>
      </c>
      <c r="J1545">
        <v>4.3</v>
      </c>
      <c r="K1545" t="s">
        <v>15</v>
      </c>
      <c r="L1545" t="s">
        <v>28</v>
      </c>
      <c r="O1545"/>
    </row>
    <row r="1546" spans="1:15" x14ac:dyDescent="0.3">
      <c r="A1546" t="s">
        <v>1570</v>
      </c>
      <c r="B1546" s="1">
        <v>45837</v>
      </c>
      <c r="C1546" t="s">
        <v>22</v>
      </c>
      <c r="D1546" t="s">
        <v>14</v>
      </c>
      <c r="E1546" s="2">
        <v>13.57</v>
      </c>
      <c r="F1546" s="3">
        <v>37.909999999999997</v>
      </c>
      <c r="G1546" s="4">
        <v>262.99</v>
      </c>
      <c r="H1546">
        <v>2</v>
      </c>
      <c r="I1546" s="4">
        <v>525.98</v>
      </c>
      <c r="J1546">
        <v>3</v>
      </c>
      <c r="K1546" t="s">
        <v>15</v>
      </c>
      <c r="L1546" t="s">
        <v>26</v>
      </c>
      <c r="O1546"/>
    </row>
    <row r="1547" spans="1:15" x14ac:dyDescent="0.3">
      <c r="A1547" t="s">
        <v>1571</v>
      </c>
      <c r="B1547" s="1">
        <v>45920</v>
      </c>
      <c r="C1547" t="s">
        <v>21</v>
      </c>
      <c r="D1547" t="s">
        <v>25</v>
      </c>
      <c r="E1547" s="2">
        <v>10.67</v>
      </c>
      <c r="F1547" s="3">
        <v>30.92</v>
      </c>
      <c r="G1547" s="4">
        <v>167.59</v>
      </c>
      <c r="H1547">
        <v>1.2</v>
      </c>
      <c r="I1547" s="4">
        <v>201.11</v>
      </c>
      <c r="J1547">
        <v>3.3</v>
      </c>
      <c r="K1547" t="s">
        <v>30</v>
      </c>
      <c r="L1547" t="s">
        <v>19</v>
      </c>
      <c r="O1547"/>
    </row>
    <row r="1548" spans="1:15" x14ac:dyDescent="0.3">
      <c r="A1548" t="s">
        <v>1572</v>
      </c>
      <c r="B1548" s="1">
        <v>45939</v>
      </c>
      <c r="C1548" t="s">
        <v>14</v>
      </c>
      <c r="D1548" t="s">
        <v>22</v>
      </c>
      <c r="E1548" s="2">
        <v>3.01</v>
      </c>
      <c r="F1548" s="3">
        <v>8.01</v>
      </c>
      <c r="G1548" s="4">
        <v>38.6</v>
      </c>
      <c r="H1548">
        <v>1.2</v>
      </c>
      <c r="I1548" s="4">
        <v>46.32</v>
      </c>
      <c r="J1548">
        <v>4.2</v>
      </c>
      <c r="K1548" t="s">
        <v>15</v>
      </c>
      <c r="L1548" t="s">
        <v>16</v>
      </c>
      <c r="O1548"/>
    </row>
    <row r="1549" spans="1:15" x14ac:dyDescent="0.3">
      <c r="A1549" t="s">
        <v>1573</v>
      </c>
      <c r="B1549" s="1">
        <v>45992</v>
      </c>
      <c r="C1549" t="s">
        <v>14</v>
      </c>
      <c r="D1549" t="s">
        <v>25</v>
      </c>
      <c r="E1549" s="2">
        <v>16.45</v>
      </c>
      <c r="F1549" s="3">
        <v>63.53</v>
      </c>
      <c r="G1549" s="4">
        <v>321.01</v>
      </c>
      <c r="H1549">
        <v>1.5</v>
      </c>
      <c r="I1549" s="4">
        <v>481.52</v>
      </c>
      <c r="J1549">
        <v>3.3</v>
      </c>
      <c r="K1549" t="s">
        <v>36</v>
      </c>
      <c r="L1549" t="s">
        <v>26</v>
      </c>
      <c r="O1549"/>
    </row>
    <row r="1550" spans="1:15" x14ac:dyDescent="0.3">
      <c r="A1550" t="s">
        <v>1574</v>
      </c>
      <c r="B1550" s="1">
        <v>45922</v>
      </c>
      <c r="C1550" t="s">
        <v>14</v>
      </c>
      <c r="D1550" t="s">
        <v>22</v>
      </c>
      <c r="E1550" s="2">
        <v>22.43</v>
      </c>
      <c r="F1550" s="3">
        <v>84.92</v>
      </c>
      <c r="G1550" s="4">
        <v>324.77</v>
      </c>
      <c r="H1550">
        <v>1.5</v>
      </c>
      <c r="I1550" s="4">
        <v>487.16</v>
      </c>
      <c r="J1550">
        <v>4.9000000000000004</v>
      </c>
      <c r="K1550" t="s">
        <v>18</v>
      </c>
      <c r="L1550" t="s">
        <v>16</v>
      </c>
      <c r="O1550"/>
    </row>
    <row r="1551" spans="1:15" x14ac:dyDescent="0.3">
      <c r="A1551" t="s">
        <v>1575</v>
      </c>
      <c r="B1551" s="1">
        <v>45752</v>
      </c>
      <c r="C1551" t="s">
        <v>21</v>
      </c>
      <c r="D1551" t="s">
        <v>22</v>
      </c>
      <c r="E1551" s="2">
        <v>25.66</v>
      </c>
      <c r="F1551" s="3">
        <v>63.11</v>
      </c>
      <c r="G1551" s="4">
        <v>318.11</v>
      </c>
      <c r="H1551">
        <v>1</v>
      </c>
      <c r="I1551" s="4">
        <v>318.11</v>
      </c>
      <c r="J1551">
        <v>3.9</v>
      </c>
      <c r="K1551" t="s">
        <v>30</v>
      </c>
      <c r="L1551" t="s">
        <v>28</v>
      </c>
      <c r="O1551"/>
    </row>
    <row r="1552" spans="1:15" x14ac:dyDescent="0.3">
      <c r="A1552" t="s">
        <v>1576</v>
      </c>
      <c r="B1552" s="1">
        <v>45911</v>
      </c>
      <c r="C1552" t="s">
        <v>25</v>
      </c>
      <c r="D1552" t="s">
        <v>22</v>
      </c>
      <c r="E1552" s="2">
        <v>17.27</v>
      </c>
      <c r="F1552" s="3">
        <v>39.19</v>
      </c>
      <c r="G1552" s="4">
        <v>228</v>
      </c>
      <c r="H1552">
        <v>1.5</v>
      </c>
      <c r="I1552" s="4">
        <v>342</v>
      </c>
      <c r="J1552">
        <v>3.2</v>
      </c>
      <c r="K1552" t="s">
        <v>33</v>
      </c>
      <c r="L1552" t="s">
        <v>16</v>
      </c>
      <c r="O1552"/>
    </row>
    <row r="1553" spans="1:15" x14ac:dyDescent="0.3">
      <c r="A1553" t="s">
        <v>1577</v>
      </c>
      <c r="B1553" s="1">
        <v>45782</v>
      </c>
      <c r="C1553" t="s">
        <v>22</v>
      </c>
      <c r="D1553" t="s">
        <v>14</v>
      </c>
      <c r="E1553" s="2">
        <v>22.7</v>
      </c>
      <c r="F1553" s="3">
        <v>50.55</v>
      </c>
      <c r="G1553" s="4">
        <v>283.2</v>
      </c>
      <c r="H1553">
        <v>1.2</v>
      </c>
      <c r="I1553" s="4">
        <v>339.84</v>
      </c>
      <c r="J1553">
        <v>5</v>
      </c>
      <c r="K1553" t="s">
        <v>30</v>
      </c>
      <c r="L1553" t="s">
        <v>16</v>
      </c>
      <c r="O1553"/>
    </row>
    <row r="1554" spans="1:15" x14ac:dyDescent="0.3">
      <c r="A1554" t="s">
        <v>1578</v>
      </c>
      <c r="B1554" s="1">
        <v>46002</v>
      </c>
      <c r="C1554" t="s">
        <v>22</v>
      </c>
      <c r="D1554" t="s">
        <v>22</v>
      </c>
      <c r="E1554" s="2">
        <v>2.38</v>
      </c>
      <c r="F1554" s="3">
        <v>8.57</v>
      </c>
      <c r="G1554" s="4">
        <v>38.18</v>
      </c>
      <c r="H1554">
        <v>1.5</v>
      </c>
      <c r="I1554" s="4">
        <v>57.27</v>
      </c>
      <c r="J1554">
        <v>3.9</v>
      </c>
      <c r="K1554" t="s">
        <v>33</v>
      </c>
      <c r="L1554" t="s">
        <v>28</v>
      </c>
      <c r="O1554"/>
    </row>
    <row r="1555" spans="1:15" x14ac:dyDescent="0.3">
      <c r="A1555" t="s">
        <v>1579</v>
      </c>
      <c r="B1555" s="1">
        <v>45885</v>
      </c>
      <c r="C1555" t="s">
        <v>14</v>
      </c>
      <c r="D1555" t="s">
        <v>21</v>
      </c>
      <c r="E1555" s="2">
        <v>22.53</v>
      </c>
      <c r="F1555" s="3">
        <v>79.77</v>
      </c>
      <c r="G1555" s="4">
        <v>337.86</v>
      </c>
      <c r="H1555">
        <v>2</v>
      </c>
      <c r="I1555" s="4">
        <v>675.72</v>
      </c>
      <c r="J1555">
        <v>4.5999999999999996</v>
      </c>
      <c r="K1555" t="s">
        <v>36</v>
      </c>
      <c r="L1555" t="s">
        <v>19</v>
      </c>
      <c r="O1555"/>
    </row>
    <row r="1556" spans="1:15" x14ac:dyDescent="0.3">
      <c r="A1556" t="s">
        <v>1580</v>
      </c>
      <c r="B1556" s="1">
        <v>45699</v>
      </c>
      <c r="C1556" t="s">
        <v>25</v>
      </c>
      <c r="D1556" t="s">
        <v>13</v>
      </c>
      <c r="E1556" s="2">
        <v>20.239999999999998</v>
      </c>
      <c r="F1556" s="3">
        <v>57.01</v>
      </c>
      <c r="G1556" s="4">
        <v>259.17</v>
      </c>
      <c r="H1556">
        <v>1.5</v>
      </c>
      <c r="I1556" s="4">
        <v>388.76</v>
      </c>
      <c r="J1556">
        <v>3.6</v>
      </c>
      <c r="K1556" t="s">
        <v>30</v>
      </c>
      <c r="L1556" t="s">
        <v>26</v>
      </c>
      <c r="O1556"/>
    </row>
    <row r="1557" spans="1:15" x14ac:dyDescent="0.3">
      <c r="A1557" t="s">
        <v>1581</v>
      </c>
      <c r="B1557" s="1">
        <v>45967</v>
      </c>
      <c r="C1557" t="s">
        <v>25</v>
      </c>
      <c r="D1557" t="s">
        <v>25</v>
      </c>
      <c r="E1557" s="2">
        <v>16.37</v>
      </c>
      <c r="F1557" s="3">
        <v>42.23</v>
      </c>
      <c r="G1557" s="4">
        <v>266.64999999999998</v>
      </c>
      <c r="H1557">
        <v>1.5</v>
      </c>
      <c r="I1557" s="4">
        <v>399.98</v>
      </c>
      <c r="J1557">
        <v>5</v>
      </c>
      <c r="K1557" t="s">
        <v>18</v>
      </c>
      <c r="L1557" t="s">
        <v>19</v>
      </c>
      <c r="O1557"/>
    </row>
    <row r="1558" spans="1:15" x14ac:dyDescent="0.3">
      <c r="A1558" t="s">
        <v>1582</v>
      </c>
      <c r="B1558" s="1">
        <v>45981</v>
      </c>
      <c r="C1558" t="s">
        <v>14</v>
      </c>
      <c r="D1558" t="s">
        <v>14</v>
      </c>
      <c r="E1558" s="2">
        <v>9.2200000000000006</v>
      </c>
      <c r="F1558" s="3">
        <v>18.440000000000001</v>
      </c>
      <c r="G1558" s="4">
        <v>103.9</v>
      </c>
      <c r="H1558">
        <v>1.2</v>
      </c>
      <c r="I1558" s="4">
        <v>124.68</v>
      </c>
      <c r="J1558">
        <v>4.7</v>
      </c>
      <c r="K1558" t="s">
        <v>33</v>
      </c>
      <c r="L1558" t="s">
        <v>28</v>
      </c>
      <c r="O1558"/>
    </row>
    <row r="1559" spans="1:15" x14ac:dyDescent="0.3">
      <c r="A1559" t="s">
        <v>1583</v>
      </c>
      <c r="B1559" s="1">
        <v>45757</v>
      </c>
      <c r="C1559" t="s">
        <v>21</v>
      </c>
      <c r="D1559" t="s">
        <v>22</v>
      </c>
      <c r="E1559" s="2">
        <v>7.77</v>
      </c>
      <c r="F1559" s="3">
        <v>27.64</v>
      </c>
      <c r="G1559" s="4">
        <v>124.99</v>
      </c>
      <c r="H1559">
        <v>1</v>
      </c>
      <c r="I1559" s="4">
        <v>124.99</v>
      </c>
      <c r="J1559">
        <v>4</v>
      </c>
      <c r="K1559" t="s">
        <v>15</v>
      </c>
      <c r="L1559" t="s">
        <v>28</v>
      </c>
      <c r="O1559"/>
    </row>
    <row r="1560" spans="1:15" x14ac:dyDescent="0.3">
      <c r="A1560" t="s">
        <v>1584</v>
      </c>
      <c r="B1560" s="1">
        <v>45837</v>
      </c>
      <c r="C1560" t="s">
        <v>14</v>
      </c>
      <c r="D1560" t="s">
        <v>25</v>
      </c>
      <c r="E1560" s="2">
        <v>20.76</v>
      </c>
      <c r="F1560" s="3">
        <v>44.16</v>
      </c>
      <c r="G1560" s="4">
        <v>289.86</v>
      </c>
      <c r="H1560">
        <v>1</v>
      </c>
      <c r="I1560" s="4">
        <v>289.86</v>
      </c>
      <c r="J1560">
        <v>4.4000000000000004</v>
      </c>
      <c r="K1560" t="s">
        <v>33</v>
      </c>
      <c r="L1560" t="s">
        <v>26</v>
      </c>
      <c r="O1560"/>
    </row>
    <row r="1561" spans="1:15" x14ac:dyDescent="0.3">
      <c r="A1561" t="s">
        <v>1585</v>
      </c>
      <c r="B1561" s="1">
        <v>45795</v>
      </c>
      <c r="C1561" t="s">
        <v>13</v>
      </c>
      <c r="D1561" t="s">
        <v>13</v>
      </c>
      <c r="E1561" s="2">
        <v>26.39</v>
      </c>
      <c r="F1561" s="3">
        <v>74.709999999999994</v>
      </c>
      <c r="G1561" s="4">
        <v>370.19</v>
      </c>
      <c r="H1561">
        <v>1.2</v>
      </c>
      <c r="I1561" s="4">
        <v>444.23</v>
      </c>
      <c r="J1561">
        <v>3.7</v>
      </c>
      <c r="K1561" t="s">
        <v>15</v>
      </c>
      <c r="L1561" t="s">
        <v>19</v>
      </c>
      <c r="O1561"/>
    </row>
    <row r="1562" spans="1:15" x14ac:dyDescent="0.3">
      <c r="A1562" t="s">
        <v>1586</v>
      </c>
      <c r="B1562" s="1">
        <v>45770</v>
      </c>
      <c r="C1562" t="s">
        <v>14</v>
      </c>
      <c r="D1562" t="s">
        <v>21</v>
      </c>
      <c r="E1562" s="2">
        <v>21.55</v>
      </c>
      <c r="F1562" s="3">
        <v>48.03</v>
      </c>
      <c r="G1562" s="4">
        <v>281.32</v>
      </c>
      <c r="H1562">
        <v>1.5</v>
      </c>
      <c r="I1562" s="4">
        <v>421.98</v>
      </c>
      <c r="J1562">
        <v>3.6</v>
      </c>
      <c r="K1562" t="s">
        <v>15</v>
      </c>
      <c r="L1562" t="s">
        <v>16</v>
      </c>
      <c r="O1562"/>
    </row>
    <row r="1563" spans="1:15" x14ac:dyDescent="0.3">
      <c r="A1563" t="s">
        <v>1587</v>
      </c>
      <c r="B1563" s="1">
        <v>45746</v>
      </c>
      <c r="C1563" t="s">
        <v>13</v>
      </c>
      <c r="D1563" t="s">
        <v>22</v>
      </c>
      <c r="E1563" s="2">
        <v>8.01</v>
      </c>
      <c r="F1563" s="3">
        <v>26.79</v>
      </c>
      <c r="G1563" s="4">
        <v>95.86</v>
      </c>
      <c r="H1563">
        <v>1.5</v>
      </c>
      <c r="I1563" s="4">
        <v>143.79</v>
      </c>
      <c r="J1563">
        <v>4.9000000000000004</v>
      </c>
      <c r="K1563" t="s">
        <v>33</v>
      </c>
      <c r="L1563" t="s">
        <v>28</v>
      </c>
      <c r="O1563"/>
    </row>
    <row r="1564" spans="1:15" x14ac:dyDescent="0.3">
      <c r="A1564" t="s">
        <v>1588</v>
      </c>
      <c r="B1564" s="1">
        <v>45836</v>
      </c>
      <c r="C1564" t="s">
        <v>13</v>
      </c>
      <c r="D1564" t="s">
        <v>25</v>
      </c>
      <c r="E1564" s="2">
        <v>6.26</v>
      </c>
      <c r="F1564" s="3">
        <v>21.43</v>
      </c>
      <c r="G1564" s="4">
        <v>86.7</v>
      </c>
      <c r="H1564">
        <v>1.5</v>
      </c>
      <c r="I1564" s="4">
        <v>130.05000000000001</v>
      </c>
      <c r="J1564">
        <v>4.4000000000000004</v>
      </c>
      <c r="K1564" t="s">
        <v>15</v>
      </c>
      <c r="L1564" t="s">
        <v>28</v>
      </c>
      <c r="O1564"/>
    </row>
    <row r="1565" spans="1:15" x14ac:dyDescent="0.3">
      <c r="A1565" t="s">
        <v>1589</v>
      </c>
      <c r="B1565" s="1">
        <v>45716</v>
      </c>
      <c r="C1565" t="s">
        <v>13</v>
      </c>
      <c r="D1565" t="s">
        <v>22</v>
      </c>
      <c r="E1565" s="2">
        <v>28.92</v>
      </c>
      <c r="F1565" s="3">
        <v>65.17</v>
      </c>
      <c r="G1565" s="4">
        <v>410.85</v>
      </c>
      <c r="H1565">
        <v>1</v>
      </c>
      <c r="I1565" s="4">
        <v>410.85</v>
      </c>
      <c r="J1565">
        <v>4.9000000000000004</v>
      </c>
      <c r="K1565" t="s">
        <v>33</v>
      </c>
      <c r="L1565" t="s">
        <v>26</v>
      </c>
      <c r="O1565"/>
    </row>
    <row r="1566" spans="1:15" x14ac:dyDescent="0.3">
      <c r="A1566" t="s">
        <v>1590</v>
      </c>
      <c r="B1566" s="1">
        <v>45879</v>
      </c>
      <c r="C1566" t="s">
        <v>13</v>
      </c>
      <c r="D1566" t="s">
        <v>22</v>
      </c>
      <c r="E1566" s="2">
        <v>11.53</v>
      </c>
      <c r="F1566" s="3">
        <v>24.27</v>
      </c>
      <c r="G1566" s="4">
        <v>194.34</v>
      </c>
      <c r="H1566">
        <v>1.5</v>
      </c>
      <c r="I1566" s="4">
        <v>291.51</v>
      </c>
      <c r="J1566">
        <v>5</v>
      </c>
      <c r="K1566" t="s">
        <v>15</v>
      </c>
      <c r="L1566" t="s">
        <v>28</v>
      </c>
      <c r="O1566"/>
    </row>
    <row r="1567" spans="1:15" x14ac:dyDescent="0.3">
      <c r="A1567" t="s">
        <v>1591</v>
      </c>
      <c r="B1567" s="1">
        <v>45978</v>
      </c>
      <c r="C1567" t="s">
        <v>14</v>
      </c>
      <c r="D1567" t="s">
        <v>13</v>
      </c>
      <c r="E1567" s="2">
        <v>24.66</v>
      </c>
      <c r="F1567" s="3">
        <v>88.9</v>
      </c>
      <c r="G1567" s="4">
        <v>366.54</v>
      </c>
      <c r="H1567">
        <v>1.5</v>
      </c>
      <c r="I1567" s="4">
        <v>549.80999999999995</v>
      </c>
      <c r="J1567">
        <v>4.3</v>
      </c>
      <c r="K1567" t="s">
        <v>33</v>
      </c>
      <c r="L1567" t="s">
        <v>26</v>
      </c>
      <c r="O1567"/>
    </row>
    <row r="1568" spans="1:15" x14ac:dyDescent="0.3">
      <c r="A1568" t="s">
        <v>1592</v>
      </c>
      <c r="B1568" s="1">
        <v>45791</v>
      </c>
      <c r="C1568" t="s">
        <v>13</v>
      </c>
      <c r="D1568" t="s">
        <v>25</v>
      </c>
      <c r="E1568" s="2">
        <v>29.49</v>
      </c>
      <c r="F1568" s="3">
        <v>70.66</v>
      </c>
      <c r="G1568" s="4">
        <v>334.45</v>
      </c>
      <c r="H1568">
        <v>2</v>
      </c>
      <c r="I1568" s="4">
        <v>668.9</v>
      </c>
      <c r="J1568">
        <v>3.2</v>
      </c>
      <c r="K1568" t="s">
        <v>15</v>
      </c>
      <c r="L1568" t="s">
        <v>16</v>
      </c>
      <c r="O1568"/>
    </row>
    <row r="1569" spans="1:15" x14ac:dyDescent="0.3">
      <c r="A1569" t="s">
        <v>1593</v>
      </c>
      <c r="B1569" s="1">
        <v>45840</v>
      </c>
      <c r="C1569" t="s">
        <v>22</v>
      </c>
      <c r="D1569" t="s">
        <v>25</v>
      </c>
      <c r="E1569" s="2">
        <v>9.5500000000000007</v>
      </c>
      <c r="F1569" s="3">
        <v>19.13</v>
      </c>
      <c r="G1569" s="4">
        <v>116.87</v>
      </c>
      <c r="H1569">
        <v>1.2</v>
      </c>
      <c r="I1569" s="4">
        <v>140.24</v>
      </c>
      <c r="J1569">
        <v>3.6</v>
      </c>
      <c r="K1569" t="s">
        <v>36</v>
      </c>
      <c r="L1569" t="s">
        <v>16</v>
      </c>
      <c r="O1569"/>
    </row>
    <row r="1570" spans="1:15" x14ac:dyDescent="0.3">
      <c r="A1570" t="s">
        <v>1594</v>
      </c>
      <c r="B1570" s="1">
        <v>45777</v>
      </c>
      <c r="C1570" t="s">
        <v>21</v>
      </c>
      <c r="D1570" t="s">
        <v>25</v>
      </c>
      <c r="E1570" s="2">
        <v>7.99</v>
      </c>
      <c r="F1570" s="3">
        <v>30.94</v>
      </c>
      <c r="G1570" s="4">
        <v>121.46</v>
      </c>
      <c r="H1570">
        <v>1.2</v>
      </c>
      <c r="I1570" s="4">
        <v>145.75</v>
      </c>
      <c r="J1570">
        <v>3</v>
      </c>
      <c r="K1570" t="s">
        <v>15</v>
      </c>
      <c r="L1570" t="s">
        <v>28</v>
      </c>
      <c r="O1570"/>
    </row>
    <row r="1571" spans="1:15" x14ac:dyDescent="0.3">
      <c r="A1571" t="s">
        <v>1595</v>
      </c>
      <c r="B1571" s="1">
        <v>45983</v>
      </c>
      <c r="C1571" t="s">
        <v>13</v>
      </c>
      <c r="D1571" t="s">
        <v>25</v>
      </c>
      <c r="E1571" s="2">
        <v>12.45</v>
      </c>
      <c r="F1571" s="3">
        <v>33.24</v>
      </c>
      <c r="G1571" s="4">
        <v>150.31</v>
      </c>
      <c r="H1571">
        <v>1</v>
      </c>
      <c r="I1571" s="4">
        <v>150.31</v>
      </c>
      <c r="J1571">
        <v>3.7</v>
      </c>
      <c r="K1571" t="s">
        <v>33</v>
      </c>
      <c r="L1571" t="s">
        <v>19</v>
      </c>
      <c r="O1571"/>
    </row>
    <row r="1572" spans="1:15" x14ac:dyDescent="0.3">
      <c r="A1572" t="s">
        <v>1596</v>
      </c>
      <c r="B1572" s="1">
        <v>45857</v>
      </c>
      <c r="C1572" t="s">
        <v>21</v>
      </c>
      <c r="D1572" t="s">
        <v>25</v>
      </c>
      <c r="E1572" s="2">
        <v>20.64</v>
      </c>
      <c r="F1572" s="3">
        <v>53.23</v>
      </c>
      <c r="G1572" s="4">
        <v>325.52999999999997</v>
      </c>
      <c r="H1572">
        <v>1.5</v>
      </c>
      <c r="I1572" s="4">
        <v>488.29</v>
      </c>
      <c r="J1572">
        <v>4.4000000000000004</v>
      </c>
      <c r="K1572" t="s">
        <v>15</v>
      </c>
      <c r="L1572" t="s">
        <v>26</v>
      </c>
      <c r="O1572"/>
    </row>
    <row r="1573" spans="1:15" x14ac:dyDescent="0.3">
      <c r="A1573" t="s">
        <v>1597</v>
      </c>
      <c r="B1573" s="1">
        <v>45692</v>
      </c>
      <c r="C1573" t="s">
        <v>14</v>
      </c>
      <c r="D1573" t="s">
        <v>25</v>
      </c>
      <c r="E1573" s="2">
        <v>28</v>
      </c>
      <c r="F1573" s="3">
        <v>62.21</v>
      </c>
      <c r="G1573" s="4">
        <v>393.75</v>
      </c>
      <c r="H1573">
        <v>1.2</v>
      </c>
      <c r="I1573" s="4">
        <v>472.5</v>
      </c>
      <c r="J1573">
        <v>3.5</v>
      </c>
      <c r="K1573" t="s">
        <v>33</v>
      </c>
      <c r="L1573" t="s">
        <v>26</v>
      </c>
      <c r="O1573"/>
    </row>
    <row r="1574" spans="1:15" x14ac:dyDescent="0.3">
      <c r="A1574" t="s">
        <v>1598</v>
      </c>
      <c r="B1574" s="1">
        <v>45658</v>
      </c>
      <c r="C1574" t="s">
        <v>21</v>
      </c>
      <c r="D1574" t="s">
        <v>22</v>
      </c>
      <c r="E1574" s="2">
        <v>2.7</v>
      </c>
      <c r="F1574" s="3">
        <v>7.05</v>
      </c>
      <c r="G1574" s="4">
        <v>31.26</v>
      </c>
      <c r="H1574">
        <v>2</v>
      </c>
      <c r="I1574" s="4">
        <v>62.52</v>
      </c>
      <c r="J1574">
        <v>5</v>
      </c>
      <c r="K1574" t="s">
        <v>30</v>
      </c>
      <c r="L1574" t="s">
        <v>16</v>
      </c>
      <c r="O1574"/>
    </row>
    <row r="1575" spans="1:15" x14ac:dyDescent="0.3">
      <c r="A1575" t="s">
        <v>1599</v>
      </c>
      <c r="B1575" s="1">
        <v>45737</v>
      </c>
      <c r="C1575" t="s">
        <v>21</v>
      </c>
      <c r="D1575" t="s">
        <v>13</v>
      </c>
      <c r="E1575" s="2">
        <v>1.46</v>
      </c>
      <c r="F1575" s="3">
        <v>4.55</v>
      </c>
      <c r="G1575" s="4">
        <v>20.14</v>
      </c>
      <c r="H1575">
        <v>2</v>
      </c>
      <c r="I1575" s="4">
        <v>40.28</v>
      </c>
      <c r="J1575">
        <v>3.2</v>
      </c>
      <c r="K1575" t="s">
        <v>18</v>
      </c>
      <c r="L1575" t="s">
        <v>19</v>
      </c>
      <c r="O1575"/>
    </row>
    <row r="1576" spans="1:15" x14ac:dyDescent="0.3">
      <c r="A1576" t="s">
        <v>1600</v>
      </c>
      <c r="B1576" s="1">
        <v>45868</v>
      </c>
      <c r="C1576" t="s">
        <v>14</v>
      </c>
      <c r="D1576" t="s">
        <v>22</v>
      </c>
      <c r="E1576" s="2">
        <v>10.09</v>
      </c>
      <c r="F1576" s="3">
        <v>26.14</v>
      </c>
      <c r="G1576" s="4">
        <v>174.9</v>
      </c>
      <c r="H1576">
        <v>1.2</v>
      </c>
      <c r="I1576" s="4">
        <v>209.88</v>
      </c>
      <c r="J1576">
        <v>4.5999999999999996</v>
      </c>
      <c r="K1576" t="s">
        <v>15</v>
      </c>
      <c r="L1576" t="s">
        <v>19</v>
      </c>
      <c r="O1576"/>
    </row>
    <row r="1577" spans="1:15" x14ac:dyDescent="0.3">
      <c r="A1577" t="s">
        <v>1601</v>
      </c>
      <c r="B1577" s="1">
        <v>45691</v>
      </c>
      <c r="C1577" t="s">
        <v>13</v>
      </c>
      <c r="D1577" t="s">
        <v>25</v>
      </c>
      <c r="E1577" s="2">
        <v>3.83</v>
      </c>
      <c r="F1577" s="3">
        <v>14.54</v>
      </c>
      <c r="G1577" s="4">
        <v>51.7</v>
      </c>
      <c r="H1577">
        <v>1.5</v>
      </c>
      <c r="I1577" s="4">
        <v>77.55</v>
      </c>
      <c r="J1577">
        <v>4.2</v>
      </c>
      <c r="K1577" t="s">
        <v>15</v>
      </c>
      <c r="L1577" t="s">
        <v>26</v>
      </c>
      <c r="O1577"/>
    </row>
    <row r="1578" spans="1:15" x14ac:dyDescent="0.3">
      <c r="A1578" t="s">
        <v>1602</v>
      </c>
      <c r="B1578" s="1">
        <v>45716</v>
      </c>
      <c r="C1578" t="s">
        <v>13</v>
      </c>
      <c r="D1578" t="s">
        <v>14</v>
      </c>
      <c r="E1578" s="2">
        <v>4.6500000000000004</v>
      </c>
      <c r="F1578" s="3">
        <v>14.78</v>
      </c>
      <c r="G1578" s="4">
        <v>70.92</v>
      </c>
      <c r="H1578">
        <v>1.5</v>
      </c>
      <c r="I1578" s="4">
        <v>106.38</v>
      </c>
      <c r="J1578">
        <v>3.6</v>
      </c>
      <c r="K1578" t="s">
        <v>18</v>
      </c>
      <c r="L1578" t="s">
        <v>19</v>
      </c>
      <c r="O1578"/>
    </row>
    <row r="1579" spans="1:15" x14ac:dyDescent="0.3">
      <c r="A1579" t="s">
        <v>1603</v>
      </c>
      <c r="B1579" s="1">
        <v>45728</v>
      </c>
      <c r="C1579" t="s">
        <v>13</v>
      </c>
      <c r="D1579" t="s">
        <v>13</v>
      </c>
      <c r="E1579" s="2">
        <v>24.11</v>
      </c>
      <c r="F1579" s="3">
        <v>76.69</v>
      </c>
      <c r="G1579" s="4">
        <v>264.47000000000003</v>
      </c>
      <c r="H1579">
        <v>2</v>
      </c>
      <c r="I1579" s="4">
        <v>528.94000000000005</v>
      </c>
      <c r="J1579">
        <v>3.5</v>
      </c>
      <c r="K1579" t="s">
        <v>30</v>
      </c>
      <c r="L1579" t="s">
        <v>28</v>
      </c>
      <c r="O1579"/>
    </row>
    <row r="1580" spans="1:15" x14ac:dyDescent="0.3">
      <c r="A1580" t="s">
        <v>1604</v>
      </c>
      <c r="B1580" s="1">
        <v>45726</v>
      </c>
      <c r="C1580" t="s">
        <v>21</v>
      </c>
      <c r="D1580" t="s">
        <v>14</v>
      </c>
      <c r="E1580" s="2">
        <v>3.95</v>
      </c>
      <c r="F1580" s="3">
        <v>8.2899999999999991</v>
      </c>
      <c r="G1580" s="4">
        <v>39.71</v>
      </c>
      <c r="H1580">
        <v>1.2</v>
      </c>
      <c r="I1580" s="4">
        <v>47.65</v>
      </c>
      <c r="J1580">
        <v>4.4000000000000004</v>
      </c>
      <c r="K1580" t="s">
        <v>36</v>
      </c>
      <c r="L1580" t="s">
        <v>16</v>
      </c>
      <c r="O1580"/>
    </row>
    <row r="1581" spans="1:15" x14ac:dyDescent="0.3">
      <c r="A1581" t="s">
        <v>1605</v>
      </c>
      <c r="B1581" s="1">
        <v>45937</v>
      </c>
      <c r="C1581" t="s">
        <v>21</v>
      </c>
      <c r="D1581" t="s">
        <v>22</v>
      </c>
      <c r="E1581" s="2">
        <v>22.18</v>
      </c>
      <c r="F1581" s="3">
        <v>64.47</v>
      </c>
      <c r="G1581" s="4">
        <v>373.58</v>
      </c>
      <c r="H1581">
        <v>1.5</v>
      </c>
      <c r="I1581" s="4">
        <v>560.37</v>
      </c>
      <c r="J1581">
        <v>3.4</v>
      </c>
      <c r="K1581" t="s">
        <v>33</v>
      </c>
      <c r="L1581" t="s">
        <v>28</v>
      </c>
      <c r="O1581"/>
    </row>
    <row r="1582" spans="1:15" x14ac:dyDescent="0.3">
      <c r="A1582" t="s">
        <v>1606</v>
      </c>
      <c r="B1582" s="1">
        <v>45948</v>
      </c>
      <c r="C1582" t="s">
        <v>25</v>
      </c>
      <c r="D1582" t="s">
        <v>25</v>
      </c>
      <c r="E1582" s="2">
        <v>24.14</v>
      </c>
      <c r="F1582" s="3">
        <v>92.77</v>
      </c>
      <c r="G1582" s="4">
        <v>477.61</v>
      </c>
      <c r="H1582">
        <v>1.2</v>
      </c>
      <c r="I1582" s="4">
        <v>573.13</v>
      </c>
      <c r="J1582">
        <v>3.4</v>
      </c>
      <c r="K1582" t="s">
        <v>18</v>
      </c>
      <c r="L1582" t="s">
        <v>26</v>
      </c>
      <c r="O1582"/>
    </row>
    <row r="1583" spans="1:15" x14ac:dyDescent="0.3">
      <c r="A1583" t="s">
        <v>1607</v>
      </c>
      <c r="B1583" s="1">
        <v>45811</v>
      </c>
      <c r="C1583" t="s">
        <v>14</v>
      </c>
      <c r="D1583" t="s">
        <v>13</v>
      </c>
      <c r="E1583" s="2">
        <v>4</v>
      </c>
      <c r="F1583" s="3">
        <v>9.4499999999999993</v>
      </c>
      <c r="G1583" s="4">
        <v>45.2</v>
      </c>
      <c r="H1583">
        <v>2</v>
      </c>
      <c r="I1583" s="4">
        <v>90.4</v>
      </c>
      <c r="J1583">
        <v>4.5999999999999996</v>
      </c>
      <c r="K1583" t="s">
        <v>30</v>
      </c>
      <c r="L1583" t="s">
        <v>19</v>
      </c>
      <c r="O1583"/>
    </row>
    <row r="1584" spans="1:15" x14ac:dyDescent="0.3">
      <c r="A1584" t="s">
        <v>1608</v>
      </c>
      <c r="B1584" s="1">
        <v>45713</v>
      </c>
      <c r="C1584" t="s">
        <v>13</v>
      </c>
      <c r="D1584" t="s">
        <v>13</v>
      </c>
      <c r="E1584" s="2">
        <v>15.43</v>
      </c>
      <c r="F1584" s="3">
        <v>45.55</v>
      </c>
      <c r="G1584" s="4">
        <v>293.39999999999998</v>
      </c>
      <c r="H1584">
        <v>1.5</v>
      </c>
      <c r="I1584" s="4">
        <v>440.1</v>
      </c>
      <c r="J1584">
        <v>4.5999999999999996</v>
      </c>
      <c r="K1584" t="s">
        <v>33</v>
      </c>
      <c r="L1584" t="s">
        <v>19</v>
      </c>
      <c r="O1584"/>
    </row>
    <row r="1585" spans="1:15" x14ac:dyDescent="0.3">
      <c r="A1585" t="s">
        <v>1609</v>
      </c>
      <c r="B1585" s="1">
        <v>45731</v>
      </c>
      <c r="C1585" t="s">
        <v>25</v>
      </c>
      <c r="D1585" t="s">
        <v>13</v>
      </c>
      <c r="E1585" s="2">
        <v>20.059999999999999</v>
      </c>
      <c r="F1585" s="3">
        <v>54.77</v>
      </c>
      <c r="G1585" s="4">
        <v>323.27</v>
      </c>
      <c r="H1585">
        <v>1.5</v>
      </c>
      <c r="I1585" s="4">
        <v>484.9</v>
      </c>
      <c r="J1585">
        <v>3.1</v>
      </c>
      <c r="K1585" t="s">
        <v>30</v>
      </c>
      <c r="L1585" t="s">
        <v>26</v>
      </c>
      <c r="O1585"/>
    </row>
    <row r="1586" spans="1:15" x14ac:dyDescent="0.3">
      <c r="A1586" t="s">
        <v>1610</v>
      </c>
      <c r="B1586" s="1">
        <v>45779</v>
      </c>
      <c r="C1586" t="s">
        <v>22</v>
      </c>
      <c r="D1586" t="s">
        <v>13</v>
      </c>
      <c r="E1586" s="2">
        <v>4.13</v>
      </c>
      <c r="F1586" s="3">
        <v>8.84</v>
      </c>
      <c r="G1586" s="4">
        <v>65.62</v>
      </c>
      <c r="H1586">
        <v>1</v>
      </c>
      <c r="I1586" s="4">
        <v>65.62</v>
      </c>
      <c r="J1586">
        <v>4.3</v>
      </c>
      <c r="K1586" t="s">
        <v>36</v>
      </c>
      <c r="L1586" t="s">
        <v>19</v>
      </c>
      <c r="O1586"/>
    </row>
    <row r="1587" spans="1:15" x14ac:dyDescent="0.3">
      <c r="A1587" t="s">
        <v>1611</v>
      </c>
      <c r="B1587" s="1">
        <v>45987</v>
      </c>
      <c r="C1587" t="s">
        <v>22</v>
      </c>
      <c r="D1587" t="s">
        <v>21</v>
      </c>
      <c r="E1587" s="2">
        <v>15.78</v>
      </c>
      <c r="F1587" s="3">
        <v>44.89</v>
      </c>
      <c r="G1587" s="4">
        <v>220.62</v>
      </c>
      <c r="H1587">
        <v>1</v>
      </c>
      <c r="I1587" s="4">
        <v>220.62</v>
      </c>
      <c r="J1587">
        <v>3.4</v>
      </c>
      <c r="K1587" t="s">
        <v>30</v>
      </c>
      <c r="L1587" t="s">
        <v>16</v>
      </c>
      <c r="O1587"/>
    </row>
    <row r="1588" spans="1:15" x14ac:dyDescent="0.3">
      <c r="A1588" t="s">
        <v>1612</v>
      </c>
      <c r="B1588" s="1">
        <v>45922</v>
      </c>
      <c r="C1588" t="s">
        <v>25</v>
      </c>
      <c r="D1588" t="s">
        <v>22</v>
      </c>
      <c r="E1588" s="2">
        <v>1.73</v>
      </c>
      <c r="F1588" s="3">
        <v>5.96</v>
      </c>
      <c r="G1588" s="4">
        <v>31.32</v>
      </c>
      <c r="H1588">
        <v>1.5</v>
      </c>
      <c r="I1588" s="4">
        <v>46.98</v>
      </c>
      <c r="J1588">
        <v>4.7</v>
      </c>
      <c r="K1588" t="s">
        <v>15</v>
      </c>
      <c r="L1588" t="s">
        <v>16</v>
      </c>
      <c r="O1588"/>
    </row>
    <row r="1589" spans="1:15" x14ac:dyDescent="0.3">
      <c r="A1589" t="s">
        <v>1613</v>
      </c>
      <c r="B1589" s="1">
        <v>45861</v>
      </c>
      <c r="C1589" t="s">
        <v>22</v>
      </c>
      <c r="D1589" t="s">
        <v>13</v>
      </c>
      <c r="E1589" s="2">
        <v>27.2</v>
      </c>
      <c r="F1589" s="3">
        <v>90.97</v>
      </c>
      <c r="G1589" s="4">
        <v>516.13</v>
      </c>
      <c r="H1589">
        <v>1</v>
      </c>
      <c r="I1589" s="4">
        <v>516.13</v>
      </c>
      <c r="J1589">
        <v>4.9000000000000004</v>
      </c>
      <c r="K1589" t="s">
        <v>36</v>
      </c>
      <c r="L1589" t="s">
        <v>16</v>
      </c>
      <c r="O1589"/>
    </row>
    <row r="1590" spans="1:15" x14ac:dyDescent="0.3">
      <c r="A1590" t="s">
        <v>1614</v>
      </c>
      <c r="B1590" s="1">
        <v>45707</v>
      </c>
      <c r="C1590" t="s">
        <v>14</v>
      </c>
      <c r="D1590" t="s">
        <v>14</v>
      </c>
      <c r="E1590" s="2">
        <v>23.75</v>
      </c>
      <c r="F1590" s="3">
        <v>51.93</v>
      </c>
      <c r="G1590" s="4">
        <v>361.21</v>
      </c>
      <c r="H1590">
        <v>2</v>
      </c>
      <c r="I1590" s="4">
        <v>722.42</v>
      </c>
      <c r="J1590">
        <v>4.7</v>
      </c>
      <c r="K1590" t="s">
        <v>15</v>
      </c>
      <c r="L1590" t="s">
        <v>19</v>
      </c>
      <c r="O1590"/>
    </row>
    <row r="1591" spans="1:15" x14ac:dyDescent="0.3">
      <c r="A1591" t="s">
        <v>1615</v>
      </c>
      <c r="B1591" s="1">
        <v>46012</v>
      </c>
      <c r="C1591" t="s">
        <v>14</v>
      </c>
      <c r="D1591" t="s">
        <v>14</v>
      </c>
      <c r="E1591" s="2">
        <v>28.73</v>
      </c>
      <c r="F1591" s="3">
        <v>97.58</v>
      </c>
      <c r="G1591" s="4">
        <v>346.99</v>
      </c>
      <c r="H1591">
        <v>1</v>
      </c>
      <c r="I1591" s="4">
        <v>346.99</v>
      </c>
      <c r="J1591">
        <v>4.5999999999999996</v>
      </c>
      <c r="K1591" t="s">
        <v>36</v>
      </c>
      <c r="L1591" t="s">
        <v>19</v>
      </c>
      <c r="O1591"/>
    </row>
    <row r="1592" spans="1:15" x14ac:dyDescent="0.3">
      <c r="A1592" t="s">
        <v>1616</v>
      </c>
      <c r="B1592" s="1">
        <v>45794</v>
      </c>
      <c r="C1592" t="s">
        <v>22</v>
      </c>
      <c r="D1592" t="s">
        <v>25</v>
      </c>
      <c r="E1592" s="2">
        <v>15.9</v>
      </c>
      <c r="F1592" s="3">
        <v>39.44</v>
      </c>
      <c r="G1592" s="4">
        <v>178.83</v>
      </c>
      <c r="H1592">
        <v>1</v>
      </c>
      <c r="I1592" s="4">
        <v>178.83</v>
      </c>
      <c r="J1592">
        <v>3.4</v>
      </c>
      <c r="K1592" t="s">
        <v>33</v>
      </c>
      <c r="L1592" t="s">
        <v>19</v>
      </c>
      <c r="O1592"/>
    </row>
    <row r="1593" spans="1:15" x14ac:dyDescent="0.3">
      <c r="A1593" t="s">
        <v>1617</v>
      </c>
      <c r="B1593" s="1">
        <v>45951</v>
      </c>
      <c r="C1593" t="s">
        <v>25</v>
      </c>
      <c r="D1593" t="s">
        <v>13</v>
      </c>
      <c r="E1593" s="2">
        <v>29.8</v>
      </c>
      <c r="F1593" s="3">
        <v>104.79</v>
      </c>
      <c r="G1593" s="4">
        <v>534.5</v>
      </c>
      <c r="H1593">
        <v>1.5</v>
      </c>
      <c r="I1593" s="4">
        <v>801.75</v>
      </c>
      <c r="J1593">
        <v>4</v>
      </c>
      <c r="K1593" t="s">
        <v>36</v>
      </c>
      <c r="L1593" t="s">
        <v>28</v>
      </c>
      <c r="O1593"/>
    </row>
    <row r="1594" spans="1:15" x14ac:dyDescent="0.3">
      <c r="A1594" t="s">
        <v>1618</v>
      </c>
      <c r="B1594" s="1">
        <v>45739</v>
      </c>
      <c r="C1594" t="s">
        <v>22</v>
      </c>
      <c r="D1594" t="s">
        <v>13</v>
      </c>
      <c r="E1594" s="2">
        <v>19.559999999999999</v>
      </c>
      <c r="F1594" s="3">
        <v>72.77</v>
      </c>
      <c r="G1594" s="4">
        <v>380.6</v>
      </c>
      <c r="H1594">
        <v>2</v>
      </c>
      <c r="I1594" s="4">
        <v>761.2</v>
      </c>
      <c r="J1594">
        <v>3.6</v>
      </c>
      <c r="K1594" t="s">
        <v>36</v>
      </c>
      <c r="L1594" t="s">
        <v>16</v>
      </c>
      <c r="O1594"/>
    </row>
    <row r="1595" spans="1:15" x14ac:dyDescent="0.3">
      <c r="A1595" t="s">
        <v>1619</v>
      </c>
      <c r="B1595" s="1">
        <v>45968</v>
      </c>
      <c r="C1595" t="s">
        <v>14</v>
      </c>
      <c r="D1595" t="s">
        <v>14</v>
      </c>
      <c r="E1595" s="2">
        <v>3.28</v>
      </c>
      <c r="F1595" s="3">
        <v>7.69</v>
      </c>
      <c r="G1595" s="4">
        <v>34.74</v>
      </c>
      <c r="H1595">
        <v>2</v>
      </c>
      <c r="I1595" s="4">
        <v>69.48</v>
      </c>
      <c r="J1595">
        <v>3.3</v>
      </c>
      <c r="K1595" t="s">
        <v>33</v>
      </c>
      <c r="L1595" t="s">
        <v>19</v>
      </c>
      <c r="O1595"/>
    </row>
    <row r="1596" spans="1:15" x14ac:dyDescent="0.3">
      <c r="A1596" t="s">
        <v>1620</v>
      </c>
      <c r="B1596" s="1">
        <v>45937</v>
      </c>
      <c r="C1596" t="s">
        <v>25</v>
      </c>
      <c r="D1596" t="s">
        <v>21</v>
      </c>
      <c r="E1596" s="2">
        <v>6.98</v>
      </c>
      <c r="F1596" s="3">
        <v>20.12</v>
      </c>
      <c r="G1596" s="4">
        <v>74.34</v>
      </c>
      <c r="H1596">
        <v>1.5</v>
      </c>
      <c r="I1596" s="4">
        <v>111.51</v>
      </c>
      <c r="J1596">
        <v>4.3</v>
      </c>
      <c r="K1596" t="s">
        <v>30</v>
      </c>
      <c r="L1596" t="s">
        <v>28</v>
      </c>
      <c r="O1596"/>
    </row>
    <row r="1597" spans="1:15" x14ac:dyDescent="0.3">
      <c r="A1597" t="s">
        <v>1621</v>
      </c>
      <c r="B1597" s="1">
        <v>45809</v>
      </c>
      <c r="C1597" t="s">
        <v>14</v>
      </c>
      <c r="D1597" t="s">
        <v>25</v>
      </c>
      <c r="E1597" s="2">
        <v>27.19</v>
      </c>
      <c r="F1597" s="3">
        <v>101.38</v>
      </c>
      <c r="G1597" s="4">
        <v>398.22</v>
      </c>
      <c r="H1597">
        <v>1.2</v>
      </c>
      <c r="I1597" s="4">
        <v>477.86</v>
      </c>
      <c r="J1597">
        <v>3.4</v>
      </c>
      <c r="K1597" t="s">
        <v>30</v>
      </c>
      <c r="L1597" t="s">
        <v>19</v>
      </c>
      <c r="O1597"/>
    </row>
    <row r="1598" spans="1:15" x14ac:dyDescent="0.3">
      <c r="A1598" t="s">
        <v>1622</v>
      </c>
      <c r="B1598" s="1">
        <v>45726</v>
      </c>
      <c r="C1598" t="s">
        <v>22</v>
      </c>
      <c r="D1598" t="s">
        <v>21</v>
      </c>
      <c r="E1598" s="2">
        <v>24.29</v>
      </c>
      <c r="F1598" s="3">
        <v>69.56</v>
      </c>
      <c r="G1598" s="4">
        <v>433.77</v>
      </c>
      <c r="H1598">
        <v>1.5</v>
      </c>
      <c r="I1598" s="4">
        <v>650.66</v>
      </c>
      <c r="J1598">
        <v>3.6</v>
      </c>
      <c r="K1598" t="s">
        <v>36</v>
      </c>
      <c r="L1598" t="s">
        <v>28</v>
      </c>
      <c r="O1598"/>
    </row>
    <row r="1599" spans="1:15" x14ac:dyDescent="0.3">
      <c r="A1599" t="s">
        <v>1623</v>
      </c>
      <c r="B1599" s="1">
        <v>45674</v>
      </c>
      <c r="C1599" t="s">
        <v>25</v>
      </c>
      <c r="D1599" t="s">
        <v>14</v>
      </c>
      <c r="E1599" s="2">
        <v>14.42</v>
      </c>
      <c r="F1599" s="3">
        <v>51.48</v>
      </c>
      <c r="G1599" s="4">
        <v>262.67</v>
      </c>
      <c r="H1599">
        <v>2</v>
      </c>
      <c r="I1599" s="4">
        <v>525.34</v>
      </c>
      <c r="J1599">
        <v>3.2</v>
      </c>
      <c r="K1599" t="s">
        <v>30</v>
      </c>
      <c r="L1599" t="s">
        <v>16</v>
      </c>
      <c r="O1599"/>
    </row>
    <row r="1600" spans="1:15" x14ac:dyDescent="0.3">
      <c r="A1600" t="s">
        <v>1624</v>
      </c>
      <c r="B1600" s="1">
        <v>45904</v>
      </c>
      <c r="C1600" t="s">
        <v>13</v>
      </c>
      <c r="D1600" t="s">
        <v>14</v>
      </c>
      <c r="E1600" s="2">
        <v>1.36</v>
      </c>
      <c r="F1600" s="3">
        <v>5.1100000000000003</v>
      </c>
      <c r="G1600" s="4">
        <v>14.21</v>
      </c>
      <c r="H1600">
        <v>1.2</v>
      </c>
      <c r="I1600" s="4">
        <v>17.05</v>
      </c>
      <c r="J1600">
        <v>3.1</v>
      </c>
      <c r="K1600" t="s">
        <v>15</v>
      </c>
      <c r="L1600" t="s">
        <v>28</v>
      </c>
      <c r="O1600"/>
    </row>
    <row r="1601" spans="1:15" x14ac:dyDescent="0.3">
      <c r="A1601" t="s">
        <v>1625</v>
      </c>
      <c r="B1601" s="1">
        <v>45984</v>
      </c>
      <c r="C1601" t="s">
        <v>22</v>
      </c>
      <c r="D1601" t="s">
        <v>21</v>
      </c>
      <c r="E1601" s="2">
        <v>3.84</v>
      </c>
      <c r="F1601" s="3">
        <v>11.03</v>
      </c>
      <c r="G1601" s="4">
        <v>75.349999999999994</v>
      </c>
      <c r="H1601">
        <v>2</v>
      </c>
      <c r="I1601" s="4">
        <v>150.69999999999999</v>
      </c>
      <c r="J1601">
        <v>4.7</v>
      </c>
      <c r="K1601" t="s">
        <v>18</v>
      </c>
      <c r="L1601" t="s">
        <v>16</v>
      </c>
      <c r="O1601"/>
    </row>
    <row r="1602" spans="1:15" x14ac:dyDescent="0.3">
      <c r="A1602" t="s">
        <v>1626</v>
      </c>
      <c r="B1602" s="1">
        <v>45913</v>
      </c>
      <c r="C1602" t="s">
        <v>21</v>
      </c>
      <c r="D1602" t="s">
        <v>13</v>
      </c>
      <c r="E1602" s="2">
        <v>23.11</v>
      </c>
      <c r="F1602" s="3">
        <v>84.74</v>
      </c>
      <c r="G1602" s="4">
        <v>311.52999999999997</v>
      </c>
      <c r="H1602">
        <v>1</v>
      </c>
      <c r="I1602" s="4">
        <v>311.52999999999997</v>
      </c>
      <c r="J1602">
        <v>4.0999999999999996</v>
      </c>
      <c r="K1602" t="s">
        <v>15</v>
      </c>
      <c r="L1602" t="s">
        <v>26</v>
      </c>
      <c r="O1602"/>
    </row>
    <row r="1603" spans="1:15" x14ac:dyDescent="0.3">
      <c r="A1603" t="s">
        <v>1627</v>
      </c>
      <c r="B1603" s="1">
        <v>45716</v>
      </c>
      <c r="C1603" t="s">
        <v>22</v>
      </c>
      <c r="D1603" t="s">
        <v>14</v>
      </c>
      <c r="E1603" s="2">
        <v>5.6</v>
      </c>
      <c r="F1603" s="3">
        <v>20.3</v>
      </c>
      <c r="G1603" s="4">
        <v>63.43</v>
      </c>
      <c r="H1603">
        <v>2</v>
      </c>
      <c r="I1603" s="4">
        <v>126.86</v>
      </c>
      <c r="J1603">
        <v>3</v>
      </c>
      <c r="K1603" t="s">
        <v>18</v>
      </c>
      <c r="L1603" t="s">
        <v>28</v>
      </c>
      <c r="O1603"/>
    </row>
    <row r="1604" spans="1:15" x14ac:dyDescent="0.3">
      <c r="A1604" t="s">
        <v>1628</v>
      </c>
      <c r="B1604" s="1">
        <v>45870</v>
      </c>
      <c r="C1604" t="s">
        <v>25</v>
      </c>
      <c r="D1604" t="s">
        <v>14</v>
      </c>
      <c r="E1604" s="2">
        <v>21.41</v>
      </c>
      <c r="F1604" s="3">
        <v>70.69</v>
      </c>
      <c r="G1604" s="4">
        <v>421.32</v>
      </c>
      <c r="H1604">
        <v>1</v>
      </c>
      <c r="I1604" s="4">
        <v>421.32</v>
      </c>
      <c r="J1604">
        <v>4.2</v>
      </c>
      <c r="K1604" t="s">
        <v>15</v>
      </c>
      <c r="L1604" t="s">
        <v>28</v>
      </c>
      <c r="O1604"/>
    </row>
    <row r="1605" spans="1:15" x14ac:dyDescent="0.3">
      <c r="A1605" t="s">
        <v>1629</v>
      </c>
      <c r="B1605" s="1">
        <v>45871</v>
      </c>
      <c r="C1605" t="s">
        <v>25</v>
      </c>
      <c r="D1605" t="s">
        <v>21</v>
      </c>
      <c r="E1605" s="2">
        <v>2.82</v>
      </c>
      <c r="F1605" s="3">
        <v>8.32</v>
      </c>
      <c r="G1605" s="4">
        <v>47.64</v>
      </c>
      <c r="H1605">
        <v>1</v>
      </c>
      <c r="I1605" s="4">
        <v>47.64</v>
      </c>
      <c r="J1605">
        <v>4.5</v>
      </c>
      <c r="K1605" t="s">
        <v>18</v>
      </c>
      <c r="L1605" t="s">
        <v>26</v>
      </c>
      <c r="O1605"/>
    </row>
    <row r="1606" spans="1:15" x14ac:dyDescent="0.3">
      <c r="A1606" t="s">
        <v>1630</v>
      </c>
      <c r="B1606" s="1">
        <v>45756</v>
      </c>
      <c r="C1606" t="s">
        <v>21</v>
      </c>
      <c r="D1606" t="s">
        <v>14</v>
      </c>
      <c r="E1606" s="2">
        <v>14.6</v>
      </c>
      <c r="F1606" s="3">
        <v>37.78</v>
      </c>
      <c r="G1606" s="4">
        <v>186.49</v>
      </c>
      <c r="H1606">
        <v>2</v>
      </c>
      <c r="I1606" s="4">
        <v>372.98</v>
      </c>
      <c r="J1606">
        <v>4.2</v>
      </c>
      <c r="K1606" t="s">
        <v>30</v>
      </c>
      <c r="L1606" t="s">
        <v>26</v>
      </c>
      <c r="O1606"/>
    </row>
    <row r="1607" spans="1:15" x14ac:dyDescent="0.3">
      <c r="A1607" t="s">
        <v>1631</v>
      </c>
      <c r="B1607" s="1">
        <v>45729</v>
      </c>
      <c r="C1607" t="s">
        <v>13</v>
      </c>
      <c r="D1607" t="s">
        <v>21</v>
      </c>
      <c r="E1607" s="2">
        <v>10.88</v>
      </c>
      <c r="F1607" s="3">
        <v>28.81</v>
      </c>
      <c r="G1607" s="4">
        <v>172.68</v>
      </c>
      <c r="H1607">
        <v>1.5</v>
      </c>
      <c r="I1607" s="4">
        <v>259.02</v>
      </c>
      <c r="J1607">
        <v>4.7</v>
      </c>
      <c r="K1607" t="s">
        <v>18</v>
      </c>
      <c r="L1607" t="s">
        <v>16</v>
      </c>
      <c r="O1607"/>
    </row>
    <row r="1608" spans="1:15" x14ac:dyDescent="0.3">
      <c r="A1608" t="s">
        <v>1632</v>
      </c>
      <c r="B1608" s="1">
        <v>45879</v>
      </c>
      <c r="C1608" t="s">
        <v>13</v>
      </c>
      <c r="D1608" t="s">
        <v>25</v>
      </c>
      <c r="E1608" s="2">
        <v>17.309999999999999</v>
      </c>
      <c r="F1608" s="3">
        <v>57.84</v>
      </c>
      <c r="G1608" s="4">
        <v>294.81</v>
      </c>
      <c r="H1608">
        <v>1</v>
      </c>
      <c r="I1608" s="4">
        <v>294.81</v>
      </c>
      <c r="J1608">
        <v>4.2</v>
      </c>
      <c r="K1608" t="s">
        <v>36</v>
      </c>
      <c r="L1608" t="s">
        <v>19</v>
      </c>
      <c r="O1608"/>
    </row>
    <row r="1609" spans="1:15" x14ac:dyDescent="0.3">
      <c r="A1609" t="s">
        <v>1633</v>
      </c>
      <c r="B1609" s="1">
        <v>45836</v>
      </c>
      <c r="C1609" t="s">
        <v>25</v>
      </c>
      <c r="D1609" t="s">
        <v>14</v>
      </c>
      <c r="E1609" s="2">
        <v>28.73</v>
      </c>
      <c r="F1609" s="3">
        <v>101.51</v>
      </c>
      <c r="G1609" s="4">
        <v>565.85</v>
      </c>
      <c r="H1609">
        <v>1.5</v>
      </c>
      <c r="I1609" s="4">
        <v>848.78</v>
      </c>
      <c r="J1609">
        <v>4.4000000000000004</v>
      </c>
      <c r="K1609" t="s">
        <v>33</v>
      </c>
      <c r="L1609" t="s">
        <v>19</v>
      </c>
      <c r="O1609"/>
    </row>
    <row r="1610" spans="1:15" x14ac:dyDescent="0.3">
      <c r="A1610" t="s">
        <v>1634</v>
      </c>
      <c r="B1610" s="1">
        <v>45922</v>
      </c>
      <c r="C1610" t="s">
        <v>21</v>
      </c>
      <c r="D1610" t="s">
        <v>22</v>
      </c>
      <c r="E1610" s="2">
        <v>2.87</v>
      </c>
      <c r="F1610" s="3">
        <v>9.06</v>
      </c>
      <c r="G1610" s="4">
        <v>38.97</v>
      </c>
      <c r="H1610">
        <v>1</v>
      </c>
      <c r="I1610" s="4">
        <v>38.97</v>
      </c>
      <c r="J1610">
        <v>4.7</v>
      </c>
      <c r="K1610" t="s">
        <v>18</v>
      </c>
      <c r="L1610" t="s">
        <v>26</v>
      </c>
      <c r="O1610"/>
    </row>
    <row r="1611" spans="1:15" x14ac:dyDescent="0.3">
      <c r="A1611" t="s">
        <v>1635</v>
      </c>
      <c r="B1611" s="1">
        <v>45848</v>
      </c>
      <c r="C1611" t="s">
        <v>25</v>
      </c>
      <c r="D1611" t="s">
        <v>22</v>
      </c>
      <c r="E1611" s="2">
        <v>11.64</v>
      </c>
      <c r="F1611" s="3">
        <v>30.66</v>
      </c>
      <c r="G1611" s="4">
        <v>215.34</v>
      </c>
      <c r="H1611">
        <v>1</v>
      </c>
      <c r="I1611" s="4">
        <v>215.34</v>
      </c>
      <c r="J1611">
        <v>4.0999999999999996</v>
      </c>
      <c r="K1611" t="s">
        <v>36</v>
      </c>
      <c r="L1611" t="s">
        <v>28</v>
      </c>
      <c r="O1611"/>
    </row>
    <row r="1612" spans="1:15" x14ac:dyDescent="0.3">
      <c r="A1612" t="s">
        <v>1636</v>
      </c>
      <c r="B1612" s="1">
        <v>45888</v>
      </c>
      <c r="C1612" t="s">
        <v>21</v>
      </c>
      <c r="D1612" t="s">
        <v>25</v>
      </c>
      <c r="E1612" s="2">
        <v>25.14</v>
      </c>
      <c r="F1612" s="3">
        <v>93.06</v>
      </c>
      <c r="G1612" s="4">
        <v>357.98</v>
      </c>
      <c r="H1612">
        <v>1.2</v>
      </c>
      <c r="I1612" s="4">
        <v>429.58</v>
      </c>
      <c r="J1612">
        <v>4</v>
      </c>
      <c r="K1612" t="s">
        <v>33</v>
      </c>
      <c r="L1612" t="s">
        <v>19</v>
      </c>
      <c r="O1612"/>
    </row>
    <row r="1613" spans="1:15" x14ac:dyDescent="0.3">
      <c r="A1613" t="s">
        <v>1637</v>
      </c>
      <c r="B1613" s="1">
        <v>45695</v>
      </c>
      <c r="C1613" t="s">
        <v>14</v>
      </c>
      <c r="D1613" t="s">
        <v>14</v>
      </c>
      <c r="E1613" s="2">
        <v>16.18</v>
      </c>
      <c r="F1613" s="3">
        <v>43.49</v>
      </c>
      <c r="G1613" s="4">
        <v>323.14</v>
      </c>
      <c r="H1613">
        <v>1.5</v>
      </c>
      <c r="I1613" s="4">
        <v>484.71</v>
      </c>
      <c r="J1613">
        <v>3.9</v>
      </c>
      <c r="K1613" t="s">
        <v>36</v>
      </c>
      <c r="L1613" t="s">
        <v>28</v>
      </c>
      <c r="O1613"/>
    </row>
    <row r="1614" spans="1:15" x14ac:dyDescent="0.3">
      <c r="A1614" t="s">
        <v>1638</v>
      </c>
      <c r="B1614" s="1">
        <v>45973</v>
      </c>
      <c r="C1614" t="s">
        <v>14</v>
      </c>
      <c r="D1614" t="s">
        <v>22</v>
      </c>
      <c r="E1614" s="2">
        <v>28.7</v>
      </c>
      <c r="F1614" s="3">
        <v>108.36</v>
      </c>
      <c r="G1614" s="4">
        <v>378.32</v>
      </c>
      <c r="H1614">
        <v>1.5</v>
      </c>
      <c r="I1614" s="4">
        <v>567.48</v>
      </c>
      <c r="J1614">
        <v>4.5</v>
      </c>
      <c r="K1614" t="s">
        <v>18</v>
      </c>
      <c r="L1614" t="s">
        <v>26</v>
      </c>
      <c r="O1614"/>
    </row>
    <row r="1615" spans="1:15" x14ac:dyDescent="0.3">
      <c r="A1615" t="s">
        <v>1639</v>
      </c>
      <c r="B1615" s="1">
        <v>45788</v>
      </c>
      <c r="C1615" t="s">
        <v>25</v>
      </c>
      <c r="D1615" t="s">
        <v>21</v>
      </c>
      <c r="E1615" s="2">
        <v>11.97</v>
      </c>
      <c r="F1615" s="3">
        <v>35.270000000000003</v>
      </c>
      <c r="G1615" s="4">
        <v>195.16</v>
      </c>
      <c r="H1615">
        <v>1.2</v>
      </c>
      <c r="I1615" s="4">
        <v>234.19</v>
      </c>
      <c r="J1615">
        <v>3</v>
      </c>
      <c r="K1615" t="s">
        <v>18</v>
      </c>
      <c r="L1615" t="s">
        <v>28</v>
      </c>
      <c r="O1615"/>
    </row>
    <row r="1616" spans="1:15" x14ac:dyDescent="0.3">
      <c r="A1616" t="s">
        <v>1640</v>
      </c>
      <c r="B1616" s="1">
        <v>45780</v>
      </c>
      <c r="C1616" t="s">
        <v>25</v>
      </c>
      <c r="D1616" t="s">
        <v>22</v>
      </c>
      <c r="E1616" s="2">
        <v>23.72</v>
      </c>
      <c r="F1616" s="3">
        <v>60.17</v>
      </c>
      <c r="G1616" s="4">
        <v>402.76</v>
      </c>
      <c r="H1616">
        <v>1</v>
      </c>
      <c r="I1616" s="4">
        <v>402.76</v>
      </c>
      <c r="J1616">
        <v>3.6</v>
      </c>
      <c r="K1616" t="s">
        <v>30</v>
      </c>
      <c r="L1616" t="s">
        <v>28</v>
      </c>
      <c r="O1616"/>
    </row>
    <row r="1617" spans="1:15" x14ac:dyDescent="0.3">
      <c r="A1617" t="s">
        <v>1641</v>
      </c>
      <c r="B1617" s="1">
        <v>45914</v>
      </c>
      <c r="C1617" t="s">
        <v>22</v>
      </c>
      <c r="D1617" t="s">
        <v>22</v>
      </c>
      <c r="E1617" s="2">
        <v>1.88</v>
      </c>
      <c r="F1617" s="3">
        <v>6.44</v>
      </c>
      <c r="G1617" s="4">
        <v>19.670000000000002</v>
      </c>
      <c r="H1617">
        <v>1</v>
      </c>
      <c r="I1617" s="4">
        <v>19.670000000000002</v>
      </c>
      <c r="J1617">
        <v>4.7</v>
      </c>
      <c r="K1617" t="s">
        <v>15</v>
      </c>
      <c r="L1617" t="s">
        <v>19</v>
      </c>
      <c r="O1617"/>
    </row>
    <row r="1618" spans="1:15" x14ac:dyDescent="0.3">
      <c r="A1618" t="s">
        <v>1642</v>
      </c>
      <c r="B1618" s="1">
        <v>45685</v>
      </c>
      <c r="C1618" t="s">
        <v>22</v>
      </c>
      <c r="D1618" t="s">
        <v>25</v>
      </c>
      <c r="E1618" s="2">
        <v>8.16</v>
      </c>
      <c r="F1618" s="3">
        <v>23.67</v>
      </c>
      <c r="G1618" s="4">
        <v>83.41</v>
      </c>
      <c r="H1618">
        <v>1.5</v>
      </c>
      <c r="I1618" s="4">
        <v>125.12</v>
      </c>
      <c r="J1618">
        <v>4.3</v>
      </c>
      <c r="K1618" t="s">
        <v>18</v>
      </c>
      <c r="L1618" t="s">
        <v>26</v>
      </c>
      <c r="O1618"/>
    </row>
    <row r="1619" spans="1:15" x14ac:dyDescent="0.3">
      <c r="A1619" t="s">
        <v>1643</v>
      </c>
      <c r="B1619" s="1">
        <v>45864</v>
      </c>
      <c r="C1619" t="s">
        <v>22</v>
      </c>
      <c r="D1619" t="s">
        <v>22</v>
      </c>
      <c r="E1619" s="2">
        <v>8.83</v>
      </c>
      <c r="F1619" s="3">
        <v>21.31</v>
      </c>
      <c r="G1619" s="4">
        <v>146.05000000000001</v>
      </c>
      <c r="H1619">
        <v>1</v>
      </c>
      <c r="I1619" s="4">
        <v>146.05000000000001</v>
      </c>
      <c r="J1619">
        <v>3.5</v>
      </c>
      <c r="K1619" t="s">
        <v>18</v>
      </c>
      <c r="L1619" t="s">
        <v>26</v>
      </c>
      <c r="O1619"/>
    </row>
    <row r="1620" spans="1:15" x14ac:dyDescent="0.3">
      <c r="A1620" t="s">
        <v>1644</v>
      </c>
      <c r="B1620" s="1">
        <v>45701</v>
      </c>
      <c r="C1620" t="s">
        <v>21</v>
      </c>
      <c r="D1620" t="s">
        <v>22</v>
      </c>
      <c r="E1620" s="2">
        <v>20.98</v>
      </c>
      <c r="F1620" s="3">
        <v>65.67</v>
      </c>
      <c r="G1620" s="4">
        <v>389.95</v>
      </c>
      <c r="H1620">
        <v>1.2</v>
      </c>
      <c r="I1620" s="4">
        <v>467.94</v>
      </c>
      <c r="J1620">
        <v>3.5</v>
      </c>
      <c r="K1620" t="s">
        <v>15</v>
      </c>
      <c r="L1620" t="s">
        <v>28</v>
      </c>
      <c r="O1620"/>
    </row>
    <row r="1621" spans="1:15" x14ac:dyDescent="0.3">
      <c r="A1621" t="s">
        <v>1645</v>
      </c>
      <c r="B1621" s="1">
        <v>45739</v>
      </c>
      <c r="C1621" t="s">
        <v>21</v>
      </c>
      <c r="D1621" t="s">
        <v>14</v>
      </c>
      <c r="E1621" s="2">
        <v>20.53</v>
      </c>
      <c r="F1621" s="3">
        <v>45.78</v>
      </c>
      <c r="G1621" s="4">
        <v>347.95</v>
      </c>
      <c r="H1621">
        <v>1.5</v>
      </c>
      <c r="I1621" s="4">
        <v>521.91999999999996</v>
      </c>
      <c r="J1621">
        <v>4.8</v>
      </c>
      <c r="K1621" t="s">
        <v>33</v>
      </c>
      <c r="L1621" t="s">
        <v>26</v>
      </c>
      <c r="O1621"/>
    </row>
    <row r="1622" spans="1:15" x14ac:dyDescent="0.3">
      <c r="A1622" t="s">
        <v>1646</v>
      </c>
      <c r="B1622" s="1">
        <v>45713</v>
      </c>
      <c r="C1622" t="s">
        <v>14</v>
      </c>
      <c r="D1622" t="s">
        <v>21</v>
      </c>
      <c r="E1622" s="2">
        <v>22.43</v>
      </c>
      <c r="F1622" s="3">
        <v>53.73</v>
      </c>
      <c r="G1622" s="4">
        <v>413.47</v>
      </c>
      <c r="H1622">
        <v>2</v>
      </c>
      <c r="I1622" s="4">
        <v>826.94</v>
      </c>
      <c r="J1622">
        <v>3.7</v>
      </c>
      <c r="K1622" t="s">
        <v>30</v>
      </c>
      <c r="L1622" t="s">
        <v>28</v>
      </c>
      <c r="O1622"/>
    </row>
    <row r="1623" spans="1:15" x14ac:dyDescent="0.3">
      <c r="A1623" t="s">
        <v>1647</v>
      </c>
      <c r="B1623" s="1">
        <v>45872</v>
      </c>
      <c r="C1623" t="s">
        <v>21</v>
      </c>
      <c r="D1623" t="s">
        <v>14</v>
      </c>
      <c r="E1623" s="2">
        <v>20.88</v>
      </c>
      <c r="F1623" s="3">
        <v>73.45</v>
      </c>
      <c r="G1623" s="4">
        <v>320.02</v>
      </c>
      <c r="H1623">
        <v>1.2</v>
      </c>
      <c r="I1623" s="4">
        <v>384.02</v>
      </c>
      <c r="J1623">
        <v>5</v>
      </c>
      <c r="K1623" t="s">
        <v>15</v>
      </c>
      <c r="L1623" t="s">
        <v>28</v>
      </c>
      <c r="O1623"/>
    </row>
    <row r="1624" spans="1:15" x14ac:dyDescent="0.3">
      <c r="A1624" t="s">
        <v>1648</v>
      </c>
      <c r="B1624" s="1">
        <v>45966</v>
      </c>
      <c r="C1624" t="s">
        <v>21</v>
      </c>
      <c r="D1624" t="s">
        <v>22</v>
      </c>
      <c r="E1624" s="2">
        <v>13.67</v>
      </c>
      <c r="F1624" s="3">
        <v>41.56</v>
      </c>
      <c r="G1624" s="4">
        <v>177.02</v>
      </c>
      <c r="H1624">
        <v>1.2</v>
      </c>
      <c r="I1624" s="4">
        <v>212.42</v>
      </c>
      <c r="J1624">
        <v>3.2</v>
      </c>
      <c r="K1624" t="s">
        <v>18</v>
      </c>
      <c r="L1624" t="s">
        <v>19</v>
      </c>
      <c r="O1624"/>
    </row>
    <row r="1625" spans="1:15" x14ac:dyDescent="0.3">
      <c r="A1625" t="s">
        <v>1649</v>
      </c>
      <c r="B1625" s="1">
        <v>45957</v>
      </c>
      <c r="C1625" t="s">
        <v>13</v>
      </c>
      <c r="D1625" t="s">
        <v>25</v>
      </c>
      <c r="E1625" s="2">
        <v>9.18</v>
      </c>
      <c r="F1625" s="3">
        <v>26.5</v>
      </c>
      <c r="G1625" s="4">
        <v>107.51</v>
      </c>
      <c r="H1625">
        <v>2</v>
      </c>
      <c r="I1625" s="4">
        <v>215.02</v>
      </c>
      <c r="J1625">
        <v>4.4000000000000004</v>
      </c>
      <c r="K1625" t="s">
        <v>30</v>
      </c>
      <c r="L1625" t="s">
        <v>16</v>
      </c>
      <c r="O1625"/>
    </row>
    <row r="1626" spans="1:15" x14ac:dyDescent="0.3">
      <c r="A1626" t="s">
        <v>1650</v>
      </c>
      <c r="B1626" s="1">
        <v>45875</v>
      </c>
      <c r="C1626" t="s">
        <v>25</v>
      </c>
      <c r="D1626" t="s">
        <v>25</v>
      </c>
      <c r="E1626" s="2">
        <v>16.149999999999999</v>
      </c>
      <c r="F1626" s="3">
        <v>57.56</v>
      </c>
      <c r="G1626" s="4">
        <v>186.64</v>
      </c>
      <c r="H1626">
        <v>1</v>
      </c>
      <c r="I1626" s="4">
        <v>186.64</v>
      </c>
      <c r="J1626">
        <v>3</v>
      </c>
      <c r="K1626" t="s">
        <v>15</v>
      </c>
      <c r="L1626" t="s">
        <v>28</v>
      </c>
      <c r="O1626"/>
    </row>
    <row r="1627" spans="1:15" x14ac:dyDescent="0.3">
      <c r="A1627" t="s">
        <v>1651</v>
      </c>
      <c r="B1627" s="1">
        <v>45734</v>
      </c>
      <c r="C1627" t="s">
        <v>21</v>
      </c>
      <c r="D1627" t="s">
        <v>25</v>
      </c>
      <c r="E1627" s="2">
        <v>4.2</v>
      </c>
      <c r="F1627" s="3">
        <v>11.92</v>
      </c>
      <c r="G1627" s="4">
        <v>55.29</v>
      </c>
      <c r="H1627">
        <v>1.5</v>
      </c>
      <c r="I1627" s="4">
        <v>82.94</v>
      </c>
      <c r="J1627">
        <v>4.5</v>
      </c>
      <c r="K1627" t="s">
        <v>36</v>
      </c>
      <c r="L1627" t="s">
        <v>26</v>
      </c>
      <c r="O1627"/>
    </row>
    <row r="1628" spans="1:15" x14ac:dyDescent="0.3">
      <c r="A1628" t="s">
        <v>1652</v>
      </c>
      <c r="B1628" s="1">
        <v>45984</v>
      </c>
      <c r="C1628" t="s">
        <v>21</v>
      </c>
      <c r="D1628" t="s">
        <v>25</v>
      </c>
      <c r="E1628" s="2">
        <v>23.16</v>
      </c>
      <c r="F1628" s="3">
        <v>47.16</v>
      </c>
      <c r="G1628" s="4">
        <v>447.97</v>
      </c>
      <c r="H1628">
        <v>2</v>
      </c>
      <c r="I1628" s="4">
        <v>895.94</v>
      </c>
      <c r="J1628">
        <v>4.5999999999999996</v>
      </c>
      <c r="K1628" t="s">
        <v>33</v>
      </c>
      <c r="L1628" t="s">
        <v>16</v>
      </c>
      <c r="O1628"/>
    </row>
    <row r="1629" spans="1:15" x14ac:dyDescent="0.3">
      <c r="A1629" t="s">
        <v>1653</v>
      </c>
      <c r="B1629" s="1">
        <v>45902</v>
      </c>
      <c r="C1629" t="s">
        <v>25</v>
      </c>
      <c r="D1629" t="s">
        <v>22</v>
      </c>
      <c r="E1629" s="2">
        <v>28.22</v>
      </c>
      <c r="F1629" s="3">
        <v>66.930000000000007</v>
      </c>
      <c r="G1629" s="4">
        <v>558.19000000000005</v>
      </c>
      <c r="H1629">
        <v>2</v>
      </c>
      <c r="I1629" s="4">
        <v>1116.3800000000001</v>
      </c>
      <c r="J1629">
        <v>3.9</v>
      </c>
      <c r="K1629" t="s">
        <v>36</v>
      </c>
      <c r="L1629" t="s">
        <v>26</v>
      </c>
      <c r="O1629"/>
    </row>
    <row r="1630" spans="1:15" x14ac:dyDescent="0.3">
      <c r="A1630" t="s">
        <v>1654</v>
      </c>
      <c r="B1630" s="1">
        <v>45818</v>
      </c>
      <c r="C1630" t="s">
        <v>13</v>
      </c>
      <c r="D1630" t="s">
        <v>21</v>
      </c>
      <c r="E1630" s="2">
        <v>5.93</v>
      </c>
      <c r="F1630" s="3">
        <v>15.61</v>
      </c>
      <c r="G1630" s="4">
        <v>84.47</v>
      </c>
      <c r="H1630">
        <v>1.5</v>
      </c>
      <c r="I1630" s="4">
        <v>126.7</v>
      </c>
      <c r="J1630">
        <v>4.2</v>
      </c>
      <c r="K1630" t="s">
        <v>33</v>
      </c>
      <c r="L1630" t="s">
        <v>26</v>
      </c>
      <c r="O1630"/>
    </row>
    <row r="1631" spans="1:15" x14ac:dyDescent="0.3">
      <c r="A1631" t="s">
        <v>1655</v>
      </c>
      <c r="B1631" s="1">
        <v>45903</v>
      </c>
      <c r="C1631" t="s">
        <v>14</v>
      </c>
      <c r="D1631" t="s">
        <v>21</v>
      </c>
      <c r="E1631" s="2">
        <v>5.45</v>
      </c>
      <c r="F1631" s="3">
        <v>18.89</v>
      </c>
      <c r="G1631" s="4">
        <v>54.52</v>
      </c>
      <c r="H1631">
        <v>1</v>
      </c>
      <c r="I1631" s="4">
        <v>54.52</v>
      </c>
      <c r="J1631">
        <v>3.7</v>
      </c>
      <c r="K1631" t="s">
        <v>30</v>
      </c>
      <c r="L1631" t="s">
        <v>19</v>
      </c>
      <c r="O1631"/>
    </row>
    <row r="1632" spans="1:15" x14ac:dyDescent="0.3">
      <c r="A1632" t="s">
        <v>1656</v>
      </c>
      <c r="B1632" s="1">
        <v>45782</v>
      </c>
      <c r="C1632" t="s">
        <v>13</v>
      </c>
      <c r="D1632" t="s">
        <v>21</v>
      </c>
      <c r="E1632" s="2">
        <v>27.76</v>
      </c>
      <c r="F1632" s="3">
        <v>104.6</v>
      </c>
      <c r="G1632" s="4">
        <v>403.1</v>
      </c>
      <c r="H1632">
        <v>1.5</v>
      </c>
      <c r="I1632" s="4">
        <v>604.65</v>
      </c>
      <c r="J1632">
        <v>4.4000000000000004</v>
      </c>
      <c r="K1632" t="s">
        <v>18</v>
      </c>
      <c r="L1632" t="s">
        <v>28</v>
      </c>
      <c r="O1632"/>
    </row>
    <row r="1633" spans="1:15" x14ac:dyDescent="0.3">
      <c r="A1633" t="s">
        <v>1657</v>
      </c>
      <c r="B1633" s="1">
        <v>45726</v>
      </c>
      <c r="C1633" t="s">
        <v>22</v>
      </c>
      <c r="D1633" t="s">
        <v>22</v>
      </c>
      <c r="E1633" s="2">
        <v>5.31</v>
      </c>
      <c r="F1633" s="3">
        <v>15.02</v>
      </c>
      <c r="G1633" s="4">
        <v>78.77</v>
      </c>
      <c r="H1633">
        <v>1.5</v>
      </c>
      <c r="I1633" s="4">
        <v>118.16</v>
      </c>
      <c r="J1633">
        <v>3.9</v>
      </c>
      <c r="K1633" t="s">
        <v>36</v>
      </c>
      <c r="L1633" t="s">
        <v>19</v>
      </c>
      <c r="O1633"/>
    </row>
    <row r="1634" spans="1:15" x14ac:dyDescent="0.3">
      <c r="A1634" t="s">
        <v>1658</v>
      </c>
      <c r="B1634" s="1">
        <v>45982</v>
      </c>
      <c r="C1634" t="s">
        <v>21</v>
      </c>
      <c r="D1634" t="s">
        <v>22</v>
      </c>
      <c r="E1634" s="2">
        <v>5.72</v>
      </c>
      <c r="F1634" s="3">
        <v>17.04</v>
      </c>
      <c r="G1634" s="4">
        <v>102.61</v>
      </c>
      <c r="H1634">
        <v>1</v>
      </c>
      <c r="I1634" s="4">
        <v>102.61</v>
      </c>
      <c r="J1634">
        <v>3.9</v>
      </c>
      <c r="K1634" t="s">
        <v>36</v>
      </c>
      <c r="L1634" t="s">
        <v>28</v>
      </c>
      <c r="O1634"/>
    </row>
    <row r="1635" spans="1:15" x14ac:dyDescent="0.3">
      <c r="A1635" t="s">
        <v>1659</v>
      </c>
      <c r="B1635" s="1">
        <v>45683</v>
      </c>
      <c r="C1635" t="s">
        <v>22</v>
      </c>
      <c r="D1635" t="s">
        <v>14</v>
      </c>
      <c r="E1635" s="2">
        <v>15.14</v>
      </c>
      <c r="F1635" s="3">
        <v>51.4</v>
      </c>
      <c r="G1635" s="4">
        <v>231.63</v>
      </c>
      <c r="H1635">
        <v>1</v>
      </c>
      <c r="I1635" s="4">
        <v>231.63</v>
      </c>
      <c r="J1635">
        <v>4.4000000000000004</v>
      </c>
      <c r="K1635" t="s">
        <v>15</v>
      </c>
      <c r="L1635" t="s">
        <v>26</v>
      </c>
      <c r="O1635"/>
    </row>
    <row r="1636" spans="1:15" x14ac:dyDescent="0.3">
      <c r="A1636" t="s">
        <v>1660</v>
      </c>
      <c r="B1636" s="1">
        <v>45682</v>
      </c>
      <c r="C1636" t="s">
        <v>13</v>
      </c>
      <c r="D1636" t="s">
        <v>14</v>
      </c>
      <c r="E1636" s="2">
        <v>27.38</v>
      </c>
      <c r="F1636" s="3">
        <v>55.75</v>
      </c>
      <c r="G1636" s="4">
        <v>426.32</v>
      </c>
      <c r="H1636">
        <v>1</v>
      </c>
      <c r="I1636" s="4">
        <v>426.32</v>
      </c>
      <c r="J1636">
        <v>4.2</v>
      </c>
      <c r="K1636" t="s">
        <v>18</v>
      </c>
      <c r="L1636" t="s">
        <v>26</v>
      </c>
      <c r="O1636"/>
    </row>
    <row r="1637" spans="1:15" x14ac:dyDescent="0.3">
      <c r="A1637" t="s">
        <v>1661</v>
      </c>
      <c r="B1637" s="1">
        <v>45699</v>
      </c>
      <c r="C1637" t="s">
        <v>25</v>
      </c>
      <c r="D1637" t="s">
        <v>25</v>
      </c>
      <c r="E1637" s="2">
        <v>10.39</v>
      </c>
      <c r="F1637" s="3">
        <v>23.61</v>
      </c>
      <c r="G1637" s="4">
        <v>196.12</v>
      </c>
      <c r="H1637">
        <v>2</v>
      </c>
      <c r="I1637" s="4">
        <v>392.24</v>
      </c>
      <c r="J1637">
        <v>4.5</v>
      </c>
      <c r="K1637" t="s">
        <v>15</v>
      </c>
      <c r="L1637" t="s">
        <v>26</v>
      </c>
      <c r="O1637"/>
    </row>
    <row r="1638" spans="1:15" x14ac:dyDescent="0.3">
      <c r="A1638" t="s">
        <v>1662</v>
      </c>
      <c r="B1638" s="1">
        <v>46010</v>
      </c>
      <c r="C1638" t="s">
        <v>14</v>
      </c>
      <c r="D1638" t="s">
        <v>13</v>
      </c>
      <c r="E1638" s="2">
        <v>17.989999999999998</v>
      </c>
      <c r="F1638" s="3">
        <v>60.24</v>
      </c>
      <c r="G1638" s="4">
        <v>324.58999999999997</v>
      </c>
      <c r="H1638">
        <v>1.5</v>
      </c>
      <c r="I1638" s="4">
        <v>486.88</v>
      </c>
      <c r="J1638">
        <v>4.2</v>
      </c>
      <c r="K1638" t="s">
        <v>36</v>
      </c>
      <c r="L1638" t="s">
        <v>28</v>
      </c>
      <c r="O1638"/>
    </row>
    <row r="1639" spans="1:15" x14ac:dyDescent="0.3">
      <c r="A1639" t="s">
        <v>1663</v>
      </c>
      <c r="B1639" s="1">
        <v>45949</v>
      </c>
      <c r="C1639" t="s">
        <v>22</v>
      </c>
      <c r="D1639" t="s">
        <v>21</v>
      </c>
      <c r="E1639" s="2">
        <v>15.9</v>
      </c>
      <c r="F1639" s="3">
        <v>57.34</v>
      </c>
      <c r="G1639" s="4">
        <v>218.41</v>
      </c>
      <c r="H1639">
        <v>2</v>
      </c>
      <c r="I1639" s="4">
        <v>436.82</v>
      </c>
      <c r="J1639">
        <v>3.2</v>
      </c>
      <c r="K1639" t="s">
        <v>18</v>
      </c>
      <c r="L1639" t="s">
        <v>26</v>
      </c>
      <c r="O1639"/>
    </row>
    <row r="1640" spans="1:15" x14ac:dyDescent="0.3">
      <c r="A1640" t="s">
        <v>1664</v>
      </c>
      <c r="B1640" s="1">
        <v>45897</v>
      </c>
      <c r="C1640" t="s">
        <v>22</v>
      </c>
      <c r="D1640" t="s">
        <v>13</v>
      </c>
      <c r="E1640" s="2">
        <v>27.52</v>
      </c>
      <c r="F1640" s="3">
        <v>60.05</v>
      </c>
      <c r="G1640" s="4">
        <v>453.59</v>
      </c>
      <c r="H1640">
        <v>1</v>
      </c>
      <c r="I1640" s="4">
        <v>453.59</v>
      </c>
      <c r="J1640">
        <v>3.3</v>
      </c>
      <c r="K1640" t="s">
        <v>15</v>
      </c>
      <c r="L1640" t="s">
        <v>16</v>
      </c>
      <c r="O1640"/>
    </row>
    <row r="1641" spans="1:15" x14ac:dyDescent="0.3">
      <c r="A1641" t="s">
        <v>1665</v>
      </c>
      <c r="B1641" s="1">
        <v>45955</v>
      </c>
      <c r="C1641" t="s">
        <v>13</v>
      </c>
      <c r="D1641" t="s">
        <v>25</v>
      </c>
      <c r="E1641" s="2">
        <v>20.71</v>
      </c>
      <c r="F1641" s="3">
        <v>44.2</v>
      </c>
      <c r="G1641" s="4">
        <v>330.06</v>
      </c>
      <c r="H1641">
        <v>1.5</v>
      </c>
      <c r="I1641" s="4">
        <v>495.09</v>
      </c>
      <c r="J1641">
        <v>3.5</v>
      </c>
      <c r="K1641" t="s">
        <v>36</v>
      </c>
      <c r="L1641" t="s">
        <v>28</v>
      </c>
      <c r="O1641"/>
    </row>
    <row r="1642" spans="1:15" x14ac:dyDescent="0.3">
      <c r="A1642" t="s">
        <v>1666</v>
      </c>
      <c r="B1642" s="1">
        <v>45762</v>
      </c>
      <c r="C1642" t="s">
        <v>22</v>
      </c>
      <c r="D1642" t="s">
        <v>22</v>
      </c>
      <c r="E1642" s="2">
        <v>5.95</v>
      </c>
      <c r="F1642" s="3">
        <v>22.58</v>
      </c>
      <c r="G1642" s="4">
        <v>98.54</v>
      </c>
      <c r="H1642">
        <v>2</v>
      </c>
      <c r="I1642" s="4">
        <v>197.08</v>
      </c>
      <c r="J1642">
        <v>4.5999999999999996</v>
      </c>
      <c r="K1642" t="s">
        <v>15</v>
      </c>
      <c r="L1642" t="s">
        <v>26</v>
      </c>
      <c r="O1642"/>
    </row>
    <row r="1643" spans="1:15" x14ac:dyDescent="0.3">
      <c r="A1643" t="s">
        <v>1667</v>
      </c>
      <c r="B1643" s="1">
        <v>45700</v>
      </c>
      <c r="C1643" t="s">
        <v>21</v>
      </c>
      <c r="D1643" t="s">
        <v>14</v>
      </c>
      <c r="E1643" s="2">
        <v>16.72</v>
      </c>
      <c r="F1643" s="3">
        <v>64.17</v>
      </c>
      <c r="G1643" s="4">
        <v>317.66000000000003</v>
      </c>
      <c r="H1643">
        <v>1.5</v>
      </c>
      <c r="I1643" s="4">
        <v>476.49</v>
      </c>
      <c r="J1643">
        <v>3.4</v>
      </c>
      <c r="K1643" t="s">
        <v>36</v>
      </c>
      <c r="L1643" t="s">
        <v>19</v>
      </c>
      <c r="O1643"/>
    </row>
    <row r="1644" spans="1:15" x14ac:dyDescent="0.3">
      <c r="A1644" t="s">
        <v>1668</v>
      </c>
      <c r="B1644" s="1">
        <v>45877</v>
      </c>
      <c r="C1644" t="s">
        <v>21</v>
      </c>
      <c r="D1644" t="s">
        <v>14</v>
      </c>
      <c r="E1644" s="2">
        <v>12.4</v>
      </c>
      <c r="F1644" s="3">
        <v>34.42</v>
      </c>
      <c r="G1644" s="4">
        <v>159.57</v>
      </c>
      <c r="H1644">
        <v>1.2</v>
      </c>
      <c r="I1644" s="4">
        <v>191.48</v>
      </c>
      <c r="J1644">
        <v>3.6</v>
      </c>
      <c r="K1644" t="s">
        <v>15</v>
      </c>
      <c r="L1644" t="s">
        <v>16</v>
      </c>
      <c r="O1644"/>
    </row>
    <row r="1645" spans="1:15" x14ac:dyDescent="0.3">
      <c r="A1645" t="s">
        <v>1669</v>
      </c>
      <c r="B1645" s="1">
        <v>45899</v>
      </c>
      <c r="C1645" t="s">
        <v>14</v>
      </c>
      <c r="D1645" t="s">
        <v>13</v>
      </c>
      <c r="E1645" s="2">
        <v>3.03</v>
      </c>
      <c r="F1645" s="3">
        <v>10.17</v>
      </c>
      <c r="G1645" s="4">
        <v>35.54</v>
      </c>
      <c r="H1645">
        <v>1</v>
      </c>
      <c r="I1645" s="4">
        <v>35.54</v>
      </c>
      <c r="J1645">
        <v>3.6</v>
      </c>
      <c r="K1645" t="s">
        <v>30</v>
      </c>
      <c r="L1645" t="s">
        <v>16</v>
      </c>
      <c r="O1645"/>
    </row>
    <row r="1646" spans="1:15" x14ac:dyDescent="0.3">
      <c r="A1646" t="s">
        <v>1670</v>
      </c>
      <c r="B1646" s="1">
        <v>45813</v>
      </c>
      <c r="C1646" t="s">
        <v>21</v>
      </c>
      <c r="D1646" t="s">
        <v>22</v>
      </c>
      <c r="E1646" s="2">
        <v>8.83</v>
      </c>
      <c r="F1646" s="3">
        <v>31.23</v>
      </c>
      <c r="G1646" s="4">
        <v>166.45</v>
      </c>
      <c r="H1646">
        <v>2</v>
      </c>
      <c r="I1646" s="4">
        <v>332.9</v>
      </c>
      <c r="J1646">
        <v>3</v>
      </c>
      <c r="K1646" t="s">
        <v>36</v>
      </c>
      <c r="L1646" t="s">
        <v>16</v>
      </c>
      <c r="O1646"/>
    </row>
    <row r="1647" spans="1:15" x14ac:dyDescent="0.3">
      <c r="A1647" t="s">
        <v>1671</v>
      </c>
      <c r="B1647" s="1">
        <v>45720</v>
      </c>
      <c r="C1647" t="s">
        <v>13</v>
      </c>
      <c r="D1647" t="s">
        <v>13</v>
      </c>
      <c r="E1647" s="2">
        <v>5</v>
      </c>
      <c r="F1647" s="3">
        <v>17.760000000000002</v>
      </c>
      <c r="G1647" s="4">
        <v>89.88</v>
      </c>
      <c r="H1647">
        <v>1.5</v>
      </c>
      <c r="I1647" s="4">
        <v>134.82</v>
      </c>
      <c r="J1647">
        <v>4.3</v>
      </c>
      <c r="K1647" t="s">
        <v>18</v>
      </c>
      <c r="L1647" t="s">
        <v>26</v>
      </c>
      <c r="O1647"/>
    </row>
    <row r="1648" spans="1:15" x14ac:dyDescent="0.3">
      <c r="A1648" t="s">
        <v>1672</v>
      </c>
      <c r="B1648" s="1">
        <v>45868</v>
      </c>
      <c r="C1648" t="s">
        <v>21</v>
      </c>
      <c r="D1648" t="s">
        <v>22</v>
      </c>
      <c r="E1648" s="2">
        <v>5.21</v>
      </c>
      <c r="F1648" s="3">
        <v>18.100000000000001</v>
      </c>
      <c r="G1648" s="4">
        <v>83.43</v>
      </c>
      <c r="H1648">
        <v>1</v>
      </c>
      <c r="I1648" s="4">
        <v>83.43</v>
      </c>
      <c r="J1648">
        <v>4.5</v>
      </c>
      <c r="K1648" t="s">
        <v>15</v>
      </c>
      <c r="L1648" t="s">
        <v>26</v>
      </c>
      <c r="O1648"/>
    </row>
    <row r="1649" spans="1:15" x14ac:dyDescent="0.3">
      <c r="A1649" t="s">
        <v>1673</v>
      </c>
      <c r="B1649" s="1">
        <v>45908</v>
      </c>
      <c r="C1649" t="s">
        <v>21</v>
      </c>
      <c r="D1649" t="s">
        <v>22</v>
      </c>
      <c r="E1649" s="2">
        <v>27.9</v>
      </c>
      <c r="F1649" s="3">
        <v>59.5</v>
      </c>
      <c r="G1649" s="4">
        <v>381.34</v>
      </c>
      <c r="H1649">
        <v>1</v>
      </c>
      <c r="I1649" s="4">
        <v>381.34</v>
      </c>
      <c r="J1649">
        <v>4.3</v>
      </c>
      <c r="K1649" t="s">
        <v>36</v>
      </c>
      <c r="L1649" t="s">
        <v>28</v>
      </c>
      <c r="O1649"/>
    </row>
    <row r="1650" spans="1:15" x14ac:dyDescent="0.3">
      <c r="A1650" t="s">
        <v>1674</v>
      </c>
      <c r="B1650" s="1">
        <v>45939</v>
      </c>
      <c r="C1650" t="s">
        <v>13</v>
      </c>
      <c r="D1650" t="s">
        <v>25</v>
      </c>
      <c r="E1650" s="2">
        <v>15.42</v>
      </c>
      <c r="F1650" s="3">
        <v>54.06</v>
      </c>
      <c r="G1650" s="4">
        <v>281.14999999999998</v>
      </c>
      <c r="H1650">
        <v>2</v>
      </c>
      <c r="I1650" s="4">
        <v>562.29999999999995</v>
      </c>
      <c r="J1650">
        <v>3.9</v>
      </c>
      <c r="K1650" t="s">
        <v>15</v>
      </c>
      <c r="L1650" t="s">
        <v>28</v>
      </c>
      <c r="O1650"/>
    </row>
    <row r="1651" spans="1:15" x14ac:dyDescent="0.3">
      <c r="A1651" t="s">
        <v>1675</v>
      </c>
      <c r="B1651" s="1">
        <v>45977</v>
      </c>
      <c r="C1651" t="s">
        <v>22</v>
      </c>
      <c r="D1651" t="s">
        <v>14</v>
      </c>
      <c r="E1651" s="2">
        <v>19.29</v>
      </c>
      <c r="F1651" s="3">
        <v>41.65</v>
      </c>
      <c r="G1651" s="4">
        <v>287.04000000000002</v>
      </c>
      <c r="H1651">
        <v>1.2</v>
      </c>
      <c r="I1651" s="4">
        <v>344.45</v>
      </c>
      <c r="J1651">
        <v>4.8</v>
      </c>
      <c r="K1651" t="s">
        <v>18</v>
      </c>
      <c r="L1651" t="s">
        <v>19</v>
      </c>
      <c r="O1651"/>
    </row>
    <row r="1652" spans="1:15" x14ac:dyDescent="0.3">
      <c r="A1652" t="s">
        <v>1676</v>
      </c>
      <c r="B1652" s="1">
        <v>45704</v>
      </c>
      <c r="C1652" t="s">
        <v>14</v>
      </c>
      <c r="D1652" t="s">
        <v>25</v>
      </c>
      <c r="E1652" s="2">
        <v>10.55</v>
      </c>
      <c r="F1652" s="3">
        <v>30.04</v>
      </c>
      <c r="G1652" s="4">
        <v>165.81</v>
      </c>
      <c r="H1652">
        <v>1.5</v>
      </c>
      <c r="I1652" s="4">
        <v>248.72</v>
      </c>
      <c r="J1652">
        <v>3.5</v>
      </c>
      <c r="K1652" t="s">
        <v>33</v>
      </c>
      <c r="L1652" t="s">
        <v>19</v>
      </c>
      <c r="O1652"/>
    </row>
    <row r="1653" spans="1:15" x14ac:dyDescent="0.3">
      <c r="A1653" t="s">
        <v>1677</v>
      </c>
      <c r="B1653" s="1">
        <v>45729</v>
      </c>
      <c r="C1653" t="s">
        <v>14</v>
      </c>
      <c r="D1653" t="s">
        <v>21</v>
      </c>
      <c r="E1653" s="2">
        <v>29.45</v>
      </c>
      <c r="F1653" s="3">
        <v>103.61</v>
      </c>
      <c r="G1653" s="4">
        <v>445.13</v>
      </c>
      <c r="H1653">
        <v>1.2</v>
      </c>
      <c r="I1653" s="4">
        <v>534.16</v>
      </c>
      <c r="J1653">
        <v>3.3</v>
      </c>
      <c r="K1653" t="s">
        <v>30</v>
      </c>
      <c r="L1653" t="s">
        <v>26</v>
      </c>
      <c r="O1653"/>
    </row>
    <row r="1654" spans="1:15" x14ac:dyDescent="0.3">
      <c r="A1654" t="s">
        <v>1678</v>
      </c>
      <c r="B1654" s="1">
        <v>45717</v>
      </c>
      <c r="C1654" t="s">
        <v>13</v>
      </c>
      <c r="D1654" t="s">
        <v>13</v>
      </c>
      <c r="E1654" s="2">
        <v>6.22</v>
      </c>
      <c r="F1654" s="3">
        <v>18.690000000000001</v>
      </c>
      <c r="G1654" s="4">
        <v>114.97</v>
      </c>
      <c r="H1654">
        <v>2</v>
      </c>
      <c r="I1654" s="4">
        <v>229.94</v>
      </c>
      <c r="J1654">
        <v>4.7</v>
      </c>
      <c r="K1654" t="s">
        <v>36</v>
      </c>
      <c r="L1654" t="s">
        <v>28</v>
      </c>
      <c r="O1654"/>
    </row>
    <row r="1655" spans="1:15" x14ac:dyDescent="0.3">
      <c r="A1655" t="s">
        <v>1679</v>
      </c>
      <c r="B1655" s="1">
        <v>45753</v>
      </c>
      <c r="C1655" t="s">
        <v>21</v>
      </c>
      <c r="D1655" t="s">
        <v>14</v>
      </c>
      <c r="E1655" s="2">
        <v>9.0299999999999994</v>
      </c>
      <c r="F1655" s="3">
        <v>33.630000000000003</v>
      </c>
      <c r="G1655" s="4">
        <v>115.9</v>
      </c>
      <c r="H1655">
        <v>1.5</v>
      </c>
      <c r="I1655" s="4">
        <v>173.85</v>
      </c>
      <c r="J1655">
        <v>3.9</v>
      </c>
      <c r="K1655" t="s">
        <v>36</v>
      </c>
      <c r="L1655" t="s">
        <v>16</v>
      </c>
      <c r="O1655"/>
    </row>
    <row r="1656" spans="1:15" x14ac:dyDescent="0.3">
      <c r="A1656" t="s">
        <v>1680</v>
      </c>
      <c r="B1656" s="1">
        <v>45891</v>
      </c>
      <c r="C1656" t="s">
        <v>21</v>
      </c>
      <c r="D1656" t="s">
        <v>25</v>
      </c>
      <c r="E1656" s="2">
        <v>7.42</v>
      </c>
      <c r="F1656" s="3">
        <v>15.36</v>
      </c>
      <c r="G1656" s="4">
        <v>104.57</v>
      </c>
      <c r="H1656">
        <v>1.2</v>
      </c>
      <c r="I1656" s="4">
        <v>125.48</v>
      </c>
      <c r="J1656">
        <v>4.5999999999999996</v>
      </c>
      <c r="K1656" t="s">
        <v>30</v>
      </c>
      <c r="L1656" t="s">
        <v>26</v>
      </c>
      <c r="O1656"/>
    </row>
    <row r="1657" spans="1:15" x14ac:dyDescent="0.3">
      <c r="A1657" t="s">
        <v>1681</v>
      </c>
      <c r="B1657" s="1">
        <v>45785</v>
      </c>
      <c r="C1657" t="s">
        <v>21</v>
      </c>
      <c r="D1657" t="s">
        <v>21</v>
      </c>
      <c r="E1657" s="2">
        <v>24.21</v>
      </c>
      <c r="F1657" s="3">
        <v>70.55</v>
      </c>
      <c r="G1657" s="4">
        <v>388.94</v>
      </c>
      <c r="H1657">
        <v>1.5</v>
      </c>
      <c r="I1657" s="4">
        <v>583.41</v>
      </c>
      <c r="J1657">
        <v>3.7</v>
      </c>
      <c r="K1657" t="s">
        <v>30</v>
      </c>
      <c r="L1657" t="s">
        <v>19</v>
      </c>
      <c r="O1657"/>
    </row>
    <row r="1658" spans="1:15" x14ac:dyDescent="0.3">
      <c r="A1658" t="s">
        <v>1682</v>
      </c>
      <c r="B1658" s="1">
        <v>45937</v>
      </c>
      <c r="C1658" t="s">
        <v>13</v>
      </c>
      <c r="D1658" t="s">
        <v>25</v>
      </c>
      <c r="E1658" s="2">
        <v>13.33</v>
      </c>
      <c r="F1658" s="3">
        <v>34</v>
      </c>
      <c r="G1658" s="4">
        <v>168.63</v>
      </c>
      <c r="H1658">
        <v>1</v>
      </c>
      <c r="I1658" s="4">
        <v>168.63</v>
      </c>
      <c r="J1658">
        <v>4</v>
      </c>
      <c r="K1658" t="s">
        <v>18</v>
      </c>
      <c r="L1658" t="s">
        <v>26</v>
      </c>
      <c r="O1658"/>
    </row>
    <row r="1659" spans="1:15" x14ac:dyDescent="0.3">
      <c r="A1659" t="s">
        <v>1683</v>
      </c>
      <c r="B1659" s="1">
        <v>45777</v>
      </c>
      <c r="C1659" t="s">
        <v>13</v>
      </c>
      <c r="D1659" t="s">
        <v>22</v>
      </c>
      <c r="E1659" s="2">
        <v>13.76</v>
      </c>
      <c r="F1659" s="3">
        <v>30.03</v>
      </c>
      <c r="G1659" s="4">
        <v>236.48</v>
      </c>
      <c r="H1659">
        <v>2</v>
      </c>
      <c r="I1659" s="4">
        <v>472.96</v>
      </c>
      <c r="J1659">
        <v>4.3</v>
      </c>
      <c r="K1659" t="s">
        <v>33</v>
      </c>
      <c r="L1659" t="s">
        <v>26</v>
      </c>
      <c r="O1659"/>
    </row>
    <row r="1660" spans="1:15" x14ac:dyDescent="0.3">
      <c r="A1660" t="s">
        <v>1684</v>
      </c>
      <c r="B1660" s="1">
        <v>45701</v>
      </c>
      <c r="C1660" t="s">
        <v>22</v>
      </c>
      <c r="D1660" t="s">
        <v>22</v>
      </c>
      <c r="E1660" s="2">
        <v>12.97</v>
      </c>
      <c r="F1660" s="3">
        <v>31.85</v>
      </c>
      <c r="G1660" s="4">
        <v>205.43</v>
      </c>
      <c r="H1660">
        <v>1.2</v>
      </c>
      <c r="I1660" s="4">
        <v>246.52</v>
      </c>
      <c r="J1660">
        <v>3.9</v>
      </c>
      <c r="K1660" t="s">
        <v>36</v>
      </c>
      <c r="L1660" t="s">
        <v>19</v>
      </c>
      <c r="O1660"/>
    </row>
    <row r="1661" spans="1:15" x14ac:dyDescent="0.3">
      <c r="A1661" t="s">
        <v>1685</v>
      </c>
      <c r="B1661" s="1">
        <v>45789</v>
      </c>
      <c r="C1661" t="s">
        <v>21</v>
      </c>
      <c r="D1661" t="s">
        <v>14</v>
      </c>
      <c r="E1661" s="2">
        <v>16.579999999999998</v>
      </c>
      <c r="F1661" s="3">
        <v>39.909999999999997</v>
      </c>
      <c r="G1661" s="4">
        <v>191.62</v>
      </c>
      <c r="H1661">
        <v>1</v>
      </c>
      <c r="I1661" s="4">
        <v>191.62</v>
      </c>
      <c r="J1661">
        <v>4</v>
      </c>
      <c r="K1661" t="s">
        <v>18</v>
      </c>
      <c r="L1661" t="s">
        <v>19</v>
      </c>
      <c r="O1661"/>
    </row>
    <row r="1662" spans="1:15" x14ac:dyDescent="0.3">
      <c r="A1662" t="s">
        <v>1686</v>
      </c>
      <c r="B1662" s="1">
        <v>45932</v>
      </c>
      <c r="C1662" t="s">
        <v>22</v>
      </c>
      <c r="D1662" t="s">
        <v>22</v>
      </c>
      <c r="E1662" s="2">
        <v>2.0299999999999998</v>
      </c>
      <c r="F1662" s="3">
        <v>6.08</v>
      </c>
      <c r="G1662" s="4">
        <v>31.55</v>
      </c>
      <c r="H1662">
        <v>1.2</v>
      </c>
      <c r="I1662" s="4">
        <v>37.86</v>
      </c>
      <c r="J1662">
        <v>3</v>
      </c>
      <c r="K1662" t="s">
        <v>18</v>
      </c>
      <c r="L1662" t="s">
        <v>26</v>
      </c>
      <c r="O1662"/>
    </row>
    <row r="1663" spans="1:15" x14ac:dyDescent="0.3">
      <c r="A1663" t="s">
        <v>1687</v>
      </c>
      <c r="B1663" s="1">
        <v>45686</v>
      </c>
      <c r="C1663" t="s">
        <v>14</v>
      </c>
      <c r="D1663" t="s">
        <v>21</v>
      </c>
      <c r="E1663" s="2">
        <v>6.15</v>
      </c>
      <c r="F1663" s="3">
        <v>15.4</v>
      </c>
      <c r="G1663" s="4">
        <v>111.36</v>
      </c>
      <c r="H1663">
        <v>2</v>
      </c>
      <c r="I1663" s="4">
        <v>222.72</v>
      </c>
      <c r="J1663">
        <v>3.4</v>
      </c>
      <c r="K1663" t="s">
        <v>18</v>
      </c>
      <c r="L1663" t="s">
        <v>19</v>
      </c>
      <c r="O1663"/>
    </row>
    <row r="1664" spans="1:15" x14ac:dyDescent="0.3">
      <c r="A1664" t="s">
        <v>1688</v>
      </c>
      <c r="B1664" s="1">
        <v>45832</v>
      </c>
      <c r="C1664" t="s">
        <v>13</v>
      </c>
      <c r="D1664" t="s">
        <v>25</v>
      </c>
      <c r="E1664" s="2">
        <v>15.43</v>
      </c>
      <c r="F1664" s="3">
        <v>37.47</v>
      </c>
      <c r="G1664" s="4">
        <v>163.57</v>
      </c>
      <c r="H1664">
        <v>2</v>
      </c>
      <c r="I1664" s="4">
        <v>327.14</v>
      </c>
      <c r="J1664">
        <v>4</v>
      </c>
      <c r="K1664" t="s">
        <v>15</v>
      </c>
      <c r="L1664" t="s">
        <v>26</v>
      </c>
      <c r="O1664"/>
    </row>
    <row r="1665" spans="1:15" x14ac:dyDescent="0.3">
      <c r="A1665" t="s">
        <v>1689</v>
      </c>
      <c r="B1665" s="1">
        <v>45676</v>
      </c>
      <c r="C1665" t="s">
        <v>25</v>
      </c>
      <c r="D1665" t="s">
        <v>22</v>
      </c>
      <c r="E1665" s="2">
        <v>21.59</v>
      </c>
      <c r="F1665" s="3">
        <v>66.23</v>
      </c>
      <c r="G1665" s="4">
        <v>246.95</v>
      </c>
      <c r="H1665">
        <v>2</v>
      </c>
      <c r="I1665" s="4">
        <v>493.9</v>
      </c>
      <c r="J1665">
        <v>5</v>
      </c>
      <c r="K1665" t="s">
        <v>36</v>
      </c>
      <c r="L1665" t="s">
        <v>26</v>
      </c>
      <c r="O1665"/>
    </row>
    <row r="1666" spans="1:15" x14ac:dyDescent="0.3">
      <c r="A1666" t="s">
        <v>1690</v>
      </c>
      <c r="B1666" s="1">
        <v>45700</v>
      </c>
      <c r="C1666" t="s">
        <v>25</v>
      </c>
      <c r="D1666" t="s">
        <v>25</v>
      </c>
      <c r="E1666" s="2">
        <v>6.11</v>
      </c>
      <c r="F1666" s="3">
        <v>19.63</v>
      </c>
      <c r="G1666" s="4">
        <v>81.69</v>
      </c>
      <c r="H1666">
        <v>2</v>
      </c>
      <c r="I1666" s="4">
        <v>163.38</v>
      </c>
      <c r="J1666">
        <v>3.8</v>
      </c>
      <c r="K1666" t="s">
        <v>33</v>
      </c>
      <c r="L1666" t="s">
        <v>19</v>
      </c>
      <c r="O1666"/>
    </row>
    <row r="1667" spans="1:15" x14ac:dyDescent="0.3">
      <c r="A1667" t="s">
        <v>1691</v>
      </c>
      <c r="B1667" s="1">
        <v>45679</v>
      </c>
      <c r="C1667" t="s">
        <v>22</v>
      </c>
      <c r="D1667" t="s">
        <v>25</v>
      </c>
      <c r="E1667" s="2">
        <v>3.52</v>
      </c>
      <c r="F1667" s="3">
        <v>8.61</v>
      </c>
      <c r="G1667" s="4">
        <v>41.82</v>
      </c>
      <c r="H1667">
        <v>2</v>
      </c>
      <c r="I1667" s="4">
        <v>83.64</v>
      </c>
      <c r="J1667">
        <v>3</v>
      </c>
      <c r="K1667" t="s">
        <v>33</v>
      </c>
      <c r="L1667" t="s">
        <v>28</v>
      </c>
      <c r="O1667"/>
    </row>
    <row r="1668" spans="1:15" x14ac:dyDescent="0.3">
      <c r="A1668" t="s">
        <v>1692</v>
      </c>
      <c r="B1668" s="1">
        <v>46010</v>
      </c>
      <c r="C1668" t="s">
        <v>25</v>
      </c>
      <c r="D1668" t="s">
        <v>13</v>
      </c>
      <c r="E1668" s="2">
        <v>8.65</v>
      </c>
      <c r="F1668" s="3">
        <v>17.510000000000002</v>
      </c>
      <c r="G1668" s="4">
        <v>131.38999999999999</v>
      </c>
      <c r="H1668">
        <v>1</v>
      </c>
      <c r="I1668" s="4">
        <v>131.38999999999999</v>
      </c>
      <c r="J1668">
        <v>3.8</v>
      </c>
      <c r="K1668" t="s">
        <v>36</v>
      </c>
      <c r="L1668" t="s">
        <v>19</v>
      </c>
      <c r="O1668"/>
    </row>
    <row r="1669" spans="1:15" x14ac:dyDescent="0.3">
      <c r="A1669" t="s">
        <v>1693</v>
      </c>
      <c r="B1669" s="1">
        <v>45893</v>
      </c>
      <c r="C1669" t="s">
        <v>21</v>
      </c>
      <c r="D1669" t="s">
        <v>25</v>
      </c>
      <c r="E1669" s="2">
        <v>27.49</v>
      </c>
      <c r="F1669" s="3">
        <v>77.83</v>
      </c>
      <c r="G1669" s="4">
        <v>401.22</v>
      </c>
      <c r="H1669">
        <v>1</v>
      </c>
      <c r="I1669" s="4">
        <v>401.22</v>
      </c>
      <c r="J1669">
        <v>4.7</v>
      </c>
      <c r="K1669" t="s">
        <v>36</v>
      </c>
      <c r="L1669" t="s">
        <v>19</v>
      </c>
      <c r="O1669"/>
    </row>
    <row r="1670" spans="1:15" x14ac:dyDescent="0.3">
      <c r="A1670" t="s">
        <v>1694</v>
      </c>
      <c r="B1670" s="1">
        <v>45759</v>
      </c>
      <c r="C1670" t="s">
        <v>13</v>
      </c>
      <c r="D1670" t="s">
        <v>13</v>
      </c>
      <c r="E1670" s="2">
        <v>7.88</v>
      </c>
      <c r="F1670" s="3">
        <v>19.899999999999999</v>
      </c>
      <c r="G1670" s="4">
        <v>118.55</v>
      </c>
      <c r="H1670">
        <v>1.5</v>
      </c>
      <c r="I1670" s="4">
        <v>177.82</v>
      </c>
      <c r="J1670">
        <v>4.7</v>
      </c>
      <c r="K1670" t="s">
        <v>15</v>
      </c>
      <c r="L1670" t="s">
        <v>19</v>
      </c>
      <c r="O1670"/>
    </row>
    <row r="1671" spans="1:15" x14ac:dyDescent="0.3">
      <c r="A1671" t="s">
        <v>1695</v>
      </c>
      <c r="B1671" s="1">
        <v>45743</v>
      </c>
      <c r="C1671" t="s">
        <v>25</v>
      </c>
      <c r="D1671" t="s">
        <v>22</v>
      </c>
      <c r="E1671" s="2">
        <v>2.97</v>
      </c>
      <c r="F1671" s="3">
        <v>10.24</v>
      </c>
      <c r="G1671" s="4">
        <v>53.64</v>
      </c>
      <c r="H1671">
        <v>2</v>
      </c>
      <c r="I1671" s="4">
        <v>107.28</v>
      </c>
      <c r="J1671">
        <v>4.4000000000000004</v>
      </c>
      <c r="K1671" t="s">
        <v>18</v>
      </c>
      <c r="L1671" t="s">
        <v>28</v>
      </c>
      <c r="O1671"/>
    </row>
    <row r="1672" spans="1:15" x14ac:dyDescent="0.3">
      <c r="A1672" t="s">
        <v>1696</v>
      </c>
      <c r="B1672" s="1">
        <v>45705</v>
      </c>
      <c r="C1672" t="s">
        <v>14</v>
      </c>
      <c r="D1672" t="s">
        <v>21</v>
      </c>
      <c r="E1672" s="2">
        <v>13.37</v>
      </c>
      <c r="F1672" s="3">
        <v>50.52</v>
      </c>
      <c r="G1672" s="4">
        <v>246.71</v>
      </c>
      <c r="H1672">
        <v>1</v>
      </c>
      <c r="I1672" s="4">
        <v>246.71</v>
      </c>
      <c r="J1672">
        <v>3.1</v>
      </c>
      <c r="K1672" t="s">
        <v>15</v>
      </c>
      <c r="L1672" t="s">
        <v>16</v>
      </c>
      <c r="O1672"/>
    </row>
    <row r="1673" spans="1:15" x14ac:dyDescent="0.3">
      <c r="A1673" t="s">
        <v>1697</v>
      </c>
      <c r="B1673" s="1">
        <v>45822</v>
      </c>
      <c r="C1673" t="s">
        <v>22</v>
      </c>
      <c r="D1673" t="s">
        <v>13</v>
      </c>
      <c r="E1673" s="2">
        <v>27.12</v>
      </c>
      <c r="F1673" s="3">
        <v>98.92</v>
      </c>
      <c r="G1673" s="4">
        <v>456.36</v>
      </c>
      <c r="H1673">
        <v>1.2</v>
      </c>
      <c r="I1673" s="4">
        <v>547.63</v>
      </c>
      <c r="J1673">
        <v>3.4</v>
      </c>
      <c r="K1673" t="s">
        <v>33</v>
      </c>
      <c r="L1673" t="s">
        <v>26</v>
      </c>
      <c r="O1673"/>
    </row>
    <row r="1674" spans="1:15" x14ac:dyDescent="0.3">
      <c r="A1674" t="s">
        <v>1698</v>
      </c>
      <c r="B1674" s="1">
        <v>45882</v>
      </c>
      <c r="C1674" t="s">
        <v>14</v>
      </c>
      <c r="D1674" t="s">
        <v>25</v>
      </c>
      <c r="E1674" s="2">
        <v>28.34</v>
      </c>
      <c r="F1674" s="3">
        <v>103.85</v>
      </c>
      <c r="G1674" s="4">
        <v>460.07</v>
      </c>
      <c r="H1674">
        <v>1</v>
      </c>
      <c r="I1674" s="4">
        <v>460.07</v>
      </c>
      <c r="J1674">
        <v>3.4</v>
      </c>
      <c r="K1674" t="s">
        <v>18</v>
      </c>
      <c r="L1674" t="s">
        <v>19</v>
      </c>
      <c r="O1674"/>
    </row>
    <row r="1675" spans="1:15" x14ac:dyDescent="0.3">
      <c r="A1675" t="s">
        <v>1699</v>
      </c>
      <c r="B1675" s="1">
        <v>45809</v>
      </c>
      <c r="C1675" t="s">
        <v>13</v>
      </c>
      <c r="D1675" t="s">
        <v>25</v>
      </c>
      <c r="E1675" s="2">
        <v>20.059999999999999</v>
      </c>
      <c r="F1675" s="3">
        <v>57.16</v>
      </c>
      <c r="G1675" s="4">
        <v>231.28</v>
      </c>
      <c r="H1675">
        <v>1.2</v>
      </c>
      <c r="I1675" s="4">
        <v>277.54000000000002</v>
      </c>
      <c r="J1675">
        <v>3.5</v>
      </c>
      <c r="K1675" t="s">
        <v>18</v>
      </c>
      <c r="L1675" t="s">
        <v>28</v>
      </c>
      <c r="O1675"/>
    </row>
    <row r="1676" spans="1:15" x14ac:dyDescent="0.3">
      <c r="A1676" t="s">
        <v>1700</v>
      </c>
      <c r="B1676" s="1">
        <v>45933</v>
      </c>
      <c r="C1676" t="s">
        <v>13</v>
      </c>
      <c r="D1676" t="s">
        <v>21</v>
      </c>
      <c r="E1676" s="2">
        <v>12.19</v>
      </c>
      <c r="F1676" s="3">
        <v>48.32</v>
      </c>
      <c r="G1676" s="4">
        <v>169.57</v>
      </c>
      <c r="H1676">
        <v>1</v>
      </c>
      <c r="I1676" s="4">
        <v>169.57</v>
      </c>
      <c r="J1676">
        <v>3.2</v>
      </c>
      <c r="K1676" t="s">
        <v>30</v>
      </c>
      <c r="L1676" t="s">
        <v>28</v>
      </c>
      <c r="O1676"/>
    </row>
    <row r="1677" spans="1:15" x14ac:dyDescent="0.3">
      <c r="A1677" t="s">
        <v>1701</v>
      </c>
      <c r="B1677" s="1">
        <v>45670</v>
      </c>
      <c r="C1677" t="s">
        <v>13</v>
      </c>
      <c r="D1677" t="s">
        <v>25</v>
      </c>
      <c r="E1677" s="2">
        <v>18.13</v>
      </c>
      <c r="F1677" s="3">
        <v>57.99</v>
      </c>
      <c r="G1677" s="4">
        <v>257.22000000000003</v>
      </c>
      <c r="H1677">
        <v>1.2</v>
      </c>
      <c r="I1677" s="4">
        <v>308.66000000000003</v>
      </c>
      <c r="J1677">
        <v>3.5</v>
      </c>
      <c r="K1677" t="s">
        <v>18</v>
      </c>
      <c r="L1677" t="s">
        <v>26</v>
      </c>
      <c r="O1677"/>
    </row>
    <row r="1678" spans="1:15" x14ac:dyDescent="0.3">
      <c r="A1678" t="s">
        <v>1702</v>
      </c>
      <c r="B1678" s="1">
        <v>45718</v>
      </c>
      <c r="C1678" t="s">
        <v>22</v>
      </c>
      <c r="D1678" t="s">
        <v>13</v>
      </c>
      <c r="E1678" s="2">
        <v>15.98</v>
      </c>
      <c r="F1678" s="3">
        <v>48.09</v>
      </c>
      <c r="G1678" s="4">
        <v>183.7</v>
      </c>
      <c r="H1678">
        <v>1.5</v>
      </c>
      <c r="I1678" s="4">
        <v>275.55</v>
      </c>
      <c r="J1678">
        <v>4</v>
      </c>
      <c r="K1678" t="s">
        <v>36</v>
      </c>
      <c r="L1678" t="s">
        <v>26</v>
      </c>
      <c r="O1678"/>
    </row>
    <row r="1679" spans="1:15" x14ac:dyDescent="0.3">
      <c r="A1679" t="s">
        <v>1703</v>
      </c>
      <c r="B1679" s="1">
        <v>45906</v>
      </c>
      <c r="C1679" t="s">
        <v>14</v>
      </c>
      <c r="D1679" t="s">
        <v>25</v>
      </c>
      <c r="E1679" s="2">
        <v>3.93</v>
      </c>
      <c r="F1679" s="3">
        <v>12.65</v>
      </c>
      <c r="G1679" s="4">
        <v>47.02</v>
      </c>
      <c r="H1679">
        <v>1.2</v>
      </c>
      <c r="I1679" s="4">
        <v>56.42</v>
      </c>
      <c r="J1679">
        <v>4.5999999999999996</v>
      </c>
      <c r="K1679" t="s">
        <v>30</v>
      </c>
      <c r="L1679" t="s">
        <v>19</v>
      </c>
      <c r="O1679"/>
    </row>
    <row r="1680" spans="1:15" x14ac:dyDescent="0.3">
      <c r="A1680" t="s">
        <v>1704</v>
      </c>
      <c r="B1680" s="1">
        <v>45941</v>
      </c>
      <c r="C1680" t="s">
        <v>21</v>
      </c>
      <c r="D1680" t="s">
        <v>13</v>
      </c>
      <c r="E1680" s="2">
        <v>28.78</v>
      </c>
      <c r="F1680" s="3">
        <v>106.75</v>
      </c>
      <c r="G1680" s="4">
        <v>354.14</v>
      </c>
      <c r="H1680">
        <v>2</v>
      </c>
      <c r="I1680" s="4">
        <v>708.28</v>
      </c>
      <c r="J1680">
        <v>4.5</v>
      </c>
      <c r="K1680" t="s">
        <v>15</v>
      </c>
      <c r="L1680" t="s">
        <v>28</v>
      </c>
      <c r="O1680"/>
    </row>
    <row r="1681" spans="1:15" x14ac:dyDescent="0.3">
      <c r="A1681" t="s">
        <v>1705</v>
      </c>
      <c r="B1681" s="1">
        <v>45961</v>
      </c>
      <c r="C1681" t="s">
        <v>14</v>
      </c>
      <c r="D1681" t="s">
        <v>13</v>
      </c>
      <c r="E1681" s="2">
        <v>22.36</v>
      </c>
      <c r="F1681" s="3">
        <v>49.8</v>
      </c>
      <c r="G1681" s="4">
        <v>403.82</v>
      </c>
      <c r="H1681">
        <v>1.5</v>
      </c>
      <c r="I1681" s="4">
        <v>605.73</v>
      </c>
      <c r="J1681">
        <v>4.8</v>
      </c>
      <c r="K1681" t="s">
        <v>33</v>
      </c>
      <c r="L1681" t="s">
        <v>16</v>
      </c>
      <c r="O1681"/>
    </row>
    <row r="1682" spans="1:15" x14ac:dyDescent="0.3">
      <c r="A1682" t="s">
        <v>1706</v>
      </c>
      <c r="B1682" s="1">
        <v>45892</v>
      </c>
      <c r="C1682" t="s">
        <v>22</v>
      </c>
      <c r="D1682" t="s">
        <v>22</v>
      </c>
      <c r="E1682" s="2">
        <v>24.32</v>
      </c>
      <c r="F1682" s="3">
        <v>87.16</v>
      </c>
      <c r="G1682" s="4">
        <v>274.13</v>
      </c>
      <c r="H1682">
        <v>1.2</v>
      </c>
      <c r="I1682" s="4">
        <v>328.96</v>
      </c>
      <c r="J1682">
        <v>4.0999999999999996</v>
      </c>
      <c r="K1682" t="s">
        <v>18</v>
      </c>
      <c r="L1682" t="s">
        <v>19</v>
      </c>
      <c r="O1682"/>
    </row>
    <row r="1683" spans="1:15" x14ac:dyDescent="0.3">
      <c r="A1683" t="s">
        <v>1707</v>
      </c>
      <c r="B1683" s="1">
        <v>45704</v>
      </c>
      <c r="C1683" t="s">
        <v>21</v>
      </c>
      <c r="D1683" t="s">
        <v>13</v>
      </c>
      <c r="E1683" s="2">
        <v>8.39</v>
      </c>
      <c r="F1683" s="3">
        <v>21.2</v>
      </c>
      <c r="G1683" s="4">
        <v>130.57</v>
      </c>
      <c r="H1683">
        <v>2</v>
      </c>
      <c r="I1683" s="4">
        <v>261.14</v>
      </c>
      <c r="J1683">
        <v>4.0999999999999996</v>
      </c>
      <c r="K1683" t="s">
        <v>33</v>
      </c>
      <c r="L1683" t="s">
        <v>16</v>
      </c>
      <c r="O1683"/>
    </row>
    <row r="1684" spans="1:15" x14ac:dyDescent="0.3">
      <c r="A1684" t="s">
        <v>1708</v>
      </c>
      <c r="B1684" s="1">
        <v>45663</v>
      </c>
      <c r="C1684" t="s">
        <v>14</v>
      </c>
      <c r="D1684" t="s">
        <v>25</v>
      </c>
      <c r="E1684" s="2">
        <v>4.66</v>
      </c>
      <c r="F1684" s="3">
        <v>18.39</v>
      </c>
      <c r="G1684" s="4">
        <v>57.35</v>
      </c>
      <c r="H1684">
        <v>2</v>
      </c>
      <c r="I1684" s="4">
        <v>114.7</v>
      </c>
      <c r="J1684">
        <v>4.5</v>
      </c>
      <c r="K1684" t="s">
        <v>33</v>
      </c>
      <c r="L1684" t="s">
        <v>19</v>
      </c>
      <c r="O1684"/>
    </row>
    <row r="1685" spans="1:15" x14ac:dyDescent="0.3">
      <c r="A1685" t="s">
        <v>1709</v>
      </c>
      <c r="B1685" s="1">
        <v>46019</v>
      </c>
      <c r="C1685" t="s">
        <v>22</v>
      </c>
      <c r="D1685" t="s">
        <v>21</v>
      </c>
      <c r="E1685" s="2">
        <v>24.55</v>
      </c>
      <c r="F1685" s="3">
        <v>64.790000000000006</v>
      </c>
      <c r="G1685" s="4">
        <v>285.64999999999998</v>
      </c>
      <c r="H1685">
        <v>1</v>
      </c>
      <c r="I1685" s="4">
        <v>285.64999999999998</v>
      </c>
      <c r="J1685">
        <v>4.0999999999999996</v>
      </c>
      <c r="K1685" t="s">
        <v>36</v>
      </c>
      <c r="L1685" t="s">
        <v>28</v>
      </c>
      <c r="O1685"/>
    </row>
    <row r="1686" spans="1:15" x14ac:dyDescent="0.3">
      <c r="A1686" t="s">
        <v>1710</v>
      </c>
      <c r="B1686" s="1">
        <v>45936</v>
      </c>
      <c r="C1686" t="s">
        <v>22</v>
      </c>
      <c r="D1686" t="s">
        <v>21</v>
      </c>
      <c r="E1686" s="2">
        <v>15.38</v>
      </c>
      <c r="F1686" s="3">
        <v>53.28</v>
      </c>
      <c r="G1686" s="4">
        <v>167.3</v>
      </c>
      <c r="H1686">
        <v>2</v>
      </c>
      <c r="I1686" s="4">
        <v>334.6</v>
      </c>
      <c r="J1686">
        <v>3.7</v>
      </c>
      <c r="K1686" t="s">
        <v>36</v>
      </c>
      <c r="L1686" t="s">
        <v>28</v>
      </c>
      <c r="O1686"/>
    </row>
    <row r="1687" spans="1:15" x14ac:dyDescent="0.3">
      <c r="A1687" t="s">
        <v>1711</v>
      </c>
      <c r="B1687" s="1">
        <v>45673</v>
      </c>
      <c r="C1687" t="s">
        <v>13</v>
      </c>
      <c r="D1687" t="s">
        <v>14</v>
      </c>
      <c r="E1687" s="2">
        <v>2.68</v>
      </c>
      <c r="F1687" s="3">
        <v>6.11</v>
      </c>
      <c r="G1687" s="4">
        <v>46.01</v>
      </c>
      <c r="H1687">
        <v>2</v>
      </c>
      <c r="I1687" s="4">
        <v>92.02</v>
      </c>
      <c r="J1687">
        <v>3.6</v>
      </c>
      <c r="K1687" t="s">
        <v>30</v>
      </c>
      <c r="L1687" t="s">
        <v>28</v>
      </c>
      <c r="O1687"/>
    </row>
    <row r="1688" spans="1:15" x14ac:dyDescent="0.3">
      <c r="A1688" t="s">
        <v>1712</v>
      </c>
      <c r="B1688" s="1">
        <v>45777</v>
      </c>
      <c r="C1688" t="s">
        <v>13</v>
      </c>
      <c r="D1688" t="s">
        <v>21</v>
      </c>
      <c r="E1688" s="2">
        <v>4.97</v>
      </c>
      <c r="F1688" s="3">
        <v>14.98</v>
      </c>
      <c r="G1688" s="4">
        <v>55.99</v>
      </c>
      <c r="H1688">
        <v>1</v>
      </c>
      <c r="I1688" s="4">
        <v>55.99</v>
      </c>
      <c r="J1688">
        <v>4.5</v>
      </c>
      <c r="K1688" t="s">
        <v>36</v>
      </c>
      <c r="L1688" t="s">
        <v>19</v>
      </c>
      <c r="O1688"/>
    </row>
    <row r="1689" spans="1:15" x14ac:dyDescent="0.3">
      <c r="A1689" t="s">
        <v>1713</v>
      </c>
      <c r="B1689" s="1">
        <v>45889</v>
      </c>
      <c r="C1689" t="s">
        <v>13</v>
      </c>
      <c r="D1689" t="s">
        <v>14</v>
      </c>
      <c r="E1689" s="2">
        <v>10.83</v>
      </c>
      <c r="F1689" s="3">
        <v>24.84</v>
      </c>
      <c r="G1689" s="4">
        <v>168.1</v>
      </c>
      <c r="H1689">
        <v>2</v>
      </c>
      <c r="I1689" s="4">
        <v>336.2</v>
      </c>
      <c r="J1689">
        <v>4.7</v>
      </c>
      <c r="K1689" t="s">
        <v>15</v>
      </c>
      <c r="L1689" t="s">
        <v>19</v>
      </c>
      <c r="O1689"/>
    </row>
    <row r="1690" spans="1:15" x14ac:dyDescent="0.3">
      <c r="A1690" t="s">
        <v>1714</v>
      </c>
      <c r="B1690" s="1">
        <v>45671</v>
      </c>
      <c r="C1690" t="s">
        <v>22</v>
      </c>
      <c r="D1690" t="s">
        <v>25</v>
      </c>
      <c r="E1690" s="2">
        <v>23.27</v>
      </c>
      <c r="F1690" s="3">
        <v>48.43</v>
      </c>
      <c r="G1690" s="4">
        <v>261.3</v>
      </c>
      <c r="H1690">
        <v>1</v>
      </c>
      <c r="I1690" s="4">
        <v>261.3</v>
      </c>
      <c r="J1690">
        <v>4.2</v>
      </c>
      <c r="K1690" t="s">
        <v>33</v>
      </c>
      <c r="L1690" t="s">
        <v>16</v>
      </c>
      <c r="O1690"/>
    </row>
    <row r="1691" spans="1:15" x14ac:dyDescent="0.3">
      <c r="A1691" t="s">
        <v>1715</v>
      </c>
      <c r="B1691" s="1">
        <v>45728</v>
      </c>
      <c r="C1691" t="s">
        <v>22</v>
      </c>
      <c r="D1691" t="s">
        <v>13</v>
      </c>
      <c r="E1691" s="2">
        <v>25.53</v>
      </c>
      <c r="F1691" s="3">
        <v>68.739999999999995</v>
      </c>
      <c r="G1691" s="4">
        <v>422.42</v>
      </c>
      <c r="H1691">
        <v>2</v>
      </c>
      <c r="I1691" s="4">
        <v>844.84</v>
      </c>
      <c r="J1691">
        <v>3.2</v>
      </c>
      <c r="K1691" t="s">
        <v>36</v>
      </c>
      <c r="L1691" t="s">
        <v>19</v>
      </c>
      <c r="O1691"/>
    </row>
    <row r="1692" spans="1:15" x14ac:dyDescent="0.3">
      <c r="A1692" t="s">
        <v>1716</v>
      </c>
      <c r="B1692" s="1">
        <v>45664</v>
      </c>
      <c r="C1692" t="s">
        <v>13</v>
      </c>
      <c r="D1692" t="s">
        <v>14</v>
      </c>
      <c r="E1692" s="2">
        <v>17.73</v>
      </c>
      <c r="F1692" s="3">
        <v>47.6</v>
      </c>
      <c r="G1692" s="4">
        <v>192.17</v>
      </c>
      <c r="H1692">
        <v>1.2</v>
      </c>
      <c r="I1692" s="4">
        <v>230.6</v>
      </c>
      <c r="J1692">
        <v>3.6</v>
      </c>
      <c r="K1692" t="s">
        <v>36</v>
      </c>
      <c r="L1692" t="s">
        <v>16</v>
      </c>
      <c r="O1692"/>
    </row>
    <row r="1693" spans="1:15" x14ac:dyDescent="0.3">
      <c r="A1693" t="s">
        <v>1717</v>
      </c>
      <c r="B1693" s="1">
        <v>45873</v>
      </c>
      <c r="C1693" t="s">
        <v>14</v>
      </c>
      <c r="D1693" t="s">
        <v>21</v>
      </c>
      <c r="E1693" s="2">
        <v>3.1</v>
      </c>
      <c r="F1693" s="3">
        <v>11.65</v>
      </c>
      <c r="G1693" s="4">
        <v>40.36</v>
      </c>
      <c r="H1693">
        <v>1.5</v>
      </c>
      <c r="I1693" s="4">
        <v>60.54</v>
      </c>
      <c r="J1693">
        <v>3.8</v>
      </c>
      <c r="K1693" t="s">
        <v>36</v>
      </c>
      <c r="L1693" t="s">
        <v>16</v>
      </c>
      <c r="O1693"/>
    </row>
    <row r="1694" spans="1:15" x14ac:dyDescent="0.3">
      <c r="A1694" t="s">
        <v>1718</v>
      </c>
      <c r="B1694" s="1">
        <v>45974</v>
      </c>
      <c r="C1694" t="s">
        <v>22</v>
      </c>
      <c r="D1694" t="s">
        <v>21</v>
      </c>
      <c r="E1694" s="2">
        <v>12.35</v>
      </c>
      <c r="F1694" s="3">
        <v>31.17</v>
      </c>
      <c r="G1694" s="4">
        <v>165.87</v>
      </c>
      <c r="H1694">
        <v>2</v>
      </c>
      <c r="I1694" s="4">
        <v>331.74</v>
      </c>
      <c r="J1694">
        <v>4.3</v>
      </c>
      <c r="K1694" t="s">
        <v>33</v>
      </c>
      <c r="L1694" t="s">
        <v>19</v>
      </c>
      <c r="O1694"/>
    </row>
    <row r="1695" spans="1:15" x14ac:dyDescent="0.3">
      <c r="A1695" t="s">
        <v>1719</v>
      </c>
      <c r="B1695" s="1">
        <v>45823</v>
      </c>
      <c r="C1695" t="s">
        <v>22</v>
      </c>
      <c r="D1695" t="s">
        <v>25</v>
      </c>
      <c r="E1695" s="2">
        <v>15.83</v>
      </c>
      <c r="F1695" s="3">
        <v>61.53</v>
      </c>
      <c r="G1695" s="4">
        <v>164.93</v>
      </c>
      <c r="H1695">
        <v>1.5</v>
      </c>
      <c r="I1695" s="4">
        <v>247.4</v>
      </c>
      <c r="J1695">
        <v>3.6</v>
      </c>
      <c r="K1695" t="s">
        <v>36</v>
      </c>
      <c r="L1695" t="s">
        <v>16</v>
      </c>
      <c r="O1695"/>
    </row>
    <row r="1696" spans="1:15" x14ac:dyDescent="0.3">
      <c r="A1696" t="s">
        <v>1720</v>
      </c>
      <c r="B1696" s="1">
        <v>45761</v>
      </c>
      <c r="C1696" t="s">
        <v>21</v>
      </c>
      <c r="D1696" t="s">
        <v>22</v>
      </c>
      <c r="E1696" s="2">
        <v>27.69</v>
      </c>
      <c r="F1696" s="3">
        <v>58.1</v>
      </c>
      <c r="G1696" s="4">
        <v>435.7</v>
      </c>
      <c r="H1696">
        <v>1.2</v>
      </c>
      <c r="I1696" s="4">
        <v>522.84</v>
      </c>
      <c r="J1696">
        <v>4.0999999999999996</v>
      </c>
      <c r="K1696" t="s">
        <v>15</v>
      </c>
      <c r="L1696" t="s">
        <v>16</v>
      </c>
      <c r="O1696"/>
    </row>
    <row r="1697" spans="1:15" x14ac:dyDescent="0.3">
      <c r="A1697" t="s">
        <v>1721</v>
      </c>
      <c r="B1697" s="1">
        <v>45782</v>
      </c>
      <c r="C1697" t="s">
        <v>14</v>
      </c>
      <c r="D1697" t="s">
        <v>22</v>
      </c>
      <c r="E1697" s="2">
        <v>26.41</v>
      </c>
      <c r="F1697" s="3">
        <v>53.83</v>
      </c>
      <c r="G1697" s="4">
        <v>457.54</v>
      </c>
      <c r="H1697">
        <v>1.5</v>
      </c>
      <c r="I1697" s="4">
        <v>686.31</v>
      </c>
      <c r="J1697">
        <v>4</v>
      </c>
      <c r="K1697" t="s">
        <v>33</v>
      </c>
      <c r="L1697" t="s">
        <v>26</v>
      </c>
      <c r="O1697"/>
    </row>
    <row r="1698" spans="1:15" x14ac:dyDescent="0.3">
      <c r="A1698" t="s">
        <v>1722</v>
      </c>
      <c r="B1698" s="1">
        <v>45911</v>
      </c>
      <c r="C1698" t="s">
        <v>25</v>
      </c>
      <c r="D1698" t="s">
        <v>22</v>
      </c>
      <c r="E1698" s="2">
        <v>13.73</v>
      </c>
      <c r="F1698" s="3">
        <v>28.69</v>
      </c>
      <c r="G1698" s="4">
        <v>263.63</v>
      </c>
      <c r="H1698">
        <v>1.2</v>
      </c>
      <c r="I1698" s="4">
        <v>316.36</v>
      </c>
      <c r="J1698">
        <v>4</v>
      </c>
      <c r="K1698" t="s">
        <v>36</v>
      </c>
      <c r="L1698" t="s">
        <v>16</v>
      </c>
      <c r="O1698"/>
    </row>
    <row r="1699" spans="1:15" x14ac:dyDescent="0.3">
      <c r="A1699" t="s">
        <v>1723</v>
      </c>
      <c r="B1699" s="1">
        <v>45802</v>
      </c>
      <c r="C1699" t="s">
        <v>22</v>
      </c>
      <c r="D1699" t="s">
        <v>25</v>
      </c>
      <c r="E1699" s="2">
        <v>21</v>
      </c>
      <c r="F1699" s="3">
        <v>62.24</v>
      </c>
      <c r="G1699" s="4">
        <v>236.11</v>
      </c>
      <c r="H1699">
        <v>1.5</v>
      </c>
      <c r="I1699" s="4">
        <v>354.16</v>
      </c>
      <c r="J1699">
        <v>3.8</v>
      </c>
      <c r="K1699" t="s">
        <v>36</v>
      </c>
      <c r="L1699" t="s">
        <v>19</v>
      </c>
      <c r="O1699"/>
    </row>
    <row r="1700" spans="1:15" x14ac:dyDescent="0.3">
      <c r="A1700" t="s">
        <v>1724</v>
      </c>
      <c r="B1700" s="1">
        <v>45877</v>
      </c>
      <c r="C1700" t="s">
        <v>13</v>
      </c>
      <c r="D1700" t="s">
        <v>14</v>
      </c>
      <c r="E1700" s="2">
        <v>4.04</v>
      </c>
      <c r="F1700" s="3">
        <v>11.75</v>
      </c>
      <c r="G1700" s="4">
        <v>50.05</v>
      </c>
      <c r="H1700">
        <v>1.2</v>
      </c>
      <c r="I1700" s="4">
        <v>60.06</v>
      </c>
      <c r="J1700">
        <v>4.7</v>
      </c>
      <c r="K1700" t="s">
        <v>33</v>
      </c>
      <c r="L1700" t="s">
        <v>28</v>
      </c>
      <c r="O1700"/>
    </row>
    <row r="1701" spans="1:15" x14ac:dyDescent="0.3">
      <c r="A1701" t="s">
        <v>1725</v>
      </c>
      <c r="B1701" s="1">
        <v>45703</v>
      </c>
      <c r="C1701" t="s">
        <v>13</v>
      </c>
      <c r="D1701" t="s">
        <v>22</v>
      </c>
      <c r="E1701" s="2">
        <v>21.98</v>
      </c>
      <c r="F1701" s="3">
        <v>80.56</v>
      </c>
      <c r="G1701" s="4">
        <v>263.94</v>
      </c>
      <c r="H1701">
        <v>2</v>
      </c>
      <c r="I1701" s="4">
        <v>527.88</v>
      </c>
      <c r="J1701">
        <v>4.3</v>
      </c>
      <c r="K1701" t="s">
        <v>15</v>
      </c>
      <c r="L1701" t="s">
        <v>28</v>
      </c>
      <c r="O1701"/>
    </row>
    <row r="1702" spans="1:15" x14ac:dyDescent="0.3">
      <c r="A1702" t="s">
        <v>1726</v>
      </c>
      <c r="B1702" s="1">
        <v>46000</v>
      </c>
      <c r="C1702" t="s">
        <v>25</v>
      </c>
      <c r="D1702" t="s">
        <v>25</v>
      </c>
      <c r="E1702" s="2">
        <v>19.48</v>
      </c>
      <c r="F1702" s="3">
        <v>66.87</v>
      </c>
      <c r="G1702" s="4">
        <v>238.49</v>
      </c>
      <c r="H1702">
        <v>1.2</v>
      </c>
      <c r="I1702" s="4">
        <v>286.19</v>
      </c>
      <c r="J1702">
        <v>3</v>
      </c>
      <c r="K1702" t="s">
        <v>30</v>
      </c>
      <c r="L1702" t="s">
        <v>26</v>
      </c>
      <c r="O1702"/>
    </row>
    <row r="1703" spans="1:15" x14ac:dyDescent="0.3">
      <c r="A1703" t="s">
        <v>1727</v>
      </c>
      <c r="B1703" s="1">
        <v>45988</v>
      </c>
      <c r="C1703" t="s">
        <v>25</v>
      </c>
      <c r="D1703" t="s">
        <v>21</v>
      </c>
      <c r="E1703" s="2">
        <v>17.239999999999998</v>
      </c>
      <c r="F1703" s="3">
        <v>39.78</v>
      </c>
      <c r="G1703" s="4">
        <v>309.19</v>
      </c>
      <c r="H1703">
        <v>1.5</v>
      </c>
      <c r="I1703" s="4">
        <v>463.78</v>
      </c>
      <c r="J1703">
        <v>3.7</v>
      </c>
      <c r="K1703" t="s">
        <v>15</v>
      </c>
      <c r="L1703" t="s">
        <v>28</v>
      </c>
      <c r="O1703"/>
    </row>
    <row r="1704" spans="1:15" x14ac:dyDescent="0.3">
      <c r="A1704" t="s">
        <v>1728</v>
      </c>
      <c r="B1704" s="1">
        <v>45798</v>
      </c>
      <c r="C1704" t="s">
        <v>22</v>
      </c>
      <c r="D1704" t="s">
        <v>21</v>
      </c>
      <c r="E1704" s="2">
        <v>24.7</v>
      </c>
      <c r="F1704" s="3">
        <v>95.5</v>
      </c>
      <c r="G1704" s="4">
        <v>478.78</v>
      </c>
      <c r="H1704">
        <v>1</v>
      </c>
      <c r="I1704" s="4">
        <v>478.78</v>
      </c>
      <c r="J1704">
        <v>3.6</v>
      </c>
      <c r="K1704" t="s">
        <v>33</v>
      </c>
      <c r="L1704" t="s">
        <v>19</v>
      </c>
      <c r="O1704"/>
    </row>
    <row r="1705" spans="1:15" x14ac:dyDescent="0.3">
      <c r="A1705" t="s">
        <v>1729</v>
      </c>
      <c r="B1705" s="1">
        <v>45673</v>
      </c>
      <c r="C1705" t="s">
        <v>22</v>
      </c>
      <c r="D1705" t="s">
        <v>25</v>
      </c>
      <c r="E1705" s="2">
        <v>11.33</v>
      </c>
      <c r="F1705" s="3">
        <v>22.82</v>
      </c>
      <c r="G1705" s="4">
        <v>120.2</v>
      </c>
      <c r="H1705">
        <v>1</v>
      </c>
      <c r="I1705" s="4">
        <v>120.2</v>
      </c>
      <c r="J1705">
        <v>3.6</v>
      </c>
      <c r="K1705" t="s">
        <v>30</v>
      </c>
      <c r="L1705" t="s">
        <v>28</v>
      </c>
      <c r="O1705"/>
    </row>
    <row r="1706" spans="1:15" x14ac:dyDescent="0.3">
      <c r="A1706" t="s">
        <v>1730</v>
      </c>
      <c r="B1706" s="1">
        <v>45969</v>
      </c>
      <c r="C1706" t="s">
        <v>25</v>
      </c>
      <c r="D1706" t="s">
        <v>14</v>
      </c>
      <c r="E1706" s="2">
        <v>6.36</v>
      </c>
      <c r="F1706" s="3">
        <v>17.75</v>
      </c>
      <c r="G1706" s="4">
        <v>74.709999999999994</v>
      </c>
      <c r="H1706">
        <v>2</v>
      </c>
      <c r="I1706" s="4">
        <v>149.41999999999999</v>
      </c>
      <c r="J1706">
        <v>4</v>
      </c>
      <c r="K1706" t="s">
        <v>33</v>
      </c>
      <c r="L1706" t="s">
        <v>28</v>
      </c>
      <c r="O1706"/>
    </row>
    <row r="1707" spans="1:15" x14ac:dyDescent="0.3">
      <c r="A1707" t="s">
        <v>1731</v>
      </c>
      <c r="B1707" s="1">
        <v>45888</v>
      </c>
      <c r="C1707" t="s">
        <v>22</v>
      </c>
      <c r="D1707" t="s">
        <v>25</v>
      </c>
      <c r="E1707" s="2">
        <v>18.36</v>
      </c>
      <c r="F1707" s="3">
        <v>55.18</v>
      </c>
      <c r="G1707" s="4">
        <v>193.13</v>
      </c>
      <c r="H1707">
        <v>1</v>
      </c>
      <c r="I1707" s="4">
        <v>193.13</v>
      </c>
      <c r="J1707">
        <v>3.2</v>
      </c>
      <c r="K1707" t="s">
        <v>33</v>
      </c>
      <c r="L1707" t="s">
        <v>16</v>
      </c>
      <c r="O1707"/>
    </row>
    <row r="1708" spans="1:15" x14ac:dyDescent="0.3">
      <c r="A1708" t="s">
        <v>1732</v>
      </c>
      <c r="B1708" s="1">
        <v>45968</v>
      </c>
      <c r="C1708" t="s">
        <v>14</v>
      </c>
      <c r="D1708" t="s">
        <v>22</v>
      </c>
      <c r="E1708" s="2">
        <v>10.43</v>
      </c>
      <c r="F1708" s="3">
        <v>24.16</v>
      </c>
      <c r="G1708" s="4">
        <v>139.61000000000001</v>
      </c>
      <c r="H1708">
        <v>2</v>
      </c>
      <c r="I1708" s="4">
        <v>279.22000000000003</v>
      </c>
      <c r="J1708">
        <v>4.5</v>
      </c>
      <c r="K1708" t="s">
        <v>30</v>
      </c>
      <c r="L1708" t="s">
        <v>16</v>
      </c>
      <c r="O1708"/>
    </row>
    <row r="1709" spans="1:15" x14ac:dyDescent="0.3">
      <c r="A1709" t="s">
        <v>1733</v>
      </c>
      <c r="B1709" s="1">
        <v>45705</v>
      </c>
      <c r="C1709" t="s">
        <v>21</v>
      </c>
      <c r="D1709" t="s">
        <v>14</v>
      </c>
      <c r="E1709" s="2">
        <v>19.18</v>
      </c>
      <c r="F1709" s="3">
        <v>62.83</v>
      </c>
      <c r="G1709" s="4">
        <v>312.39</v>
      </c>
      <c r="H1709">
        <v>1</v>
      </c>
      <c r="I1709" s="4">
        <v>312.39</v>
      </c>
      <c r="J1709">
        <v>3.3</v>
      </c>
      <c r="K1709" t="s">
        <v>15</v>
      </c>
      <c r="L1709" t="s">
        <v>16</v>
      </c>
      <c r="O1709"/>
    </row>
    <row r="1710" spans="1:15" x14ac:dyDescent="0.3">
      <c r="A1710" t="s">
        <v>1734</v>
      </c>
      <c r="B1710" s="1">
        <v>45707</v>
      </c>
      <c r="C1710" t="s">
        <v>13</v>
      </c>
      <c r="D1710" t="s">
        <v>14</v>
      </c>
      <c r="E1710" s="2">
        <v>22.24</v>
      </c>
      <c r="F1710" s="3">
        <v>79.040000000000006</v>
      </c>
      <c r="G1710" s="4">
        <v>416.44</v>
      </c>
      <c r="H1710">
        <v>1.2</v>
      </c>
      <c r="I1710" s="4">
        <v>499.73</v>
      </c>
      <c r="J1710">
        <v>3</v>
      </c>
      <c r="K1710" t="s">
        <v>33</v>
      </c>
      <c r="L1710" t="s">
        <v>19</v>
      </c>
      <c r="O1710"/>
    </row>
    <row r="1711" spans="1:15" x14ac:dyDescent="0.3">
      <c r="A1711" t="s">
        <v>1735</v>
      </c>
      <c r="B1711" s="1">
        <v>45911</v>
      </c>
      <c r="C1711" t="s">
        <v>22</v>
      </c>
      <c r="D1711" t="s">
        <v>14</v>
      </c>
      <c r="E1711" s="2">
        <v>15</v>
      </c>
      <c r="F1711" s="3">
        <v>45.42</v>
      </c>
      <c r="G1711" s="4">
        <v>274.38</v>
      </c>
      <c r="H1711">
        <v>1</v>
      </c>
      <c r="I1711" s="4">
        <v>274.38</v>
      </c>
      <c r="J1711">
        <v>4.5</v>
      </c>
      <c r="K1711" t="s">
        <v>30</v>
      </c>
      <c r="L1711" t="s">
        <v>19</v>
      </c>
      <c r="O1711"/>
    </row>
    <row r="1712" spans="1:15" x14ac:dyDescent="0.3">
      <c r="A1712" t="s">
        <v>1736</v>
      </c>
      <c r="B1712" s="1">
        <v>45897</v>
      </c>
      <c r="C1712" t="s">
        <v>25</v>
      </c>
      <c r="D1712" t="s">
        <v>25</v>
      </c>
      <c r="E1712" s="2">
        <v>26</v>
      </c>
      <c r="F1712" s="3">
        <v>95.64</v>
      </c>
      <c r="G1712" s="4">
        <v>429.78</v>
      </c>
      <c r="H1712">
        <v>1</v>
      </c>
      <c r="I1712" s="4">
        <v>429.78</v>
      </c>
      <c r="J1712">
        <v>3.3</v>
      </c>
      <c r="K1712" t="s">
        <v>18</v>
      </c>
      <c r="L1712" t="s">
        <v>16</v>
      </c>
      <c r="O1712"/>
    </row>
    <row r="1713" spans="1:15" x14ac:dyDescent="0.3">
      <c r="A1713" t="s">
        <v>1737</v>
      </c>
      <c r="B1713" s="1">
        <v>45907</v>
      </c>
      <c r="C1713" t="s">
        <v>21</v>
      </c>
      <c r="D1713" t="s">
        <v>21</v>
      </c>
      <c r="E1713" s="2">
        <v>18.21</v>
      </c>
      <c r="F1713" s="3">
        <v>42.4</v>
      </c>
      <c r="G1713" s="4">
        <v>204.58</v>
      </c>
      <c r="H1713">
        <v>2</v>
      </c>
      <c r="I1713" s="4">
        <v>409.16</v>
      </c>
      <c r="J1713">
        <v>3.2</v>
      </c>
      <c r="K1713" t="s">
        <v>18</v>
      </c>
      <c r="L1713" t="s">
        <v>28</v>
      </c>
      <c r="O1713"/>
    </row>
    <row r="1714" spans="1:15" x14ac:dyDescent="0.3">
      <c r="A1714" t="s">
        <v>1738</v>
      </c>
      <c r="B1714" s="1">
        <v>45798</v>
      </c>
      <c r="C1714" t="s">
        <v>25</v>
      </c>
      <c r="D1714" t="s">
        <v>14</v>
      </c>
      <c r="E1714" s="2">
        <v>7.6</v>
      </c>
      <c r="F1714" s="3">
        <v>17.8</v>
      </c>
      <c r="G1714" s="4">
        <v>126.74</v>
      </c>
      <c r="H1714">
        <v>2</v>
      </c>
      <c r="I1714" s="4">
        <v>253.48</v>
      </c>
      <c r="J1714">
        <v>3.3</v>
      </c>
      <c r="K1714" t="s">
        <v>30</v>
      </c>
      <c r="L1714" t="s">
        <v>28</v>
      </c>
      <c r="O1714"/>
    </row>
    <row r="1715" spans="1:15" x14ac:dyDescent="0.3">
      <c r="A1715" t="s">
        <v>1739</v>
      </c>
      <c r="B1715" s="1">
        <v>45837</v>
      </c>
      <c r="C1715" t="s">
        <v>22</v>
      </c>
      <c r="D1715" t="s">
        <v>25</v>
      </c>
      <c r="E1715" s="2">
        <v>3.55</v>
      </c>
      <c r="F1715" s="3">
        <v>13.44</v>
      </c>
      <c r="G1715" s="4">
        <v>49.32</v>
      </c>
      <c r="H1715">
        <v>1.2</v>
      </c>
      <c r="I1715" s="4">
        <v>59.18</v>
      </c>
      <c r="J1715">
        <v>4.5</v>
      </c>
      <c r="K1715" t="s">
        <v>18</v>
      </c>
      <c r="L1715" t="s">
        <v>28</v>
      </c>
      <c r="O1715"/>
    </row>
    <row r="1716" spans="1:15" x14ac:dyDescent="0.3">
      <c r="A1716" t="s">
        <v>1740</v>
      </c>
      <c r="B1716" s="1">
        <v>45885</v>
      </c>
      <c r="C1716" t="s">
        <v>14</v>
      </c>
      <c r="D1716" t="s">
        <v>21</v>
      </c>
      <c r="E1716" s="2">
        <v>12.31</v>
      </c>
      <c r="F1716" s="3">
        <v>45.88</v>
      </c>
      <c r="G1716" s="4">
        <v>237.49</v>
      </c>
      <c r="H1716">
        <v>2</v>
      </c>
      <c r="I1716" s="4">
        <v>474.98</v>
      </c>
      <c r="J1716">
        <v>3.5</v>
      </c>
      <c r="K1716" t="s">
        <v>18</v>
      </c>
      <c r="L1716" t="s">
        <v>16</v>
      </c>
      <c r="O1716"/>
    </row>
    <row r="1717" spans="1:15" x14ac:dyDescent="0.3">
      <c r="A1717" t="s">
        <v>1741</v>
      </c>
      <c r="B1717" s="1">
        <v>45836</v>
      </c>
      <c r="C1717" t="s">
        <v>25</v>
      </c>
      <c r="D1717" t="s">
        <v>22</v>
      </c>
      <c r="E1717" s="2">
        <v>23.66</v>
      </c>
      <c r="F1717" s="3">
        <v>91.37</v>
      </c>
      <c r="G1717" s="4">
        <v>294.74</v>
      </c>
      <c r="H1717">
        <v>2</v>
      </c>
      <c r="I1717" s="4">
        <v>589.48</v>
      </c>
      <c r="J1717">
        <v>3.6</v>
      </c>
      <c r="K1717" t="s">
        <v>18</v>
      </c>
      <c r="L1717" t="s">
        <v>16</v>
      </c>
      <c r="O1717"/>
    </row>
    <row r="1718" spans="1:15" x14ac:dyDescent="0.3">
      <c r="A1718" t="s">
        <v>1742</v>
      </c>
      <c r="B1718" s="1">
        <v>45975</v>
      </c>
      <c r="C1718" t="s">
        <v>21</v>
      </c>
      <c r="D1718" t="s">
        <v>22</v>
      </c>
      <c r="E1718" s="2">
        <v>24.9</v>
      </c>
      <c r="F1718" s="3">
        <v>50.07</v>
      </c>
      <c r="G1718" s="4">
        <v>389.64</v>
      </c>
      <c r="H1718">
        <v>1</v>
      </c>
      <c r="I1718" s="4">
        <v>389.64</v>
      </c>
      <c r="J1718">
        <v>4.8</v>
      </c>
      <c r="K1718" t="s">
        <v>33</v>
      </c>
      <c r="L1718" t="s">
        <v>26</v>
      </c>
      <c r="O1718"/>
    </row>
    <row r="1719" spans="1:15" x14ac:dyDescent="0.3">
      <c r="A1719" t="s">
        <v>1743</v>
      </c>
      <c r="B1719" s="1">
        <v>45883</v>
      </c>
      <c r="C1719" t="s">
        <v>25</v>
      </c>
      <c r="D1719" t="s">
        <v>25</v>
      </c>
      <c r="E1719" s="2">
        <v>19.7</v>
      </c>
      <c r="F1719" s="3">
        <v>72.95</v>
      </c>
      <c r="G1719" s="4">
        <v>317.01</v>
      </c>
      <c r="H1719">
        <v>1.5</v>
      </c>
      <c r="I1719" s="4">
        <v>475.52</v>
      </c>
      <c r="J1719">
        <v>4.5999999999999996</v>
      </c>
      <c r="K1719" t="s">
        <v>18</v>
      </c>
      <c r="L1719" t="s">
        <v>28</v>
      </c>
      <c r="O1719"/>
    </row>
    <row r="1720" spans="1:15" x14ac:dyDescent="0.3">
      <c r="A1720" t="s">
        <v>1744</v>
      </c>
      <c r="B1720" s="1">
        <v>45672</v>
      </c>
      <c r="C1720" t="s">
        <v>21</v>
      </c>
      <c r="D1720" t="s">
        <v>25</v>
      </c>
      <c r="E1720" s="2">
        <v>16.07</v>
      </c>
      <c r="F1720" s="3">
        <v>46.62</v>
      </c>
      <c r="G1720" s="4">
        <v>162.57</v>
      </c>
      <c r="H1720">
        <v>1</v>
      </c>
      <c r="I1720" s="4">
        <v>162.57</v>
      </c>
      <c r="J1720">
        <v>4.5999999999999996</v>
      </c>
      <c r="K1720" t="s">
        <v>33</v>
      </c>
      <c r="L1720" t="s">
        <v>26</v>
      </c>
      <c r="O1720"/>
    </row>
    <row r="1721" spans="1:15" x14ac:dyDescent="0.3">
      <c r="A1721" t="s">
        <v>1745</v>
      </c>
      <c r="B1721" s="1">
        <v>45770</v>
      </c>
      <c r="C1721" t="s">
        <v>14</v>
      </c>
      <c r="D1721" t="s">
        <v>25</v>
      </c>
      <c r="E1721" s="2">
        <v>18.170000000000002</v>
      </c>
      <c r="F1721" s="3">
        <v>63.1</v>
      </c>
      <c r="G1721" s="4">
        <v>285.51</v>
      </c>
      <c r="H1721">
        <v>1.5</v>
      </c>
      <c r="I1721" s="4">
        <v>428.26</v>
      </c>
      <c r="J1721">
        <v>4.0999999999999996</v>
      </c>
      <c r="K1721" t="s">
        <v>18</v>
      </c>
      <c r="L1721" t="s">
        <v>28</v>
      </c>
      <c r="O1721"/>
    </row>
    <row r="1722" spans="1:15" x14ac:dyDescent="0.3">
      <c r="A1722" t="s">
        <v>1746</v>
      </c>
      <c r="B1722" s="1">
        <v>45725</v>
      </c>
      <c r="C1722" t="s">
        <v>25</v>
      </c>
      <c r="D1722" t="s">
        <v>22</v>
      </c>
      <c r="E1722" s="2">
        <v>18.3</v>
      </c>
      <c r="F1722" s="3">
        <v>46.66</v>
      </c>
      <c r="G1722" s="4">
        <v>197.58</v>
      </c>
      <c r="H1722">
        <v>2</v>
      </c>
      <c r="I1722" s="4">
        <v>395.16</v>
      </c>
      <c r="J1722">
        <v>3.3</v>
      </c>
      <c r="K1722" t="s">
        <v>18</v>
      </c>
      <c r="L1722" t="s">
        <v>19</v>
      </c>
      <c r="O1722"/>
    </row>
    <row r="1723" spans="1:15" x14ac:dyDescent="0.3">
      <c r="A1723" t="s">
        <v>1747</v>
      </c>
      <c r="B1723" s="1">
        <v>45757</v>
      </c>
      <c r="C1723" t="s">
        <v>22</v>
      </c>
      <c r="D1723" t="s">
        <v>13</v>
      </c>
      <c r="E1723" s="2">
        <v>19.72</v>
      </c>
      <c r="F1723" s="3">
        <v>66.55</v>
      </c>
      <c r="G1723" s="4">
        <v>270.66000000000003</v>
      </c>
      <c r="H1723">
        <v>1</v>
      </c>
      <c r="I1723" s="4">
        <v>270.66000000000003</v>
      </c>
      <c r="J1723">
        <v>4.5</v>
      </c>
      <c r="K1723" t="s">
        <v>30</v>
      </c>
      <c r="L1723" t="s">
        <v>16</v>
      </c>
      <c r="O1723"/>
    </row>
    <row r="1724" spans="1:15" x14ac:dyDescent="0.3">
      <c r="A1724" t="s">
        <v>1748</v>
      </c>
      <c r="B1724" s="1">
        <v>45874</v>
      </c>
      <c r="C1724" t="s">
        <v>14</v>
      </c>
      <c r="D1724" t="s">
        <v>21</v>
      </c>
      <c r="E1724" s="2">
        <v>23.44</v>
      </c>
      <c r="F1724" s="3">
        <v>68.239999999999995</v>
      </c>
      <c r="G1724" s="4">
        <v>377.83</v>
      </c>
      <c r="H1724">
        <v>2</v>
      </c>
      <c r="I1724" s="4">
        <v>755.66</v>
      </c>
      <c r="J1724">
        <v>4.4000000000000004</v>
      </c>
      <c r="K1724" t="s">
        <v>36</v>
      </c>
      <c r="L1724" t="s">
        <v>16</v>
      </c>
      <c r="O1724"/>
    </row>
    <row r="1725" spans="1:15" x14ac:dyDescent="0.3">
      <c r="A1725" t="s">
        <v>1749</v>
      </c>
      <c r="B1725" s="1">
        <v>45735</v>
      </c>
      <c r="C1725" t="s">
        <v>22</v>
      </c>
      <c r="D1725" t="s">
        <v>22</v>
      </c>
      <c r="E1725" s="2">
        <v>25.24</v>
      </c>
      <c r="F1725" s="3">
        <v>85.22</v>
      </c>
      <c r="G1725" s="4">
        <v>381.78</v>
      </c>
      <c r="H1725">
        <v>1.5</v>
      </c>
      <c r="I1725" s="4">
        <v>572.66999999999996</v>
      </c>
      <c r="J1725">
        <v>3.5</v>
      </c>
      <c r="K1725" t="s">
        <v>36</v>
      </c>
      <c r="L1725" t="s">
        <v>28</v>
      </c>
      <c r="O1725"/>
    </row>
    <row r="1726" spans="1:15" x14ac:dyDescent="0.3">
      <c r="A1726" t="s">
        <v>1750</v>
      </c>
      <c r="B1726" s="1">
        <v>45836</v>
      </c>
      <c r="C1726" t="s">
        <v>13</v>
      </c>
      <c r="D1726" t="s">
        <v>13</v>
      </c>
      <c r="E1726" s="2">
        <v>20.71</v>
      </c>
      <c r="F1726" s="3">
        <v>64.56</v>
      </c>
      <c r="G1726" s="4">
        <v>336.53</v>
      </c>
      <c r="H1726">
        <v>1.5</v>
      </c>
      <c r="I1726" s="4">
        <v>504.79</v>
      </c>
      <c r="J1726">
        <v>4</v>
      </c>
      <c r="K1726" t="s">
        <v>30</v>
      </c>
      <c r="L1726" t="s">
        <v>28</v>
      </c>
      <c r="O1726"/>
    </row>
    <row r="1727" spans="1:15" x14ac:dyDescent="0.3">
      <c r="A1727" t="s">
        <v>1751</v>
      </c>
      <c r="B1727" s="1">
        <v>45998</v>
      </c>
      <c r="C1727" t="s">
        <v>13</v>
      </c>
      <c r="D1727" t="s">
        <v>22</v>
      </c>
      <c r="E1727" s="2">
        <v>23.93</v>
      </c>
      <c r="F1727" s="3">
        <v>65.760000000000005</v>
      </c>
      <c r="G1727" s="4">
        <v>373.98</v>
      </c>
      <c r="H1727">
        <v>2</v>
      </c>
      <c r="I1727" s="4">
        <v>747.96</v>
      </c>
      <c r="J1727">
        <v>4.8</v>
      </c>
      <c r="K1727" t="s">
        <v>15</v>
      </c>
      <c r="L1727" t="s">
        <v>28</v>
      </c>
      <c r="O1727"/>
    </row>
    <row r="1728" spans="1:15" x14ac:dyDescent="0.3">
      <c r="A1728" t="s">
        <v>1752</v>
      </c>
      <c r="B1728" s="1">
        <v>45736</v>
      </c>
      <c r="C1728" t="s">
        <v>13</v>
      </c>
      <c r="D1728" t="s">
        <v>25</v>
      </c>
      <c r="E1728" s="2">
        <v>8.27</v>
      </c>
      <c r="F1728" s="3">
        <v>27.95</v>
      </c>
      <c r="G1728" s="4">
        <v>153.16999999999999</v>
      </c>
      <c r="H1728">
        <v>1.2</v>
      </c>
      <c r="I1728" s="4">
        <v>183.8</v>
      </c>
      <c r="J1728">
        <v>3.7</v>
      </c>
      <c r="K1728" t="s">
        <v>36</v>
      </c>
      <c r="L1728" t="s">
        <v>26</v>
      </c>
      <c r="O1728"/>
    </row>
    <row r="1729" spans="1:15" x14ac:dyDescent="0.3">
      <c r="A1729" t="s">
        <v>1753</v>
      </c>
      <c r="B1729" s="1">
        <v>45677</v>
      </c>
      <c r="C1729" t="s">
        <v>22</v>
      </c>
      <c r="D1729" t="s">
        <v>22</v>
      </c>
      <c r="E1729" s="2">
        <v>5.69</v>
      </c>
      <c r="F1729" s="3">
        <v>12.73</v>
      </c>
      <c r="G1729" s="4">
        <v>100.18</v>
      </c>
      <c r="H1729">
        <v>2</v>
      </c>
      <c r="I1729" s="4">
        <v>200.36</v>
      </c>
      <c r="J1729">
        <v>3.7</v>
      </c>
      <c r="K1729" t="s">
        <v>30</v>
      </c>
      <c r="L1729" t="s">
        <v>16</v>
      </c>
      <c r="O1729"/>
    </row>
    <row r="1730" spans="1:15" x14ac:dyDescent="0.3">
      <c r="A1730" t="s">
        <v>1754</v>
      </c>
      <c r="B1730" s="1">
        <v>45714</v>
      </c>
      <c r="C1730" t="s">
        <v>13</v>
      </c>
      <c r="D1730" t="s">
        <v>22</v>
      </c>
      <c r="E1730" s="2">
        <v>20.12</v>
      </c>
      <c r="F1730" s="3">
        <v>77.040000000000006</v>
      </c>
      <c r="G1730" s="4">
        <v>219.33</v>
      </c>
      <c r="H1730">
        <v>1.2</v>
      </c>
      <c r="I1730" s="4">
        <v>263.2</v>
      </c>
      <c r="J1730">
        <v>3.2</v>
      </c>
      <c r="K1730" t="s">
        <v>36</v>
      </c>
      <c r="L1730" t="s">
        <v>16</v>
      </c>
      <c r="O1730"/>
    </row>
    <row r="1731" spans="1:15" x14ac:dyDescent="0.3">
      <c r="A1731" t="s">
        <v>1755</v>
      </c>
      <c r="B1731" s="1">
        <v>46010</v>
      </c>
      <c r="C1731" t="s">
        <v>25</v>
      </c>
      <c r="D1731" t="s">
        <v>13</v>
      </c>
      <c r="E1731" s="2">
        <v>18.36</v>
      </c>
      <c r="F1731" s="3">
        <v>47.46</v>
      </c>
      <c r="G1731" s="4">
        <v>309.16000000000003</v>
      </c>
      <c r="H1731">
        <v>1.5</v>
      </c>
      <c r="I1731" s="4">
        <v>463.74</v>
      </c>
      <c r="J1731">
        <v>4.7</v>
      </c>
      <c r="K1731" t="s">
        <v>33</v>
      </c>
      <c r="L1731" t="s">
        <v>26</v>
      </c>
      <c r="O1731"/>
    </row>
    <row r="1732" spans="1:15" x14ac:dyDescent="0.3">
      <c r="A1732" t="s">
        <v>1756</v>
      </c>
      <c r="B1732" s="1">
        <v>45744</v>
      </c>
      <c r="C1732" t="s">
        <v>13</v>
      </c>
      <c r="D1732" t="s">
        <v>22</v>
      </c>
      <c r="E1732" s="2">
        <v>16.47</v>
      </c>
      <c r="F1732" s="3">
        <v>36.28</v>
      </c>
      <c r="G1732" s="4">
        <v>308.41000000000003</v>
      </c>
      <c r="H1732">
        <v>1.2</v>
      </c>
      <c r="I1732" s="4">
        <v>370.09</v>
      </c>
      <c r="J1732">
        <v>4.0999999999999996</v>
      </c>
      <c r="K1732" t="s">
        <v>33</v>
      </c>
      <c r="L1732" t="s">
        <v>19</v>
      </c>
      <c r="O1732"/>
    </row>
    <row r="1733" spans="1:15" x14ac:dyDescent="0.3">
      <c r="A1733" t="s">
        <v>1757</v>
      </c>
      <c r="B1733" s="1">
        <v>45823</v>
      </c>
      <c r="C1733" t="s">
        <v>13</v>
      </c>
      <c r="D1733" t="s">
        <v>14</v>
      </c>
      <c r="E1733" s="2">
        <v>11.67</v>
      </c>
      <c r="F1733" s="3">
        <v>26.26</v>
      </c>
      <c r="G1733" s="4">
        <v>121.54</v>
      </c>
      <c r="H1733">
        <v>2</v>
      </c>
      <c r="I1733" s="4">
        <v>243.08</v>
      </c>
      <c r="J1733">
        <v>4.4000000000000004</v>
      </c>
      <c r="K1733" t="s">
        <v>30</v>
      </c>
      <c r="L1733" t="s">
        <v>16</v>
      </c>
      <c r="O1733"/>
    </row>
    <row r="1734" spans="1:15" x14ac:dyDescent="0.3">
      <c r="A1734" t="s">
        <v>1758</v>
      </c>
      <c r="B1734" s="1">
        <v>45903</v>
      </c>
      <c r="C1734" t="s">
        <v>25</v>
      </c>
      <c r="D1734" t="s">
        <v>25</v>
      </c>
      <c r="E1734" s="2">
        <v>17.25</v>
      </c>
      <c r="F1734" s="3">
        <v>35.25</v>
      </c>
      <c r="G1734" s="4">
        <v>262.3</v>
      </c>
      <c r="H1734">
        <v>1.2</v>
      </c>
      <c r="I1734" s="4">
        <v>314.76</v>
      </c>
      <c r="J1734">
        <v>3.2</v>
      </c>
      <c r="K1734" t="s">
        <v>18</v>
      </c>
      <c r="L1734" t="s">
        <v>26</v>
      </c>
      <c r="O1734"/>
    </row>
    <row r="1735" spans="1:15" x14ac:dyDescent="0.3">
      <c r="A1735" t="s">
        <v>1759</v>
      </c>
      <c r="B1735" s="1">
        <v>45738</v>
      </c>
      <c r="C1735" t="s">
        <v>21</v>
      </c>
      <c r="D1735" t="s">
        <v>21</v>
      </c>
      <c r="E1735" s="2">
        <v>21.37</v>
      </c>
      <c r="F1735" s="3">
        <v>69.84</v>
      </c>
      <c r="G1735" s="4">
        <v>424.12</v>
      </c>
      <c r="H1735">
        <v>1.2</v>
      </c>
      <c r="I1735" s="4">
        <v>508.94</v>
      </c>
      <c r="J1735">
        <v>3.6</v>
      </c>
      <c r="K1735" t="s">
        <v>15</v>
      </c>
      <c r="L1735" t="s">
        <v>19</v>
      </c>
      <c r="O1735"/>
    </row>
    <row r="1736" spans="1:15" x14ac:dyDescent="0.3">
      <c r="A1736" t="s">
        <v>1760</v>
      </c>
      <c r="B1736" s="1">
        <v>45935</v>
      </c>
      <c r="C1736" t="s">
        <v>22</v>
      </c>
      <c r="D1736" t="s">
        <v>25</v>
      </c>
      <c r="E1736" s="2">
        <v>13.32</v>
      </c>
      <c r="F1736" s="3">
        <v>37.75</v>
      </c>
      <c r="G1736" s="4">
        <v>221.62</v>
      </c>
      <c r="H1736">
        <v>1.2</v>
      </c>
      <c r="I1736" s="4">
        <v>265.94</v>
      </c>
      <c r="J1736">
        <v>3.8</v>
      </c>
      <c r="K1736" t="s">
        <v>15</v>
      </c>
      <c r="L1736" t="s">
        <v>19</v>
      </c>
      <c r="O1736"/>
    </row>
    <row r="1737" spans="1:15" x14ac:dyDescent="0.3">
      <c r="A1737" t="s">
        <v>1761</v>
      </c>
      <c r="B1737" s="1">
        <v>46007</v>
      </c>
      <c r="C1737" t="s">
        <v>13</v>
      </c>
      <c r="D1737" t="s">
        <v>14</v>
      </c>
      <c r="E1737" s="2">
        <v>13.54</v>
      </c>
      <c r="F1737" s="3">
        <v>53.94</v>
      </c>
      <c r="G1737" s="4">
        <v>260.99</v>
      </c>
      <c r="H1737">
        <v>2</v>
      </c>
      <c r="I1737" s="4">
        <v>521.98</v>
      </c>
      <c r="J1737">
        <v>4.0999999999999996</v>
      </c>
      <c r="K1737" t="s">
        <v>36</v>
      </c>
      <c r="L1737" t="s">
        <v>26</v>
      </c>
      <c r="O1737"/>
    </row>
    <row r="1738" spans="1:15" x14ac:dyDescent="0.3">
      <c r="A1738" t="s">
        <v>1762</v>
      </c>
      <c r="B1738" s="1">
        <v>45899</v>
      </c>
      <c r="C1738" t="s">
        <v>22</v>
      </c>
      <c r="D1738" t="s">
        <v>25</v>
      </c>
      <c r="E1738" s="2">
        <v>25.35</v>
      </c>
      <c r="F1738" s="3">
        <v>101.26</v>
      </c>
      <c r="G1738" s="4">
        <v>327.68</v>
      </c>
      <c r="H1738">
        <v>1</v>
      </c>
      <c r="I1738" s="4">
        <v>327.68</v>
      </c>
      <c r="J1738">
        <v>4.7</v>
      </c>
      <c r="K1738" t="s">
        <v>36</v>
      </c>
      <c r="L1738" t="s">
        <v>28</v>
      </c>
      <c r="O1738"/>
    </row>
    <row r="1739" spans="1:15" x14ac:dyDescent="0.3">
      <c r="A1739" t="s">
        <v>1763</v>
      </c>
      <c r="B1739" s="1">
        <v>46015</v>
      </c>
      <c r="C1739" t="s">
        <v>21</v>
      </c>
      <c r="D1739" t="s">
        <v>22</v>
      </c>
      <c r="E1739" s="2">
        <v>21.62</v>
      </c>
      <c r="F1739" s="3">
        <v>56.02</v>
      </c>
      <c r="G1739" s="4">
        <v>341.82</v>
      </c>
      <c r="H1739">
        <v>1.5</v>
      </c>
      <c r="I1739" s="4">
        <v>512.73</v>
      </c>
      <c r="J1739">
        <v>4.7</v>
      </c>
      <c r="K1739" t="s">
        <v>36</v>
      </c>
      <c r="L1739" t="s">
        <v>19</v>
      </c>
      <c r="O1739"/>
    </row>
    <row r="1740" spans="1:15" x14ac:dyDescent="0.3">
      <c r="A1740" t="s">
        <v>1764</v>
      </c>
      <c r="B1740" s="1">
        <v>45849</v>
      </c>
      <c r="C1740" t="s">
        <v>25</v>
      </c>
      <c r="D1740" t="s">
        <v>25</v>
      </c>
      <c r="E1740" s="2">
        <v>22.51</v>
      </c>
      <c r="F1740" s="3">
        <v>78.2</v>
      </c>
      <c r="G1740" s="4">
        <v>265.17</v>
      </c>
      <c r="H1740">
        <v>1.2</v>
      </c>
      <c r="I1740" s="4">
        <v>318.2</v>
      </c>
      <c r="J1740">
        <v>3.5</v>
      </c>
      <c r="K1740" t="s">
        <v>15</v>
      </c>
      <c r="L1740" t="s">
        <v>26</v>
      </c>
      <c r="O1740"/>
    </row>
    <row r="1741" spans="1:15" x14ac:dyDescent="0.3">
      <c r="A1741" t="s">
        <v>1765</v>
      </c>
      <c r="B1741" s="1">
        <v>45798</v>
      </c>
      <c r="C1741" t="s">
        <v>21</v>
      </c>
      <c r="D1741" t="s">
        <v>25</v>
      </c>
      <c r="E1741" s="2">
        <v>27.98</v>
      </c>
      <c r="F1741" s="3">
        <v>76.37</v>
      </c>
      <c r="G1741" s="4">
        <v>519.77</v>
      </c>
      <c r="H1741">
        <v>1</v>
      </c>
      <c r="I1741" s="4">
        <v>519.77</v>
      </c>
      <c r="J1741">
        <v>4.5</v>
      </c>
      <c r="K1741" t="s">
        <v>18</v>
      </c>
      <c r="L1741" t="s">
        <v>19</v>
      </c>
      <c r="O1741"/>
    </row>
    <row r="1742" spans="1:15" x14ac:dyDescent="0.3">
      <c r="A1742" t="s">
        <v>1766</v>
      </c>
      <c r="B1742" s="1">
        <v>45822</v>
      </c>
      <c r="C1742" t="s">
        <v>13</v>
      </c>
      <c r="D1742" t="s">
        <v>22</v>
      </c>
      <c r="E1742" s="2">
        <v>4.0999999999999996</v>
      </c>
      <c r="F1742" s="3">
        <v>13.61</v>
      </c>
      <c r="G1742" s="4">
        <v>75.28</v>
      </c>
      <c r="H1742">
        <v>1.2</v>
      </c>
      <c r="I1742" s="4">
        <v>90.34</v>
      </c>
      <c r="J1742">
        <v>4.5999999999999996</v>
      </c>
      <c r="K1742" t="s">
        <v>36</v>
      </c>
      <c r="L1742" t="s">
        <v>28</v>
      </c>
      <c r="O1742"/>
    </row>
    <row r="1743" spans="1:15" x14ac:dyDescent="0.3">
      <c r="A1743" t="s">
        <v>1767</v>
      </c>
      <c r="B1743" s="1">
        <v>45808</v>
      </c>
      <c r="C1743" t="s">
        <v>22</v>
      </c>
      <c r="D1743" t="s">
        <v>13</v>
      </c>
      <c r="E1743" s="2">
        <v>2.31</v>
      </c>
      <c r="F1743" s="3">
        <v>8.93</v>
      </c>
      <c r="G1743" s="4">
        <v>39.4</v>
      </c>
      <c r="H1743">
        <v>1.2</v>
      </c>
      <c r="I1743" s="4">
        <v>47.28</v>
      </c>
      <c r="J1743">
        <v>3.9</v>
      </c>
      <c r="K1743" t="s">
        <v>36</v>
      </c>
      <c r="L1743" t="s">
        <v>19</v>
      </c>
      <c r="O1743"/>
    </row>
    <row r="1744" spans="1:15" x14ac:dyDescent="0.3">
      <c r="A1744" t="s">
        <v>1768</v>
      </c>
      <c r="B1744" s="1">
        <v>45884</v>
      </c>
      <c r="C1744" t="s">
        <v>21</v>
      </c>
      <c r="D1744" t="s">
        <v>13</v>
      </c>
      <c r="E1744" s="2">
        <v>22.89</v>
      </c>
      <c r="F1744" s="3">
        <v>60.86</v>
      </c>
      <c r="G1744" s="4">
        <v>260.54000000000002</v>
      </c>
      <c r="H1744">
        <v>1</v>
      </c>
      <c r="I1744" s="4">
        <v>260.54000000000002</v>
      </c>
      <c r="J1744">
        <v>4.7</v>
      </c>
      <c r="K1744" t="s">
        <v>33</v>
      </c>
      <c r="L1744" t="s">
        <v>28</v>
      </c>
      <c r="O1744"/>
    </row>
    <row r="1745" spans="1:15" x14ac:dyDescent="0.3">
      <c r="A1745" t="s">
        <v>1769</v>
      </c>
      <c r="B1745" s="1">
        <v>46009</v>
      </c>
      <c r="C1745" t="s">
        <v>22</v>
      </c>
      <c r="D1745" t="s">
        <v>22</v>
      </c>
      <c r="E1745" s="2">
        <v>2.2000000000000002</v>
      </c>
      <c r="F1745" s="3">
        <v>6.07</v>
      </c>
      <c r="G1745" s="4">
        <v>22.76</v>
      </c>
      <c r="H1745">
        <v>1</v>
      </c>
      <c r="I1745" s="4">
        <v>22.76</v>
      </c>
      <c r="J1745">
        <v>4</v>
      </c>
      <c r="K1745" t="s">
        <v>33</v>
      </c>
      <c r="L1745" t="s">
        <v>19</v>
      </c>
      <c r="O1745"/>
    </row>
    <row r="1746" spans="1:15" x14ac:dyDescent="0.3">
      <c r="A1746" t="s">
        <v>1770</v>
      </c>
      <c r="B1746" s="1">
        <v>45809</v>
      </c>
      <c r="C1746" t="s">
        <v>14</v>
      </c>
      <c r="D1746" t="s">
        <v>14</v>
      </c>
      <c r="E1746" s="2">
        <v>26.34</v>
      </c>
      <c r="F1746" s="3">
        <v>58.99</v>
      </c>
      <c r="G1746" s="4">
        <v>382.22</v>
      </c>
      <c r="H1746">
        <v>1</v>
      </c>
      <c r="I1746" s="4">
        <v>382.22</v>
      </c>
      <c r="J1746">
        <v>3.2</v>
      </c>
      <c r="K1746" t="s">
        <v>33</v>
      </c>
      <c r="L1746" t="s">
        <v>19</v>
      </c>
      <c r="O1746"/>
    </row>
    <row r="1747" spans="1:15" x14ac:dyDescent="0.3">
      <c r="A1747" t="s">
        <v>1771</v>
      </c>
      <c r="B1747" s="1">
        <v>45807</v>
      </c>
      <c r="C1747" t="s">
        <v>14</v>
      </c>
      <c r="D1747" t="s">
        <v>22</v>
      </c>
      <c r="E1747" s="2">
        <v>11.97</v>
      </c>
      <c r="F1747" s="3">
        <v>37.74</v>
      </c>
      <c r="G1747" s="4">
        <v>214.5</v>
      </c>
      <c r="H1747">
        <v>1.5</v>
      </c>
      <c r="I1747" s="4">
        <v>321.75</v>
      </c>
      <c r="J1747">
        <v>3.2</v>
      </c>
      <c r="K1747" t="s">
        <v>36</v>
      </c>
      <c r="L1747" t="s">
        <v>19</v>
      </c>
      <c r="O1747"/>
    </row>
    <row r="1748" spans="1:15" x14ac:dyDescent="0.3">
      <c r="A1748" t="s">
        <v>1772</v>
      </c>
      <c r="B1748" s="1">
        <v>45808</v>
      </c>
      <c r="C1748" t="s">
        <v>22</v>
      </c>
      <c r="D1748" t="s">
        <v>14</v>
      </c>
      <c r="E1748" s="2">
        <v>4.93</v>
      </c>
      <c r="F1748" s="3">
        <v>12.73</v>
      </c>
      <c r="G1748" s="4">
        <v>56.43</v>
      </c>
      <c r="H1748">
        <v>1</v>
      </c>
      <c r="I1748" s="4">
        <v>56.43</v>
      </c>
      <c r="J1748">
        <v>3.9</v>
      </c>
      <c r="K1748" t="s">
        <v>33</v>
      </c>
      <c r="L1748" t="s">
        <v>19</v>
      </c>
      <c r="O1748"/>
    </row>
    <row r="1749" spans="1:15" x14ac:dyDescent="0.3">
      <c r="A1749" t="s">
        <v>1773</v>
      </c>
      <c r="B1749" s="1">
        <v>45778</v>
      </c>
      <c r="C1749" t="s">
        <v>21</v>
      </c>
      <c r="D1749" t="s">
        <v>21</v>
      </c>
      <c r="E1749" s="2">
        <v>21.8</v>
      </c>
      <c r="F1749" s="3">
        <v>84.73</v>
      </c>
      <c r="G1749" s="4">
        <v>333.05</v>
      </c>
      <c r="H1749">
        <v>1.5</v>
      </c>
      <c r="I1749" s="4">
        <v>499.58</v>
      </c>
      <c r="J1749">
        <v>3.5</v>
      </c>
      <c r="K1749" t="s">
        <v>33</v>
      </c>
      <c r="L1749" t="s">
        <v>26</v>
      </c>
      <c r="O1749"/>
    </row>
    <row r="1750" spans="1:15" x14ac:dyDescent="0.3">
      <c r="A1750" t="s">
        <v>1774</v>
      </c>
      <c r="B1750" s="1">
        <v>45769</v>
      </c>
      <c r="C1750" t="s">
        <v>14</v>
      </c>
      <c r="D1750" t="s">
        <v>25</v>
      </c>
      <c r="E1750" s="2">
        <v>10.45</v>
      </c>
      <c r="F1750" s="3">
        <v>30.84</v>
      </c>
      <c r="G1750" s="4">
        <v>167.49</v>
      </c>
      <c r="H1750">
        <v>1.5</v>
      </c>
      <c r="I1750" s="4">
        <v>251.24</v>
      </c>
      <c r="J1750">
        <v>4.3</v>
      </c>
      <c r="K1750" t="s">
        <v>36</v>
      </c>
      <c r="L1750" t="s">
        <v>26</v>
      </c>
      <c r="O1750"/>
    </row>
    <row r="1751" spans="1:15" x14ac:dyDescent="0.3">
      <c r="A1751" t="s">
        <v>1775</v>
      </c>
      <c r="B1751" s="1">
        <v>45712</v>
      </c>
      <c r="C1751" t="s">
        <v>21</v>
      </c>
      <c r="D1751" t="s">
        <v>13</v>
      </c>
      <c r="E1751" s="2">
        <v>26</v>
      </c>
      <c r="F1751" s="3">
        <v>98.23</v>
      </c>
      <c r="G1751" s="4">
        <v>381.64</v>
      </c>
      <c r="H1751">
        <v>1</v>
      </c>
      <c r="I1751" s="4">
        <v>381.64</v>
      </c>
      <c r="J1751">
        <v>4.8</v>
      </c>
      <c r="K1751" t="s">
        <v>33</v>
      </c>
      <c r="L1751" t="s">
        <v>28</v>
      </c>
      <c r="O1751"/>
    </row>
    <row r="1752" spans="1:15" x14ac:dyDescent="0.3">
      <c r="A1752" t="s">
        <v>1776</v>
      </c>
      <c r="B1752" s="1">
        <v>45817</v>
      </c>
      <c r="C1752" t="s">
        <v>14</v>
      </c>
      <c r="D1752" t="s">
        <v>25</v>
      </c>
      <c r="E1752" s="2">
        <v>12.4</v>
      </c>
      <c r="F1752" s="3">
        <v>48.65</v>
      </c>
      <c r="G1752" s="4">
        <v>175.56</v>
      </c>
      <c r="H1752">
        <v>1.5</v>
      </c>
      <c r="I1752" s="4">
        <v>263.33999999999997</v>
      </c>
      <c r="J1752">
        <v>4.4000000000000004</v>
      </c>
      <c r="K1752" t="s">
        <v>18</v>
      </c>
      <c r="L1752" t="s">
        <v>16</v>
      </c>
      <c r="O1752"/>
    </row>
    <row r="1753" spans="1:15" x14ac:dyDescent="0.3">
      <c r="A1753" t="s">
        <v>1777</v>
      </c>
      <c r="B1753" s="1">
        <v>45712</v>
      </c>
      <c r="C1753" t="s">
        <v>21</v>
      </c>
      <c r="D1753" t="s">
        <v>22</v>
      </c>
      <c r="E1753" s="2">
        <v>28.57</v>
      </c>
      <c r="F1753" s="3">
        <v>71.12</v>
      </c>
      <c r="G1753" s="4">
        <v>498.87</v>
      </c>
      <c r="H1753">
        <v>1.5</v>
      </c>
      <c r="I1753" s="4">
        <v>748.3</v>
      </c>
      <c r="J1753">
        <v>4.4000000000000004</v>
      </c>
      <c r="K1753" t="s">
        <v>33</v>
      </c>
      <c r="L1753" t="s">
        <v>26</v>
      </c>
      <c r="O1753"/>
    </row>
    <row r="1754" spans="1:15" x14ac:dyDescent="0.3">
      <c r="A1754" t="s">
        <v>1778</v>
      </c>
      <c r="B1754" s="1">
        <v>45795</v>
      </c>
      <c r="C1754" t="s">
        <v>14</v>
      </c>
      <c r="D1754" t="s">
        <v>21</v>
      </c>
      <c r="E1754" s="2">
        <v>23.52</v>
      </c>
      <c r="F1754" s="3">
        <v>73.02</v>
      </c>
      <c r="G1754" s="4">
        <v>390.66</v>
      </c>
      <c r="H1754">
        <v>1.2</v>
      </c>
      <c r="I1754" s="4">
        <v>468.79</v>
      </c>
      <c r="J1754">
        <v>4.5999999999999996</v>
      </c>
      <c r="K1754" t="s">
        <v>18</v>
      </c>
      <c r="L1754" t="s">
        <v>16</v>
      </c>
      <c r="O1754"/>
    </row>
    <row r="1755" spans="1:15" x14ac:dyDescent="0.3">
      <c r="A1755" t="s">
        <v>1779</v>
      </c>
      <c r="B1755" s="1">
        <v>45684</v>
      </c>
      <c r="C1755" t="s">
        <v>21</v>
      </c>
      <c r="D1755" t="s">
        <v>21</v>
      </c>
      <c r="E1755" s="2">
        <v>18.899999999999999</v>
      </c>
      <c r="F1755" s="3">
        <v>53.11</v>
      </c>
      <c r="G1755" s="4">
        <v>226.49</v>
      </c>
      <c r="H1755">
        <v>1</v>
      </c>
      <c r="I1755" s="4">
        <v>226.49</v>
      </c>
      <c r="J1755">
        <v>3.1</v>
      </c>
      <c r="K1755" t="s">
        <v>36</v>
      </c>
      <c r="L1755" t="s">
        <v>19</v>
      </c>
      <c r="O1755"/>
    </row>
    <row r="1756" spans="1:15" x14ac:dyDescent="0.3">
      <c r="A1756" t="s">
        <v>1780</v>
      </c>
      <c r="B1756" s="1">
        <v>45678</v>
      </c>
      <c r="C1756" t="s">
        <v>22</v>
      </c>
      <c r="D1756" t="s">
        <v>21</v>
      </c>
      <c r="E1756" s="2">
        <v>22.28</v>
      </c>
      <c r="F1756" s="3">
        <v>62.88</v>
      </c>
      <c r="G1756" s="4">
        <v>301.92</v>
      </c>
      <c r="H1756">
        <v>1</v>
      </c>
      <c r="I1756" s="4">
        <v>301.92</v>
      </c>
      <c r="J1756">
        <v>3.1</v>
      </c>
      <c r="K1756" t="s">
        <v>15</v>
      </c>
      <c r="L1756" t="s">
        <v>19</v>
      </c>
      <c r="O1756"/>
    </row>
    <row r="1757" spans="1:15" x14ac:dyDescent="0.3">
      <c r="A1757" t="s">
        <v>1781</v>
      </c>
      <c r="B1757" s="1">
        <v>45915</v>
      </c>
      <c r="C1757" t="s">
        <v>21</v>
      </c>
      <c r="D1757" t="s">
        <v>21</v>
      </c>
      <c r="E1757" s="2">
        <v>16.78</v>
      </c>
      <c r="F1757" s="3">
        <v>51.8</v>
      </c>
      <c r="G1757" s="4">
        <v>251.22</v>
      </c>
      <c r="H1757">
        <v>1.2</v>
      </c>
      <c r="I1757" s="4">
        <v>301.45999999999998</v>
      </c>
      <c r="J1757">
        <v>4.5999999999999996</v>
      </c>
      <c r="K1757" t="s">
        <v>36</v>
      </c>
      <c r="L1757" t="s">
        <v>19</v>
      </c>
      <c r="O1757"/>
    </row>
    <row r="1758" spans="1:15" x14ac:dyDescent="0.3">
      <c r="A1758" t="s">
        <v>1782</v>
      </c>
      <c r="B1758" s="1">
        <v>45725</v>
      </c>
      <c r="C1758" t="s">
        <v>21</v>
      </c>
      <c r="D1758" t="s">
        <v>13</v>
      </c>
      <c r="E1758" s="2">
        <v>5.9</v>
      </c>
      <c r="F1758" s="3">
        <v>13.29</v>
      </c>
      <c r="G1758" s="4">
        <v>114.03</v>
      </c>
      <c r="H1758">
        <v>1</v>
      </c>
      <c r="I1758" s="4">
        <v>114.03</v>
      </c>
      <c r="J1758">
        <v>3.6</v>
      </c>
      <c r="K1758" t="s">
        <v>15</v>
      </c>
      <c r="L1758" t="s">
        <v>26</v>
      </c>
      <c r="O1758"/>
    </row>
    <row r="1759" spans="1:15" x14ac:dyDescent="0.3">
      <c r="A1759" t="s">
        <v>1783</v>
      </c>
      <c r="B1759" s="1">
        <v>45781</v>
      </c>
      <c r="C1759" t="s">
        <v>14</v>
      </c>
      <c r="D1759" t="s">
        <v>25</v>
      </c>
      <c r="E1759" s="2">
        <v>12.65</v>
      </c>
      <c r="F1759" s="3">
        <v>48.3</v>
      </c>
      <c r="G1759" s="4">
        <v>207.2</v>
      </c>
      <c r="H1759">
        <v>1.5</v>
      </c>
      <c r="I1759" s="4">
        <v>310.8</v>
      </c>
      <c r="J1759">
        <v>3.7</v>
      </c>
      <c r="K1759" t="s">
        <v>15</v>
      </c>
      <c r="L1759" t="s">
        <v>26</v>
      </c>
      <c r="O1759"/>
    </row>
    <row r="1760" spans="1:15" x14ac:dyDescent="0.3">
      <c r="A1760" t="s">
        <v>1784</v>
      </c>
      <c r="B1760" s="1">
        <v>45930</v>
      </c>
      <c r="C1760" t="s">
        <v>14</v>
      </c>
      <c r="D1760" t="s">
        <v>22</v>
      </c>
      <c r="E1760" s="2">
        <v>28.84</v>
      </c>
      <c r="F1760" s="3">
        <v>105</v>
      </c>
      <c r="G1760" s="4">
        <v>534.67999999999995</v>
      </c>
      <c r="H1760">
        <v>1.5</v>
      </c>
      <c r="I1760" s="4">
        <v>802.02</v>
      </c>
      <c r="J1760">
        <v>3.7</v>
      </c>
      <c r="K1760" t="s">
        <v>18</v>
      </c>
      <c r="L1760" t="s">
        <v>28</v>
      </c>
      <c r="O1760"/>
    </row>
    <row r="1761" spans="1:15" x14ac:dyDescent="0.3">
      <c r="A1761" t="s">
        <v>1785</v>
      </c>
      <c r="B1761" s="1">
        <v>46022</v>
      </c>
      <c r="C1761" t="s">
        <v>22</v>
      </c>
      <c r="D1761" t="s">
        <v>14</v>
      </c>
      <c r="E1761" s="2">
        <v>9.2799999999999994</v>
      </c>
      <c r="F1761" s="3">
        <v>23.59</v>
      </c>
      <c r="G1761" s="4">
        <v>172.18</v>
      </c>
      <c r="H1761">
        <v>2</v>
      </c>
      <c r="I1761" s="4">
        <v>344.36</v>
      </c>
      <c r="J1761">
        <v>4.5</v>
      </c>
      <c r="K1761" t="s">
        <v>15</v>
      </c>
      <c r="L1761" t="s">
        <v>28</v>
      </c>
      <c r="O1761"/>
    </row>
    <row r="1762" spans="1:15" x14ac:dyDescent="0.3">
      <c r="A1762" t="s">
        <v>1786</v>
      </c>
      <c r="B1762" s="1">
        <v>45930</v>
      </c>
      <c r="C1762" t="s">
        <v>13</v>
      </c>
      <c r="D1762" t="s">
        <v>13</v>
      </c>
      <c r="E1762" s="2">
        <v>8.94</v>
      </c>
      <c r="F1762" s="3">
        <v>21.45</v>
      </c>
      <c r="G1762" s="4">
        <v>110.13</v>
      </c>
      <c r="H1762">
        <v>1.5</v>
      </c>
      <c r="I1762" s="4">
        <v>165.2</v>
      </c>
      <c r="J1762">
        <v>4.9000000000000004</v>
      </c>
      <c r="K1762" t="s">
        <v>15</v>
      </c>
      <c r="L1762" t="s">
        <v>26</v>
      </c>
      <c r="O1762"/>
    </row>
    <row r="1763" spans="1:15" x14ac:dyDescent="0.3">
      <c r="A1763" t="s">
        <v>1787</v>
      </c>
      <c r="B1763" s="1">
        <v>45660</v>
      </c>
      <c r="C1763" t="s">
        <v>13</v>
      </c>
      <c r="D1763" t="s">
        <v>13</v>
      </c>
      <c r="E1763" s="2">
        <v>13.45</v>
      </c>
      <c r="F1763" s="3">
        <v>37.869999999999997</v>
      </c>
      <c r="G1763" s="4">
        <v>149.83000000000001</v>
      </c>
      <c r="H1763">
        <v>1</v>
      </c>
      <c r="I1763" s="4">
        <v>149.83000000000001</v>
      </c>
      <c r="J1763">
        <v>4.3</v>
      </c>
      <c r="K1763" t="s">
        <v>33</v>
      </c>
      <c r="L1763" t="s">
        <v>16</v>
      </c>
      <c r="O1763"/>
    </row>
    <row r="1764" spans="1:15" x14ac:dyDescent="0.3">
      <c r="A1764" t="s">
        <v>1788</v>
      </c>
      <c r="B1764" s="1">
        <v>45794</v>
      </c>
      <c r="C1764" t="s">
        <v>25</v>
      </c>
      <c r="D1764" t="s">
        <v>14</v>
      </c>
      <c r="E1764" s="2">
        <v>21.91</v>
      </c>
      <c r="F1764" s="3">
        <v>75.739999999999995</v>
      </c>
      <c r="G1764" s="4">
        <v>219.11</v>
      </c>
      <c r="H1764">
        <v>1</v>
      </c>
      <c r="I1764" s="4">
        <v>219.11</v>
      </c>
      <c r="J1764">
        <v>5</v>
      </c>
      <c r="K1764" t="s">
        <v>30</v>
      </c>
      <c r="L1764" t="s">
        <v>19</v>
      </c>
      <c r="O1764"/>
    </row>
    <row r="1765" spans="1:15" x14ac:dyDescent="0.3">
      <c r="A1765" t="s">
        <v>1789</v>
      </c>
      <c r="B1765" s="1">
        <v>45704</v>
      </c>
      <c r="C1765" t="s">
        <v>22</v>
      </c>
      <c r="D1765" t="s">
        <v>21</v>
      </c>
      <c r="E1765" s="2">
        <v>14.62</v>
      </c>
      <c r="F1765" s="3">
        <v>45.46</v>
      </c>
      <c r="G1765" s="4">
        <v>269.47000000000003</v>
      </c>
      <c r="H1765">
        <v>1</v>
      </c>
      <c r="I1765" s="4">
        <v>269.47000000000003</v>
      </c>
      <c r="J1765">
        <v>4.7</v>
      </c>
      <c r="K1765" t="s">
        <v>33</v>
      </c>
      <c r="L1765" t="s">
        <v>28</v>
      </c>
      <c r="O1765"/>
    </row>
    <row r="1766" spans="1:15" x14ac:dyDescent="0.3">
      <c r="A1766" t="s">
        <v>1790</v>
      </c>
      <c r="B1766" s="1">
        <v>45812</v>
      </c>
      <c r="C1766" t="s">
        <v>21</v>
      </c>
      <c r="D1766" t="s">
        <v>22</v>
      </c>
      <c r="E1766" s="2">
        <v>25.02</v>
      </c>
      <c r="F1766" s="3">
        <v>76.95</v>
      </c>
      <c r="G1766" s="4">
        <v>288.49</v>
      </c>
      <c r="H1766">
        <v>1.2</v>
      </c>
      <c r="I1766" s="4">
        <v>346.19</v>
      </c>
      <c r="J1766">
        <v>4.0999999999999996</v>
      </c>
      <c r="K1766" t="s">
        <v>15</v>
      </c>
      <c r="L1766" t="s">
        <v>16</v>
      </c>
      <c r="O1766"/>
    </row>
    <row r="1767" spans="1:15" x14ac:dyDescent="0.3">
      <c r="A1767" t="s">
        <v>1791</v>
      </c>
      <c r="B1767" s="1">
        <v>46008</v>
      </c>
      <c r="C1767" t="s">
        <v>25</v>
      </c>
      <c r="D1767" t="s">
        <v>14</v>
      </c>
      <c r="E1767" s="2">
        <v>26.43</v>
      </c>
      <c r="F1767" s="3">
        <v>59.52</v>
      </c>
      <c r="G1767" s="4">
        <v>495.62</v>
      </c>
      <c r="H1767">
        <v>1.2</v>
      </c>
      <c r="I1767" s="4">
        <v>594.74</v>
      </c>
      <c r="J1767">
        <v>4.9000000000000004</v>
      </c>
      <c r="K1767" t="s">
        <v>15</v>
      </c>
      <c r="L1767" t="s">
        <v>26</v>
      </c>
      <c r="O1767"/>
    </row>
    <row r="1768" spans="1:15" x14ac:dyDescent="0.3">
      <c r="A1768" t="s">
        <v>1792</v>
      </c>
      <c r="B1768" s="1">
        <v>45767</v>
      </c>
      <c r="C1768" t="s">
        <v>13</v>
      </c>
      <c r="D1768" t="s">
        <v>25</v>
      </c>
      <c r="E1768" s="2">
        <v>15.53</v>
      </c>
      <c r="F1768" s="3">
        <v>52.4</v>
      </c>
      <c r="G1768" s="4">
        <v>278.27999999999997</v>
      </c>
      <c r="H1768">
        <v>2</v>
      </c>
      <c r="I1768" s="4">
        <v>556.55999999999995</v>
      </c>
      <c r="J1768">
        <v>3.5</v>
      </c>
      <c r="K1768" t="s">
        <v>30</v>
      </c>
      <c r="L1768" t="s">
        <v>28</v>
      </c>
      <c r="O1768"/>
    </row>
    <row r="1769" spans="1:15" x14ac:dyDescent="0.3">
      <c r="A1769" t="s">
        <v>1793</v>
      </c>
      <c r="B1769" s="1">
        <v>45667</v>
      </c>
      <c r="C1769" t="s">
        <v>21</v>
      </c>
      <c r="D1769" t="s">
        <v>13</v>
      </c>
      <c r="E1769" s="2">
        <v>28.32</v>
      </c>
      <c r="F1769" s="3">
        <v>60.28</v>
      </c>
      <c r="G1769" s="4">
        <v>397.15</v>
      </c>
      <c r="H1769">
        <v>2</v>
      </c>
      <c r="I1769" s="4">
        <v>794.3</v>
      </c>
      <c r="J1769">
        <v>4.2</v>
      </c>
      <c r="K1769" t="s">
        <v>15</v>
      </c>
      <c r="L1769" t="s">
        <v>26</v>
      </c>
      <c r="O1769"/>
    </row>
    <row r="1770" spans="1:15" x14ac:dyDescent="0.3">
      <c r="A1770" t="s">
        <v>1794</v>
      </c>
      <c r="B1770" s="1">
        <v>45681</v>
      </c>
      <c r="C1770" t="s">
        <v>14</v>
      </c>
      <c r="D1770" t="s">
        <v>13</v>
      </c>
      <c r="E1770" s="2">
        <v>14.09</v>
      </c>
      <c r="F1770" s="3">
        <v>35.14</v>
      </c>
      <c r="G1770" s="4">
        <v>252.19</v>
      </c>
      <c r="H1770">
        <v>2</v>
      </c>
      <c r="I1770" s="4">
        <v>504.38</v>
      </c>
      <c r="J1770">
        <v>3.2</v>
      </c>
      <c r="K1770" t="s">
        <v>30</v>
      </c>
      <c r="L1770" t="s">
        <v>28</v>
      </c>
      <c r="O1770"/>
    </row>
    <row r="1771" spans="1:15" x14ac:dyDescent="0.3">
      <c r="A1771" t="s">
        <v>1795</v>
      </c>
      <c r="B1771" s="1">
        <v>46012</v>
      </c>
      <c r="C1771" t="s">
        <v>21</v>
      </c>
      <c r="D1771" t="s">
        <v>13</v>
      </c>
      <c r="E1771" s="2">
        <v>12.38</v>
      </c>
      <c r="F1771" s="3">
        <v>31.97</v>
      </c>
      <c r="G1771" s="4">
        <v>225.65</v>
      </c>
      <c r="H1771">
        <v>1.5</v>
      </c>
      <c r="I1771" s="4">
        <v>338.48</v>
      </c>
      <c r="J1771">
        <v>4.9000000000000004</v>
      </c>
      <c r="K1771" t="s">
        <v>30</v>
      </c>
      <c r="L1771" t="s">
        <v>19</v>
      </c>
      <c r="O1771"/>
    </row>
    <row r="1772" spans="1:15" x14ac:dyDescent="0.3">
      <c r="A1772" t="s">
        <v>1796</v>
      </c>
      <c r="B1772" s="1">
        <v>45925</v>
      </c>
      <c r="C1772" t="s">
        <v>22</v>
      </c>
      <c r="D1772" t="s">
        <v>14</v>
      </c>
      <c r="E1772" s="2">
        <v>16.100000000000001</v>
      </c>
      <c r="F1772" s="3">
        <v>46.64</v>
      </c>
      <c r="G1772" s="4">
        <v>202.23</v>
      </c>
      <c r="H1772">
        <v>1</v>
      </c>
      <c r="I1772" s="4">
        <v>202.23</v>
      </c>
      <c r="J1772">
        <v>4</v>
      </c>
      <c r="K1772" t="s">
        <v>30</v>
      </c>
      <c r="L1772" t="s">
        <v>19</v>
      </c>
      <c r="O1772"/>
    </row>
    <row r="1773" spans="1:15" x14ac:dyDescent="0.3">
      <c r="A1773" t="s">
        <v>1797</v>
      </c>
      <c r="B1773" s="1">
        <v>45660</v>
      </c>
      <c r="C1773" t="s">
        <v>13</v>
      </c>
      <c r="D1773" t="s">
        <v>13</v>
      </c>
      <c r="E1773" s="2">
        <v>22.97</v>
      </c>
      <c r="F1773" s="3">
        <v>56.21</v>
      </c>
      <c r="G1773" s="4">
        <v>242.49</v>
      </c>
      <c r="H1773">
        <v>2</v>
      </c>
      <c r="I1773" s="4">
        <v>484.98</v>
      </c>
      <c r="J1773">
        <v>3.7</v>
      </c>
      <c r="K1773" t="s">
        <v>18</v>
      </c>
      <c r="L1773" t="s">
        <v>16</v>
      </c>
      <c r="O1773"/>
    </row>
    <row r="1774" spans="1:15" x14ac:dyDescent="0.3">
      <c r="A1774" t="s">
        <v>1798</v>
      </c>
      <c r="B1774" s="1">
        <v>45791</v>
      </c>
      <c r="C1774" t="s">
        <v>14</v>
      </c>
      <c r="D1774" t="s">
        <v>22</v>
      </c>
      <c r="E1774" s="2">
        <v>19.13</v>
      </c>
      <c r="F1774" s="3">
        <v>51.22</v>
      </c>
      <c r="G1774" s="4">
        <v>215.5</v>
      </c>
      <c r="H1774">
        <v>2</v>
      </c>
      <c r="I1774" s="4">
        <v>431</v>
      </c>
      <c r="J1774">
        <v>3.7</v>
      </c>
      <c r="K1774" t="s">
        <v>36</v>
      </c>
      <c r="L1774" t="s">
        <v>26</v>
      </c>
      <c r="O1774"/>
    </row>
    <row r="1775" spans="1:15" x14ac:dyDescent="0.3">
      <c r="A1775" t="s">
        <v>1799</v>
      </c>
      <c r="B1775" s="1">
        <v>45670</v>
      </c>
      <c r="C1775" t="s">
        <v>22</v>
      </c>
      <c r="D1775" t="s">
        <v>14</v>
      </c>
      <c r="E1775" s="2">
        <v>25.39</v>
      </c>
      <c r="F1775" s="3">
        <v>76.86</v>
      </c>
      <c r="G1775" s="4">
        <v>289.23</v>
      </c>
      <c r="H1775">
        <v>1.2</v>
      </c>
      <c r="I1775" s="4">
        <v>347.08</v>
      </c>
      <c r="J1775">
        <v>4.8</v>
      </c>
      <c r="K1775" t="s">
        <v>36</v>
      </c>
      <c r="L1775" t="s">
        <v>16</v>
      </c>
      <c r="O1775"/>
    </row>
    <row r="1776" spans="1:15" x14ac:dyDescent="0.3">
      <c r="A1776" t="s">
        <v>1800</v>
      </c>
      <c r="B1776" s="1">
        <v>45782</v>
      </c>
      <c r="C1776" t="s">
        <v>21</v>
      </c>
      <c r="D1776" t="s">
        <v>14</v>
      </c>
      <c r="E1776" s="2">
        <v>14.06</v>
      </c>
      <c r="F1776" s="3">
        <v>33.729999999999997</v>
      </c>
      <c r="G1776" s="4">
        <v>183.86</v>
      </c>
      <c r="H1776">
        <v>2</v>
      </c>
      <c r="I1776" s="4">
        <v>367.72</v>
      </c>
      <c r="J1776">
        <v>3.8</v>
      </c>
      <c r="K1776" t="s">
        <v>30</v>
      </c>
      <c r="L1776" t="s">
        <v>19</v>
      </c>
      <c r="O1776"/>
    </row>
    <row r="1777" spans="1:15" x14ac:dyDescent="0.3">
      <c r="A1777" t="s">
        <v>1801</v>
      </c>
      <c r="B1777" s="1">
        <v>45936</v>
      </c>
      <c r="C1777" t="s">
        <v>25</v>
      </c>
      <c r="D1777" t="s">
        <v>21</v>
      </c>
      <c r="E1777" s="2">
        <v>8.2100000000000009</v>
      </c>
      <c r="F1777" s="3">
        <v>21.41</v>
      </c>
      <c r="G1777" s="4">
        <v>145.38</v>
      </c>
      <c r="H1777">
        <v>1.5</v>
      </c>
      <c r="I1777" s="4">
        <v>218.07</v>
      </c>
      <c r="J1777">
        <v>4.5</v>
      </c>
      <c r="K1777" t="s">
        <v>36</v>
      </c>
      <c r="L1777" t="s">
        <v>19</v>
      </c>
      <c r="O1777"/>
    </row>
    <row r="1778" spans="1:15" x14ac:dyDescent="0.3">
      <c r="A1778" t="s">
        <v>1802</v>
      </c>
      <c r="B1778" s="1">
        <v>45695</v>
      </c>
      <c r="C1778" t="s">
        <v>25</v>
      </c>
      <c r="D1778" t="s">
        <v>22</v>
      </c>
      <c r="E1778" s="2">
        <v>5.9</v>
      </c>
      <c r="F1778" s="3">
        <v>20.94</v>
      </c>
      <c r="G1778" s="4">
        <v>66.650000000000006</v>
      </c>
      <c r="H1778">
        <v>1.5</v>
      </c>
      <c r="I1778" s="4">
        <v>99.98</v>
      </c>
      <c r="J1778">
        <v>4.5</v>
      </c>
      <c r="K1778" t="s">
        <v>30</v>
      </c>
      <c r="L1778" t="s">
        <v>28</v>
      </c>
      <c r="O1778"/>
    </row>
    <row r="1779" spans="1:15" x14ac:dyDescent="0.3">
      <c r="A1779" t="s">
        <v>1803</v>
      </c>
      <c r="B1779" s="1">
        <v>45916</v>
      </c>
      <c r="C1779" t="s">
        <v>13</v>
      </c>
      <c r="D1779" t="s">
        <v>22</v>
      </c>
      <c r="E1779" s="2">
        <v>10.59</v>
      </c>
      <c r="F1779" s="3">
        <v>24.96</v>
      </c>
      <c r="G1779" s="4">
        <v>186.95</v>
      </c>
      <c r="H1779">
        <v>1.5</v>
      </c>
      <c r="I1779" s="4">
        <v>280.42</v>
      </c>
      <c r="J1779">
        <v>3.6</v>
      </c>
      <c r="K1779" t="s">
        <v>33</v>
      </c>
      <c r="L1779" t="s">
        <v>28</v>
      </c>
      <c r="O1779"/>
    </row>
    <row r="1780" spans="1:15" x14ac:dyDescent="0.3">
      <c r="A1780" t="s">
        <v>1804</v>
      </c>
      <c r="B1780" s="1">
        <v>45790</v>
      </c>
      <c r="C1780" t="s">
        <v>22</v>
      </c>
      <c r="D1780" t="s">
        <v>13</v>
      </c>
      <c r="E1780" s="2">
        <v>28.76</v>
      </c>
      <c r="F1780" s="3">
        <v>75.819999999999993</v>
      </c>
      <c r="G1780" s="4">
        <v>350.76</v>
      </c>
      <c r="H1780">
        <v>2</v>
      </c>
      <c r="I1780" s="4">
        <v>701.52</v>
      </c>
      <c r="J1780">
        <v>4</v>
      </c>
      <c r="K1780" t="s">
        <v>18</v>
      </c>
      <c r="L1780" t="s">
        <v>16</v>
      </c>
      <c r="O1780"/>
    </row>
    <row r="1781" spans="1:15" x14ac:dyDescent="0.3">
      <c r="A1781" t="s">
        <v>1805</v>
      </c>
      <c r="B1781" s="1">
        <v>45673</v>
      </c>
      <c r="C1781" t="s">
        <v>14</v>
      </c>
      <c r="D1781" t="s">
        <v>13</v>
      </c>
      <c r="E1781" s="2">
        <v>12.05</v>
      </c>
      <c r="F1781" s="3">
        <v>41.44</v>
      </c>
      <c r="G1781" s="4">
        <v>161.01</v>
      </c>
      <c r="H1781">
        <v>2</v>
      </c>
      <c r="I1781" s="4">
        <v>322.02</v>
      </c>
      <c r="J1781">
        <v>4.3</v>
      </c>
      <c r="K1781" t="s">
        <v>15</v>
      </c>
      <c r="L1781" t="s">
        <v>16</v>
      </c>
      <c r="O1781"/>
    </row>
    <row r="1782" spans="1:15" x14ac:dyDescent="0.3">
      <c r="A1782" t="s">
        <v>1806</v>
      </c>
      <c r="B1782" s="1">
        <v>45930</v>
      </c>
      <c r="C1782" t="s">
        <v>25</v>
      </c>
      <c r="D1782" t="s">
        <v>14</v>
      </c>
      <c r="E1782" s="2">
        <v>1.69</v>
      </c>
      <c r="F1782" s="3">
        <v>3.65</v>
      </c>
      <c r="G1782" s="4">
        <v>23.96</v>
      </c>
      <c r="H1782">
        <v>1.2</v>
      </c>
      <c r="I1782" s="4">
        <v>28.75</v>
      </c>
      <c r="J1782">
        <v>4.7</v>
      </c>
      <c r="K1782" t="s">
        <v>33</v>
      </c>
      <c r="L1782" t="s">
        <v>26</v>
      </c>
      <c r="O1782"/>
    </row>
    <row r="1783" spans="1:15" x14ac:dyDescent="0.3">
      <c r="A1783" t="s">
        <v>1807</v>
      </c>
      <c r="B1783" s="1">
        <v>45975</v>
      </c>
      <c r="C1783" t="s">
        <v>14</v>
      </c>
      <c r="D1783" t="s">
        <v>25</v>
      </c>
      <c r="E1783" s="2">
        <v>3.56</v>
      </c>
      <c r="F1783" s="3">
        <v>13.15</v>
      </c>
      <c r="G1783" s="4">
        <v>61.67</v>
      </c>
      <c r="H1783">
        <v>1.2</v>
      </c>
      <c r="I1783" s="4">
        <v>74</v>
      </c>
      <c r="J1783">
        <v>4.2</v>
      </c>
      <c r="K1783" t="s">
        <v>33</v>
      </c>
      <c r="L1783" t="s">
        <v>26</v>
      </c>
      <c r="O1783"/>
    </row>
    <row r="1784" spans="1:15" x14ac:dyDescent="0.3">
      <c r="A1784" t="s">
        <v>1808</v>
      </c>
      <c r="B1784" s="1">
        <v>45713</v>
      </c>
      <c r="C1784" t="s">
        <v>13</v>
      </c>
      <c r="D1784" t="s">
        <v>25</v>
      </c>
      <c r="E1784" s="2">
        <v>12.72</v>
      </c>
      <c r="F1784" s="3">
        <v>31.07</v>
      </c>
      <c r="G1784" s="4">
        <v>192.33</v>
      </c>
      <c r="H1784">
        <v>1.2</v>
      </c>
      <c r="I1784" s="4">
        <v>230.8</v>
      </c>
      <c r="J1784">
        <v>3.9</v>
      </c>
      <c r="K1784" t="s">
        <v>15</v>
      </c>
      <c r="L1784" t="s">
        <v>26</v>
      </c>
      <c r="O1784"/>
    </row>
    <row r="1785" spans="1:15" x14ac:dyDescent="0.3">
      <c r="A1785" t="s">
        <v>1809</v>
      </c>
      <c r="B1785" s="1">
        <v>45934</v>
      </c>
      <c r="C1785" t="s">
        <v>14</v>
      </c>
      <c r="D1785" t="s">
        <v>13</v>
      </c>
      <c r="E1785" s="2">
        <v>13.9</v>
      </c>
      <c r="F1785" s="3">
        <v>46.38</v>
      </c>
      <c r="G1785" s="4">
        <v>226.56</v>
      </c>
      <c r="H1785">
        <v>1.2</v>
      </c>
      <c r="I1785" s="4">
        <v>271.87</v>
      </c>
      <c r="J1785">
        <v>4.5999999999999996</v>
      </c>
      <c r="K1785" t="s">
        <v>33</v>
      </c>
      <c r="L1785" t="s">
        <v>16</v>
      </c>
      <c r="O1785"/>
    </row>
    <row r="1786" spans="1:15" x14ac:dyDescent="0.3">
      <c r="A1786" t="s">
        <v>1810</v>
      </c>
      <c r="B1786" s="1">
        <v>45961</v>
      </c>
      <c r="C1786" t="s">
        <v>21</v>
      </c>
      <c r="D1786" t="s">
        <v>22</v>
      </c>
      <c r="E1786" s="2">
        <v>3.57</v>
      </c>
      <c r="F1786" s="3">
        <v>7.33</v>
      </c>
      <c r="G1786" s="4">
        <v>63.95</v>
      </c>
      <c r="H1786">
        <v>1</v>
      </c>
      <c r="I1786" s="4">
        <v>63.95</v>
      </c>
      <c r="J1786">
        <v>4.7</v>
      </c>
      <c r="K1786" t="s">
        <v>30</v>
      </c>
      <c r="L1786" t="s">
        <v>26</v>
      </c>
      <c r="O1786"/>
    </row>
    <row r="1787" spans="1:15" x14ac:dyDescent="0.3">
      <c r="A1787" t="s">
        <v>1811</v>
      </c>
      <c r="B1787" s="1">
        <v>45729</v>
      </c>
      <c r="C1787" t="s">
        <v>25</v>
      </c>
      <c r="D1787" t="s">
        <v>22</v>
      </c>
      <c r="E1787" s="2">
        <v>2.86</v>
      </c>
      <c r="F1787" s="3">
        <v>6.75</v>
      </c>
      <c r="G1787" s="4">
        <v>50.5</v>
      </c>
      <c r="H1787">
        <v>1.2</v>
      </c>
      <c r="I1787" s="4">
        <v>60.6</v>
      </c>
      <c r="J1787">
        <v>4.5</v>
      </c>
      <c r="K1787" t="s">
        <v>33</v>
      </c>
      <c r="L1787" t="s">
        <v>16</v>
      </c>
      <c r="O1787"/>
    </row>
    <row r="1788" spans="1:15" x14ac:dyDescent="0.3">
      <c r="A1788" t="s">
        <v>1812</v>
      </c>
      <c r="B1788" s="1">
        <v>45674</v>
      </c>
      <c r="C1788" t="s">
        <v>14</v>
      </c>
      <c r="D1788" t="s">
        <v>25</v>
      </c>
      <c r="E1788" s="2">
        <v>12.52</v>
      </c>
      <c r="F1788" s="3">
        <v>31.77</v>
      </c>
      <c r="G1788" s="4">
        <v>168.72</v>
      </c>
      <c r="H1788">
        <v>2</v>
      </c>
      <c r="I1788" s="4">
        <v>337.44</v>
      </c>
      <c r="J1788">
        <v>4.4000000000000004</v>
      </c>
      <c r="K1788" t="s">
        <v>15</v>
      </c>
      <c r="L1788" t="s">
        <v>19</v>
      </c>
      <c r="O1788"/>
    </row>
    <row r="1789" spans="1:15" x14ac:dyDescent="0.3">
      <c r="A1789" t="s">
        <v>1813</v>
      </c>
      <c r="B1789" s="1">
        <v>45955</v>
      </c>
      <c r="C1789" t="s">
        <v>25</v>
      </c>
      <c r="D1789" t="s">
        <v>21</v>
      </c>
      <c r="E1789" s="2">
        <v>17.100000000000001</v>
      </c>
      <c r="F1789" s="3">
        <v>37.619999999999997</v>
      </c>
      <c r="G1789" s="4">
        <v>308.66000000000003</v>
      </c>
      <c r="H1789">
        <v>1</v>
      </c>
      <c r="I1789" s="4">
        <v>308.66000000000003</v>
      </c>
      <c r="J1789">
        <v>4.9000000000000004</v>
      </c>
      <c r="K1789" t="s">
        <v>36</v>
      </c>
      <c r="L1789" t="s">
        <v>16</v>
      </c>
      <c r="O1789"/>
    </row>
    <row r="1790" spans="1:15" x14ac:dyDescent="0.3">
      <c r="A1790" t="s">
        <v>1814</v>
      </c>
      <c r="B1790" s="1">
        <v>45684</v>
      </c>
      <c r="C1790" t="s">
        <v>14</v>
      </c>
      <c r="D1790" t="s">
        <v>14</v>
      </c>
      <c r="E1790" s="2">
        <v>8.25</v>
      </c>
      <c r="F1790" s="3">
        <v>26.67</v>
      </c>
      <c r="G1790" s="4">
        <v>123.66</v>
      </c>
      <c r="H1790">
        <v>1</v>
      </c>
      <c r="I1790" s="4">
        <v>123.66</v>
      </c>
      <c r="J1790">
        <v>3.9</v>
      </c>
      <c r="K1790" t="s">
        <v>36</v>
      </c>
      <c r="L1790" t="s">
        <v>16</v>
      </c>
      <c r="O1790"/>
    </row>
    <row r="1791" spans="1:15" x14ac:dyDescent="0.3">
      <c r="A1791" t="s">
        <v>1815</v>
      </c>
      <c r="B1791" s="1">
        <v>45876</v>
      </c>
      <c r="C1791" t="s">
        <v>21</v>
      </c>
      <c r="D1791" t="s">
        <v>25</v>
      </c>
      <c r="E1791" s="2">
        <v>3.16</v>
      </c>
      <c r="F1791" s="3">
        <v>12.5</v>
      </c>
      <c r="G1791" s="4">
        <v>58.26</v>
      </c>
      <c r="H1791">
        <v>1.2</v>
      </c>
      <c r="I1791" s="4">
        <v>69.91</v>
      </c>
      <c r="J1791">
        <v>3.7</v>
      </c>
      <c r="K1791" t="s">
        <v>18</v>
      </c>
      <c r="L1791" t="s">
        <v>19</v>
      </c>
      <c r="O1791"/>
    </row>
    <row r="1792" spans="1:15" x14ac:dyDescent="0.3">
      <c r="A1792" t="s">
        <v>1816</v>
      </c>
      <c r="B1792" s="1">
        <v>45864</v>
      </c>
      <c r="C1792" t="s">
        <v>25</v>
      </c>
      <c r="D1792" t="s">
        <v>22</v>
      </c>
      <c r="E1792" s="2">
        <v>21.17</v>
      </c>
      <c r="F1792" s="3">
        <v>74.760000000000005</v>
      </c>
      <c r="G1792" s="4">
        <v>305.10000000000002</v>
      </c>
      <c r="H1792">
        <v>1</v>
      </c>
      <c r="I1792" s="4">
        <v>305.10000000000002</v>
      </c>
      <c r="J1792">
        <v>3.3</v>
      </c>
      <c r="K1792" t="s">
        <v>36</v>
      </c>
      <c r="L1792" t="s">
        <v>28</v>
      </c>
      <c r="O1792"/>
    </row>
    <row r="1793" spans="1:15" x14ac:dyDescent="0.3">
      <c r="A1793" t="s">
        <v>1817</v>
      </c>
      <c r="B1793" s="1">
        <v>45886</v>
      </c>
      <c r="C1793" t="s">
        <v>21</v>
      </c>
      <c r="D1793" t="s">
        <v>22</v>
      </c>
      <c r="E1793" s="2">
        <v>7.13</v>
      </c>
      <c r="F1793" s="3">
        <v>23.28</v>
      </c>
      <c r="G1793" s="4">
        <v>140.88999999999999</v>
      </c>
      <c r="H1793">
        <v>1.2</v>
      </c>
      <c r="I1793" s="4">
        <v>169.07</v>
      </c>
      <c r="J1793">
        <v>4.4000000000000004</v>
      </c>
      <c r="K1793" t="s">
        <v>15</v>
      </c>
      <c r="L1793" t="s">
        <v>16</v>
      </c>
      <c r="O1793"/>
    </row>
    <row r="1794" spans="1:15" x14ac:dyDescent="0.3">
      <c r="A1794" t="s">
        <v>1818</v>
      </c>
      <c r="B1794" s="1">
        <v>45789</v>
      </c>
      <c r="C1794" t="s">
        <v>14</v>
      </c>
      <c r="D1794" t="s">
        <v>25</v>
      </c>
      <c r="E1794" s="2">
        <v>21.12</v>
      </c>
      <c r="F1794" s="3">
        <v>79.59</v>
      </c>
      <c r="G1794" s="4">
        <v>310.91000000000003</v>
      </c>
      <c r="H1794">
        <v>1.5</v>
      </c>
      <c r="I1794" s="4">
        <v>466.36</v>
      </c>
      <c r="J1794">
        <v>3.1</v>
      </c>
      <c r="K1794" t="s">
        <v>33</v>
      </c>
      <c r="L1794" t="s">
        <v>19</v>
      </c>
      <c r="O1794"/>
    </row>
    <row r="1795" spans="1:15" x14ac:dyDescent="0.3">
      <c r="A1795" t="s">
        <v>1819</v>
      </c>
      <c r="B1795" s="1">
        <v>45828</v>
      </c>
      <c r="C1795" t="s">
        <v>22</v>
      </c>
      <c r="D1795" t="s">
        <v>13</v>
      </c>
      <c r="E1795" s="2">
        <v>18.52</v>
      </c>
      <c r="F1795" s="3">
        <v>69.63</v>
      </c>
      <c r="G1795" s="4">
        <v>245.33</v>
      </c>
      <c r="H1795">
        <v>1.2</v>
      </c>
      <c r="I1795" s="4">
        <v>294.39999999999998</v>
      </c>
      <c r="J1795">
        <v>4.7</v>
      </c>
      <c r="K1795" t="s">
        <v>15</v>
      </c>
      <c r="L1795" t="s">
        <v>26</v>
      </c>
      <c r="O1795"/>
    </row>
    <row r="1796" spans="1:15" x14ac:dyDescent="0.3">
      <c r="A1796" t="s">
        <v>1820</v>
      </c>
      <c r="B1796" s="1">
        <v>45875</v>
      </c>
      <c r="C1796" t="s">
        <v>25</v>
      </c>
      <c r="D1796" t="s">
        <v>13</v>
      </c>
      <c r="E1796" s="2">
        <v>7.62</v>
      </c>
      <c r="F1796" s="3">
        <v>27.77</v>
      </c>
      <c r="G1796" s="4">
        <v>98.72</v>
      </c>
      <c r="H1796">
        <v>1</v>
      </c>
      <c r="I1796" s="4">
        <v>98.72</v>
      </c>
      <c r="J1796">
        <v>4.5999999999999996</v>
      </c>
      <c r="K1796" t="s">
        <v>33</v>
      </c>
      <c r="L1796" t="s">
        <v>28</v>
      </c>
      <c r="O1796"/>
    </row>
    <row r="1797" spans="1:15" x14ac:dyDescent="0.3">
      <c r="A1797" t="s">
        <v>1821</v>
      </c>
      <c r="B1797" s="1">
        <v>45844</v>
      </c>
      <c r="C1797" t="s">
        <v>22</v>
      </c>
      <c r="D1797" t="s">
        <v>14</v>
      </c>
      <c r="E1797" s="2">
        <v>5.72</v>
      </c>
      <c r="F1797" s="3">
        <v>21.21</v>
      </c>
      <c r="G1797" s="4">
        <v>96.48</v>
      </c>
      <c r="H1797">
        <v>1.5</v>
      </c>
      <c r="I1797" s="4">
        <v>144.72</v>
      </c>
      <c r="J1797">
        <v>3.2</v>
      </c>
      <c r="K1797" t="s">
        <v>30</v>
      </c>
      <c r="L1797" t="s">
        <v>26</v>
      </c>
      <c r="O1797"/>
    </row>
    <row r="1798" spans="1:15" x14ac:dyDescent="0.3">
      <c r="A1798" t="s">
        <v>1822</v>
      </c>
      <c r="B1798" s="1">
        <v>45682</v>
      </c>
      <c r="C1798" t="s">
        <v>14</v>
      </c>
      <c r="D1798" t="s">
        <v>22</v>
      </c>
      <c r="E1798" s="2">
        <v>13.16</v>
      </c>
      <c r="F1798" s="3">
        <v>31.43</v>
      </c>
      <c r="G1798" s="4">
        <v>169.09</v>
      </c>
      <c r="H1798">
        <v>1.5</v>
      </c>
      <c r="I1798" s="4">
        <v>253.64</v>
      </c>
      <c r="J1798">
        <v>4.5999999999999996</v>
      </c>
      <c r="K1798" t="s">
        <v>30</v>
      </c>
      <c r="L1798" t="s">
        <v>16</v>
      </c>
      <c r="O1798"/>
    </row>
    <row r="1799" spans="1:15" x14ac:dyDescent="0.3">
      <c r="A1799" t="s">
        <v>1823</v>
      </c>
      <c r="B1799" s="1">
        <v>45723</v>
      </c>
      <c r="C1799" t="s">
        <v>22</v>
      </c>
      <c r="D1799" t="s">
        <v>13</v>
      </c>
      <c r="E1799" s="2">
        <v>24.36</v>
      </c>
      <c r="F1799" s="3">
        <v>87.27</v>
      </c>
      <c r="G1799" s="4">
        <v>385.22</v>
      </c>
      <c r="H1799">
        <v>2</v>
      </c>
      <c r="I1799" s="4">
        <v>770.44</v>
      </c>
      <c r="J1799">
        <v>4.3</v>
      </c>
      <c r="K1799" t="s">
        <v>33</v>
      </c>
      <c r="L1799" t="s">
        <v>16</v>
      </c>
      <c r="O1799"/>
    </row>
    <row r="1800" spans="1:15" x14ac:dyDescent="0.3">
      <c r="A1800" t="s">
        <v>1824</v>
      </c>
      <c r="B1800" s="1">
        <v>45699</v>
      </c>
      <c r="C1800" t="s">
        <v>14</v>
      </c>
      <c r="D1800" t="s">
        <v>13</v>
      </c>
      <c r="E1800" s="2">
        <v>2.4500000000000002</v>
      </c>
      <c r="F1800" s="3">
        <v>9.18</v>
      </c>
      <c r="G1800" s="4">
        <v>26.35</v>
      </c>
      <c r="H1800">
        <v>1.2</v>
      </c>
      <c r="I1800" s="4">
        <v>31.62</v>
      </c>
      <c r="J1800">
        <v>4.0999999999999996</v>
      </c>
      <c r="K1800" t="s">
        <v>30</v>
      </c>
      <c r="L1800" t="s">
        <v>28</v>
      </c>
      <c r="O1800"/>
    </row>
    <row r="1801" spans="1:15" x14ac:dyDescent="0.3">
      <c r="A1801" t="s">
        <v>1825</v>
      </c>
      <c r="B1801" s="1">
        <v>45767</v>
      </c>
      <c r="C1801" t="s">
        <v>22</v>
      </c>
      <c r="D1801" t="s">
        <v>14</v>
      </c>
      <c r="E1801" s="2">
        <v>27.76</v>
      </c>
      <c r="F1801" s="3">
        <v>58.67</v>
      </c>
      <c r="G1801" s="4">
        <v>285.77999999999997</v>
      </c>
      <c r="H1801">
        <v>1.5</v>
      </c>
      <c r="I1801" s="4">
        <v>428.67</v>
      </c>
      <c r="J1801">
        <v>3.6</v>
      </c>
      <c r="K1801" t="s">
        <v>33</v>
      </c>
      <c r="L1801" t="s">
        <v>19</v>
      </c>
      <c r="O1801"/>
    </row>
    <row r="1802" spans="1:15" x14ac:dyDescent="0.3">
      <c r="A1802" t="s">
        <v>1826</v>
      </c>
      <c r="B1802" s="1">
        <v>45824</v>
      </c>
      <c r="C1802" t="s">
        <v>13</v>
      </c>
      <c r="D1802" t="s">
        <v>21</v>
      </c>
      <c r="E1802" s="2">
        <v>11.9</v>
      </c>
      <c r="F1802" s="3">
        <v>36.53</v>
      </c>
      <c r="G1802" s="4">
        <v>223.32</v>
      </c>
      <c r="H1802">
        <v>2</v>
      </c>
      <c r="I1802" s="4">
        <v>446.64</v>
      </c>
      <c r="J1802">
        <v>4.5999999999999996</v>
      </c>
      <c r="K1802" t="s">
        <v>30</v>
      </c>
      <c r="L1802" t="s">
        <v>19</v>
      </c>
      <c r="O1802"/>
    </row>
    <row r="1803" spans="1:15" x14ac:dyDescent="0.3">
      <c r="A1803" t="s">
        <v>1827</v>
      </c>
      <c r="B1803" s="1">
        <v>45795</v>
      </c>
      <c r="C1803" t="s">
        <v>14</v>
      </c>
      <c r="D1803" t="s">
        <v>14</v>
      </c>
      <c r="E1803" s="2">
        <v>10.83</v>
      </c>
      <c r="F1803" s="3">
        <v>23.19</v>
      </c>
      <c r="G1803" s="4">
        <v>171.12</v>
      </c>
      <c r="H1803">
        <v>1.5</v>
      </c>
      <c r="I1803" s="4">
        <v>256.68</v>
      </c>
      <c r="J1803">
        <v>3.5</v>
      </c>
      <c r="K1803" t="s">
        <v>33</v>
      </c>
      <c r="L1803" t="s">
        <v>28</v>
      </c>
      <c r="O1803"/>
    </row>
    <row r="1804" spans="1:15" x14ac:dyDescent="0.3">
      <c r="A1804" t="s">
        <v>1828</v>
      </c>
      <c r="B1804" s="1">
        <v>45748</v>
      </c>
      <c r="C1804" t="s">
        <v>14</v>
      </c>
      <c r="D1804" t="s">
        <v>21</v>
      </c>
      <c r="E1804" s="2">
        <v>19.38</v>
      </c>
      <c r="F1804" s="3">
        <v>49.86</v>
      </c>
      <c r="G1804" s="4">
        <v>341.91</v>
      </c>
      <c r="H1804">
        <v>1.2</v>
      </c>
      <c r="I1804" s="4">
        <v>410.29</v>
      </c>
      <c r="J1804">
        <v>3.9</v>
      </c>
      <c r="K1804" t="s">
        <v>36</v>
      </c>
      <c r="L1804" t="s">
        <v>28</v>
      </c>
      <c r="O1804"/>
    </row>
    <row r="1805" spans="1:15" x14ac:dyDescent="0.3">
      <c r="A1805" t="s">
        <v>1829</v>
      </c>
      <c r="B1805" s="1">
        <v>45745</v>
      </c>
      <c r="C1805" t="s">
        <v>21</v>
      </c>
      <c r="D1805" t="s">
        <v>21</v>
      </c>
      <c r="E1805" s="2">
        <v>16.27</v>
      </c>
      <c r="F1805" s="3">
        <v>45.42</v>
      </c>
      <c r="G1805" s="4">
        <v>192.04</v>
      </c>
      <c r="H1805">
        <v>1.5</v>
      </c>
      <c r="I1805" s="4">
        <v>288.06</v>
      </c>
      <c r="J1805">
        <v>4.0999999999999996</v>
      </c>
      <c r="K1805" t="s">
        <v>18</v>
      </c>
      <c r="L1805" t="s">
        <v>16</v>
      </c>
      <c r="O1805"/>
    </row>
    <row r="1806" spans="1:15" x14ac:dyDescent="0.3">
      <c r="A1806" t="s">
        <v>1830</v>
      </c>
      <c r="B1806" s="1">
        <v>45738</v>
      </c>
      <c r="C1806" t="s">
        <v>13</v>
      </c>
      <c r="D1806" t="s">
        <v>25</v>
      </c>
      <c r="E1806" s="2">
        <v>10.050000000000001</v>
      </c>
      <c r="F1806" s="3">
        <v>20.350000000000001</v>
      </c>
      <c r="G1806" s="4">
        <v>110.15</v>
      </c>
      <c r="H1806">
        <v>1</v>
      </c>
      <c r="I1806" s="4">
        <v>110.15</v>
      </c>
      <c r="J1806">
        <v>4.0999999999999996</v>
      </c>
      <c r="K1806" t="s">
        <v>36</v>
      </c>
      <c r="L1806" t="s">
        <v>28</v>
      </c>
      <c r="O1806"/>
    </row>
    <row r="1807" spans="1:15" x14ac:dyDescent="0.3">
      <c r="A1807" t="s">
        <v>1831</v>
      </c>
      <c r="B1807" s="1">
        <v>45966</v>
      </c>
      <c r="C1807" t="s">
        <v>13</v>
      </c>
      <c r="D1807" t="s">
        <v>22</v>
      </c>
      <c r="E1807" s="2">
        <v>18.3</v>
      </c>
      <c r="F1807" s="3">
        <v>39.78</v>
      </c>
      <c r="G1807" s="4">
        <v>311.41000000000003</v>
      </c>
      <c r="H1807">
        <v>2</v>
      </c>
      <c r="I1807" s="4">
        <v>622.82000000000005</v>
      </c>
      <c r="J1807">
        <v>4.5</v>
      </c>
      <c r="K1807" t="s">
        <v>30</v>
      </c>
      <c r="L1807" t="s">
        <v>16</v>
      </c>
      <c r="O1807"/>
    </row>
    <row r="1808" spans="1:15" x14ac:dyDescent="0.3">
      <c r="A1808" t="s">
        <v>1832</v>
      </c>
      <c r="B1808" s="1">
        <v>45792</v>
      </c>
      <c r="C1808" t="s">
        <v>14</v>
      </c>
      <c r="D1808" t="s">
        <v>25</v>
      </c>
      <c r="E1808" s="2">
        <v>14.57</v>
      </c>
      <c r="F1808" s="3">
        <v>31.21</v>
      </c>
      <c r="G1808" s="4">
        <v>232.86</v>
      </c>
      <c r="H1808">
        <v>2</v>
      </c>
      <c r="I1808" s="4">
        <v>465.72</v>
      </c>
      <c r="J1808">
        <v>3.3</v>
      </c>
      <c r="K1808" t="s">
        <v>36</v>
      </c>
      <c r="L1808" t="s">
        <v>19</v>
      </c>
      <c r="O1808"/>
    </row>
    <row r="1809" spans="1:15" x14ac:dyDescent="0.3">
      <c r="A1809" t="s">
        <v>1833</v>
      </c>
      <c r="B1809" s="1">
        <v>45791</v>
      </c>
      <c r="C1809" t="s">
        <v>25</v>
      </c>
      <c r="D1809" t="s">
        <v>13</v>
      </c>
      <c r="E1809" s="2">
        <v>16.010000000000002</v>
      </c>
      <c r="F1809" s="3">
        <v>61.62</v>
      </c>
      <c r="G1809" s="4">
        <v>248.01</v>
      </c>
      <c r="H1809">
        <v>1.5</v>
      </c>
      <c r="I1809" s="4">
        <v>372.02</v>
      </c>
      <c r="J1809">
        <v>3.8</v>
      </c>
      <c r="K1809" t="s">
        <v>33</v>
      </c>
      <c r="L1809" t="s">
        <v>19</v>
      </c>
      <c r="O1809"/>
    </row>
    <row r="1810" spans="1:15" x14ac:dyDescent="0.3">
      <c r="A1810" t="s">
        <v>1834</v>
      </c>
      <c r="B1810" s="1">
        <v>45926</v>
      </c>
      <c r="C1810" t="s">
        <v>22</v>
      </c>
      <c r="D1810" t="s">
        <v>21</v>
      </c>
      <c r="E1810" s="2">
        <v>28.52</v>
      </c>
      <c r="F1810" s="3">
        <v>101.37</v>
      </c>
      <c r="G1810" s="4">
        <v>366.6</v>
      </c>
      <c r="H1810">
        <v>2</v>
      </c>
      <c r="I1810" s="4">
        <v>733.2</v>
      </c>
      <c r="J1810">
        <v>4.0999999999999996</v>
      </c>
      <c r="K1810" t="s">
        <v>15</v>
      </c>
      <c r="L1810" t="s">
        <v>16</v>
      </c>
      <c r="O1810"/>
    </row>
    <row r="1811" spans="1:15" x14ac:dyDescent="0.3">
      <c r="A1811" t="s">
        <v>1835</v>
      </c>
      <c r="B1811" s="1">
        <v>45933</v>
      </c>
      <c r="C1811" t="s">
        <v>22</v>
      </c>
      <c r="D1811" t="s">
        <v>14</v>
      </c>
      <c r="E1811" s="2">
        <v>25.03</v>
      </c>
      <c r="F1811" s="3">
        <v>91.25</v>
      </c>
      <c r="G1811" s="4">
        <v>297.57</v>
      </c>
      <c r="H1811">
        <v>1</v>
      </c>
      <c r="I1811" s="4">
        <v>297.57</v>
      </c>
      <c r="J1811">
        <v>4.3</v>
      </c>
      <c r="K1811" t="s">
        <v>30</v>
      </c>
      <c r="L1811" t="s">
        <v>19</v>
      </c>
      <c r="O1811"/>
    </row>
    <row r="1812" spans="1:15" x14ac:dyDescent="0.3">
      <c r="A1812" t="s">
        <v>1836</v>
      </c>
      <c r="B1812" s="1">
        <v>45711</v>
      </c>
      <c r="C1812" t="s">
        <v>14</v>
      </c>
      <c r="D1812" t="s">
        <v>22</v>
      </c>
      <c r="E1812" s="2">
        <v>9.6300000000000008</v>
      </c>
      <c r="F1812" s="3">
        <v>24.97</v>
      </c>
      <c r="G1812" s="4">
        <v>166.17</v>
      </c>
      <c r="H1812">
        <v>2</v>
      </c>
      <c r="I1812" s="4">
        <v>332.34</v>
      </c>
      <c r="J1812">
        <v>3.3</v>
      </c>
      <c r="K1812" t="s">
        <v>30</v>
      </c>
      <c r="L1812" t="s">
        <v>16</v>
      </c>
      <c r="O1812"/>
    </row>
    <row r="1813" spans="1:15" x14ac:dyDescent="0.3">
      <c r="A1813" t="s">
        <v>1837</v>
      </c>
      <c r="B1813" s="1">
        <v>45961</v>
      </c>
      <c r="C1813" t="s">
        <v>21</v>
      </c>
      <c r="D1813" t="s">
        <v>25</v>
      </c>
      <c r="E1813" s="2">
        <v>14.23</v>
      </c>
      <c r="F1813" s="3">
        <v>39.44</v>
      </c>
      <c r="G1813" s="4">
        <v>243.93</v>
      </c>
      <c r="H1813">
        <v>2</v>
      </c>
      <c r="I1813" s="4">
        <v>487.86</v>
      </c>
      <c r="J1813">
        <v>3.8</v>
      </c>
      <c r="K1813" t="s">
        <v>30</v>
      </c>
      <c r="L1813" t="s">
        <v>26</v>
      </c>
      <c r="O1813"/>
    </row>
    <row r="1814" spans="1:15" x14ac:dyDescent="0.3">
      <c r="A1814" t="s">
        <v>1838</v>
      </c>
      <c r="B1814" s="1">
        <v>45997</v>
      </c>
      <c r="C1814" t="s">
        <v>22</v>
      </c>
      <c r="D1814" t="s">
        <v>22</v>
      </c>
      <c r="E1814" s="2">
        <v>1.41</v>
      </c>
      <c r="F1814" s="3">
        <v>4.5199999999999996</v>
      </c>
      <c r="G1814" s="4">
        <v>22.03</v>
      </c>
      <c r="H1814">
        <v>1.2</v>
      </c>
      <c r="I1814" s="4">
        <v>26.44</v>
      </c>
      <c r="J1814">
        <v>3.6</v>
      </c>
      <c r="K1814" t="s">
        <v>36</v>
      </c>
      <c r="L1814" t="s">
        <v>19</v>
      </c>
      <c r="O1814"/>
    </row>
    <row r="1815" spans="1:15" x14ac:dyDescent="0.3">
      <c r="A1815" t="s">
        <v>1839</v>
      </c>
      <c r="B1815" s="1">
        <v>45837</v>
      </c>
      <c r="C1815" t="s">
        <v>13</v>
      </c>
      <c r="D1815" t="s">
        <v>22</v>
      </c>
      <c r="E1815" s="2">
        <v>23.99</v>
      </c>
      <c r="F1815" s="3">
        <v>90.57</v>
      </c>
      <c r="G1815" s="4">
        <v>307.8</v>
      </c>
      <c r="H1815">
        <v>2</v>
      </c>
      <c r="I1815" s="4">
        <v>615.6</v>
      </c>
      <c r="J1815">
        <v>3.4</v>
      </c>
      <c r="K1815" t="s">
        <v>33</v>
      </c>
      <c r="L1815" t="s">
        <v>28</v>
      </c>
      <c r="O1815"/>
    </row>
    <row r="1816" spans="1:15" x14ac:dyDescent="0.3">
      <c r="A1816" t="s">
        <v>1840</v>
      </c>
      <c r="B1816" s="1">
        <v>45910</v>
      </c>
      <c r="C1816" t="s">
        <v>13</v>
      </c>
      <c r="D1816" t="s">
        <v>21</v>
      </c>
      <c r="E1816" s="2">
        <v>8.43</v>
      </c>
      <c r="F1816" s="3">
        <v>23.27</v>
      </c>
      <c r="G1816" s="4">
        <v>157.75</v>
      </c>
      <c r="H1816">
        <v>1</v>
      </c>
      <c r="I1816" s="4">
        <v>157.75</v>
      </c>
      <c r="J1816">
        <v>5</v>
      </c>
      <c r="K1816" t="s">
        <v>15</v>
      </c>
      <c r="L1816" t="s">
        <v>16</v>
      </c>
      <c r="O1816"/>
    </row>
    <row r="1817" spans="1:15" x14ac:dyDescent="0.3">
      <c r="A1817" t="s">
        <v>1841</v>
      </c>
      <c r="B1817" s="1">
        <v>45891</v>
      </c>
      <c r="C1817" t="s">
        <v>22</v>
      </c>
      <c r="D1817" t="s">
        <v>22</v>
      </c>
      <c r="E1817" s="2">
        <v>20.190000000000001</v>
      </c>
      <c r="F1817" s="3">
        <v>58.48</v>
      </c>
      <c r="G1817" s="4">
        <v>292.07</v>
      </c>
      <c r="H1817">
        <v>1.2</v>
      </c>
      <c r="I1817" s="4">
        <v>350.48</v>
      </c>
      <c r="J1817">
        <v>4.5999999999999996</v>
      </c>
      <c r="K1817" t="s">
        <v>33</v>
      </c>
      <c r="L1817" t="s">
        <v>28</v>
      </c>
      <c r="O1817"/>
    </row>
    <row r="1818" spans="1:15" x14ac:dyDescent="0.3">
      <c r="A1818" t="s">
        <v>1842</v>
      </c>
      <c r="B1818" s="1">
        <v>45666</v>
      </c>
      <c r="C1818" t="s">
        <v>21</v>
      </c>
      <c r="D1818" t="s">
        <v>13</v>
      </c>
      <c r="E1818" s="2">
        <v>21.75</v>
      </c>
      <c r="F1818" s="3">
        <v>74.89</v>
      </c>
      <c r="G1818" s="4">
        <v>278.92</v>
      </c>
      <c r="H1818">
        <v>1</v>
      </c>
      <c r="I1818" s="4">
        <v>278.92</v>
      </c>
      <c r="J1818">
        <v>3.7</v>
      </c>
      <c r="K1818" t="s">
        <v>30</v>
      </c>
      <c r="L1818" t="s">
        <v>19</v>
      </c>
      <c r="O1818"/>
    </row>
    <row r="1819" spans="1:15" x14ac:dyDescent="0.3">
      <c r="A1819" t="s">
        <v>1843</v>
      </c>
      <c r="B1819" s="1">
        <v>45679</v>
      </c>
      <c r="C1819" t="s">
        <v>22</v>
      </c>
      <c r="D1819" t="s">
        <v>14</v>
      </c>
      <c r="E1819" s="2">
        <v>22.03</v>
      </c>
      <c r="F1819" s="3">
        <v>49.39</v>
      </c>
      <c r="G1819" s="4">
        <v>257.45999999999998</v>
      </c>
      <c r="H1819">
        <v>2</v>
      </c>
      <c r="I1819" s="4">
        <v>514.91999999999996</v>
      </c>
      <c r="J1819">
        <v>4.8</v>
      </c>
      <c r="K1819" t="s">
        <v>15</v>
      </c>
      <c r="L1819" t="s">
        <v>28</v>
      </c>
      <c r="O1819"/>
    </row>
    <row r="1820" spans="1:15" x14ac:dyDescent="0.3">
      <c r="A1820" t="s">
        <v>1844</v>
      </c>
      <c r="B1820" s="1">
        <v>45865</v>
      </c>
      <c r="C1820" t="s">
        <v>22</v>
      </c>
      <c r="D1820" t="s">
        <v>21</v>
      </c>
      <c r="E1820" s="2">
        <v>19.72</v>
      </c>
      <c r="F1820" s="3">
        <v>55.07</v>
      </c>
      <c r="G1820" s="4">
        <v>212.55</v>
      </c>
      <c r="H1820">
        <v>1.2</v>
      </c>
      <c r="I1820" s="4">
        <v>255.06</v>
      </c>
      <c r="J1820">
        <v>3.2</v>
      </c>
      <c r="K1820" t="s">
        <v>36</v>
      </c>
      <c r="L1820" t="s">
        <v>28</v>
      </c>
      <c r="O1820"/>
    </row>
    <row r="1821" spans="1:15" x14ac:dyDescent="0.3">
      <c r="A1821" t="s">
        <v>1845</v>
      </c>
      <c r="B1821" s="1">
        <v>45832</v>
      </c>
      <c r="C1821" t="s">
        <v>13</v>
      </c>
      <c r="D1821" t="s">
        <v>21</v>
      </c>
      <c r="E1821" s="2">
        <v>20.46</v>
      </c>
      <c r="F1821" s="3">
        <v>47.48</v>
      </c>
      <c r="G1821" s="4">
        <v>206.19</v>
      </c>
      <c r="H1821">
        <v>2</v>
      </c>
      <c r="I1821" s="4">
        <v>412.38</v>
      </c>
      <c r="J1821">
        <v>4.8</v>
      </c>
      <c r="K1821" t="s">
        <v>30</v>
      </c>
      <c r="L1821" t="s">
        <v>16</v>
      </c>
      <c r="O1821"/>
    </row>
    <row r="1822" spans="1:15" x14ac:dyDescent="0.3">
      <c r="A1822" t="s">
        <v>1846</v>
      </c>
      <c r="B1822" s="1">
        <v>46000</v>
      </c>
      <c r="C1822" t="s">
        <v>14</v>
      </c>
      <c r="D1822" t="s">
        <v>14</v>
      </c>
      <c r="E1822" s="2">
        <v>3.39</v>
      </c>
      <c r="F1822" s="3">
        <v>6.8</v>
      </c>
      <c r="G1822" s="4">
        <v>48.57</v>
      </c>
      <c r="H1822">
        <v>1</v>
      </c>
      <c r="I1822" s="4">
        <v>48.57</v>
      </c>
      <c r="J1822">
        <v>3.7</v>
      </c>
      <c r="K1822" t="s">
        <v>15</v>
      </c>
      <c r="L1822" t="s">
        <v>28</v>
      </c>
      <c r="O1822"/>
    </row>
    <row r="1823" spans="1:15" x14ac:dyDescent="0.3">
      <c r="A1823" t="s">
        <v>1847</v>
      </c>
      <c r="B1823" s="1">
        <v>45933</v>
      </c>
      <c r="C1823" t="s">
        <v>14</v>
      </c>
      <c r="D1823" t="s">
        <v>14</v>
      </c>
      <c r="E1823" s="2">
        <v>2.2599999999999998</v>
      </c>
      <c r="F1823" s="3">
        <v>6.1</v>
      </c>
      <c r="G1823" s="4">
        <v>26.65</v>
      </c>
      <c r="H1823">
        <v>1.5</v>
      </c>
      <c r="I1823" s="4">
        <v>39.97</v>
      </c>
      <c r="J1823">
        <v>4.0999999999999996</v>
      </c>
      <c r="K1823" t="s">
        <v>36</v>
      </c>
      <c r="L1823" t="s">
        <v>16</v>
      </c>
      <c r="O1823"/>
    </row>
    <row r="1824" spans="1:15" x14ac:dyDescent="0.3">
      <c r="A1824" t="s">
        <v>1848</v>
      </c>
      <c r="B1824" s="1">
        <v>45952</v>
      </c>
      <c r="C1824" t="s">
        <v>21</v>
      </c>
      <c r="D1824" t="s">
        <v>22</v>
      </c>
      <c r="E1824" s="2">
        <v>7.08</v>
      </c>
      <c r="F1824" s="3">
        <v>15.21</v>
      </c>
      <c r="G1824" s="4">
        <v>103.7</v>
      </c>
      <c r="H1824">
        <v>2</v>
      </c>
      <c r="I1824" s="4">
        <v>207.4</v>
      </c>
      <c r="J1824">
        <v>4</v>
      </c>
      <c r="K1824" t="s">
        <v>15</v>
      </c>
      <c r="L1824" t="s">
        <v>19</v>
      </c>
      <c r="O1824"/>
    </row>
    <row r="1825" spans="1:15" x14ac:dyDescent="0.3">
      <c r="A1825" t="s">
        <v>1849</v>
      </c>
      <c r="B1825" s="1">
        <v>45739</v>
      </c>
      <c r="C1825" t="s">
        <v>14</v>
      </c>
      <c r="D1825" t="s">
        <v>25</v>
      </c>
      <c r="E1825" s="2">
        <v>28.57</v>
      </c>
      <c r="F1825" s="3">
        <v>113.16</v>
      </c>
      <c r="G1825" s="4">
        <v>441.54</v>
      </c>
      <c r="H1825">
        <v>1.2</v>
      </c>
      <c r="I1825" s="4">
        <v>529.85</v>
      </c>
      <c r="J1825">
        <v>3.9</v>
      </c>
      <c r="K1825" t="s">
        <v>18</v>
      </c>
      <c r="L1825" t="s">
        <v>19</v>
      </c>
      <c r="O1825"/>
    </row>
    <row r="1826" spans="1:15" x14ac:dyDescent="0.3">
      <c r="A1826" t="s">
        <v>1850</v>
      </c>
      <c r="B1826" s="1">
        <v>45664</v>
      </c>
      <c r="C1826" t="s">
        <v>25</v>
      </c>
      <c r="D1826" t="s">
        <v>25</v>
      </c>
      <c r="E1826" s="2">
        <v>1.74</v>
      </c>
      <c r="F1826" s="3">
        <v>3.62</v>
      </c>
      <c r="G1826" s="4">
        <v>27.62</v>
      </c>
      <c r="H1826">
        <v>2</v>
      </c>
      <c r="I1826" s="4">
        <v>55.24</v>
      </c>
      <c r="J1826">
        <v>4.0999999999999996</v>
      </c>
      <c r="K1826" t="s">
        <v>33</v>
      </c>
      <c r="L1826" t="s">
        <v>26</v>
      </c>
      <c r="O1826"/>
    </row>
    <row r="1827" spans="1:15" x14ac:dyDescent="0.3">
      <c r="A1827" t="s">
        <v>1851</v>
      </c>
      <c r="B1827" s="1">
        <v>45734</v>
      </c>
      <c r="C1827" t="s">
        <v>14</v>
      </c>
      <c r="D1827" t="s">
        <v>22</v>
      </c>
      <c r="E1827" s="2">
        <v>5.12</v>
      </c>
      <c r="F1827" s="3">
        <v>13.36</v>
      </c>
      <c r="G1827" s="4">
        <v>93.31</v>
      </c>
      <c r="H1827">
        <v>1</v>
      </c>
      <c r="I1827" s="4">
        <v>93.31</v>
      </c>
      <c r="J1827">
        <v>3.4</v>
      </c>
      <c r="K1827" t="s">
        <v>36</v>
      </c>
      <c r="L1827" t="s">
        <v>28</v>
      </c>
      <c r="O1827"/>
    </row>
    <row r="1828" spans="1:15" x14ac:dyDescent="0.3">
      <c r="A1828" t="s">
        <v>1852</v>
      </c>
      <c r="B1828" s="1">
        <v>45667</v>
      </c>
      <c r="C1828" t="s">
        <v>22</v>
      </c>
      <c r="D1828" t="s">
        <v>22</v>
      </c>
      <c r="E1828" s="2">
        <v>19.63</v>
      </c>
      <c r="F1828" s="3">
        <v>50.1</v>
      </c>
      <c r="G1828" s="4">
        <v>238.98</v>
      </c>
      <c r="H1828">
        <v>2</v>
      </c>
      <c r="I1828" s="4">
        <v>477.96</v>
      </c>
      <c r="J1828">
        <v>3.6</v>
      </c>
      <c r="K1828" t="s">
        <v>36</v>
      </c>
      <c r="L1828" t="s">
        <v>28</v>
      </c>
      <c r="O1828"/>
    </row>
    <row r="1829" spans="1:15" x14ac:dyDescent="0.3">
      <c r="A1829" t="s">
        <v>1853</v>
      </c>
      <c r="B1829" s="1">
        <v>45704</v>
      </c>
      <c r="C1829" t="s">
        <v>13</v>
      </c>
      <c r="D1829" t="s">
        <v>14</v>
      </c>
      <c r="E1829" s="2">
        <v>28.23</v>
      </c>
      <c r="F1829" s="3">
        <v>94.39</v>
      </c>
      <c r="G1829" s="4">
        <v>303.39999999999998</v>
      </c>
      <c r="H1829">
        <v>2</v>
      </c>
      <c r="I1829" s="4">
        <v>606.79999999999995</v>
      </c>
      <c r="J1829">
        <v>3.9</v>
      </c>
      <c r="K1829" t="s">
        <v>15</v>
      </c>
      <c r="L1829" t="s">
        <v>28</v>
      </c>
      <c r="O1829"/>
    </row>
    <row r="1830" spans="1:15" x14ac:dyDescent="0.3">
      <c r="A1830" t="s">
        <v>1854</v>
      </c>
      <c r="B1830" s="1">
        <v>45701</v>
      </c>
      <c r="C1830" t="s">
        <v>25</v>
      </c>
      <c r="D1830" t="s">
        <v>22</v>
      </c>
      <c r="E1830" s="2">
        <v>3.74</v>
      </c>
      <c r="F1830" s="3">
        <v>14.88</v>
      </c>
      <c r="G1830" s="4">
        <v>72.900000000000006</v>
      </c>
      <c r="H1830">
        <v>1.5</v>
      </c>
      <c r="I1830" s="4">
        <v>109.35</v>
      </c>
      <c r="J1830">
        <v>4.9000000000000004</v>
      </c>
      <c r="K1830" t="s">
        <v>30</v>
      </c>
      <c r="L1830" t="s">
        <v>16</v>
      </c>
      <c r="O1830"/>
    </row>
    <row r="1831" spans="1:15" x14ac:dyDescent="0.3">
      <c r="A1831" t="s">
        <v>1855</v>
      </c>
      <c r="B1831" s="1">
        <v>45837</v>
      </c>
      <c r="C1831" t="s">
        <v>21</v>
      </c>
      <c r="D1831" t="s">
        <v>22</v>
      </c>
      <c r="E1831" s="2">
        <v>11.53</v>
      </c>
      <c r="F1831" s="3">
        <v>42.54</v>
      </c>
      <c r="G1831" s="4">
        <v>163.54</v>
      </c>
      <c r="H1831">
        <v>1.5</v>
      </c>
      <c r="I1831" s="4">
        <v>245.31</v>
      </c>
      <c r="J1831">
        <v>4.2</v>
      </c>
      <c r="K1831" t="s">
        <v>33</v>
      </c>
      <c r="L1831" t="s">
        <v>26</v>
      </c>
      <c r="O1831"/>
    </row>
    <row r="1832" spans="1:15" x14ac:dyDescent="0.3">
      <c r="A1832" t="s">
        <v>1856</v>
      </c>
      <c r="B1832" s="1">
        <v>45735</v>
      </c>
      <c r="C1832" t="s">
        <v>25</v>
      </c>
      <c r="D1832" t="s">
        <v>22</v>
      </c>
      <c r="E1832" s="2">
        <v>23.46</v>
      </c>
      <c r="F1832" s="3">
        <v>48.51</v>
      </c>
      <c r="G1832" s="4">
        <v>373.75</v>
      </c>
      <c r="H1832">
        <v>1.5</v>
      </c>
      <c r="I1832" s="4">
        <v>560.62</v>
      </c>
      <c r="J1832">
        <v>3.4</v>
      </c>
      <c r="K1832" t="s">
        <v>30</v>
      </c>
      <c r="L1832" t="s">
        <v>16</v>
      </c>
      <c r="O1832"/>
    </row>
    <row r="1833" spans="1:15" x14ac:dyDescent="0.3">
      <c r="A1833" t="s">
        <v>1857</v>
      </c>
      <c r="B1833" s="1">
        <v>45877</v>
      </c>
      <c r="C1833" t="s">
        <v>14</v>
      </c>
      <c r="D1833" t="s">
        <v>21</v>
      </c>
      <c r="E1833" s="2">
        <v>14.6</v>
      </c>
      <c r="F1833" s="3">
        <v>38.96</v>
      </c>
      <c r="G1833" s="4">
        <v>161.66999999999999</v>
      </c>
      <c r="H1833">
        <v>1.5</v>
      </c>
      <c r="I1833" s="4">
        <v>242.5</v>
      </c>
      <c r="J1833">
        <v>3.8</v>
      </c>
      <c r="K1833" t="s">
        <v>36</v>
      </c>
      <c r="L1833" t="s">
        <v>28</v>
      </c>
      <c r="O1833"/>
    </row>
    <row r="1834" spans="1:15" x14ac:dyDescent="0.3">
      <c r="A1834" t="s">
        <v>1858</v>
      </c>
      <c r="B1834" s="1">
        <v>45763</v>
      </c>
      <c r="C1834" t="s">
        <v>14</v>
      </c>
      <c r="D1834" t="s">
        <v>25</v>
      </c>
      <c r="E1834" s="2">
        <v>24.98</v>
      </c>
      <c r="F1834" s="3">
        <v>54.86</v>
      </c>
      <c r="G1834" s="4">
        <v>425.64</v>
      </c>
      <c r="H1834">
        <v>1.5</v>
      </c>
      <c r="I1834" s="4">
        <v>638.46</v>
      </c>
      <c r="J1834">
        <v>4.5</v>
      </c>
      <c r="K1834" t="s">
        <v>33</v>
      </c>
      <c r="L1834" t="s">
        <v>26</v>
      </c>
      <c r="O1834"/>
    </row>
    <row r="1835" spans="1:15" x14ac:dyDescent="0.3">
      <c r="A1835" t="s">
        <v>1859</v>
      </c>
      <c r="B1835" s="1">
        <v>45943</v>
      </c>
      <c r="C1835" t="s">
        <v>13</v>
      </c>
      <c r="D1835" t="s">
        <v>13</v>
      </c>
      <c r="E1835" s="2">
        <v>28.04</v>
      </c>
      <c r="F1835" s="3">
        <v>70.010000000000005</v>
      </c>
      <c r="G1835" s="4">
        <v>460.57</v>
      </c>
      <c r="H1835">
        <v>2</v>
      </c>
      <c r="I1835" s="4">
        <v>921.14</v>
      </c>
      <c r="J1835">
        <v>4</v>
      </c>
      <c r="K1835" t="s">
        <v>36</v>
      </c>
      <c r="L1835" t="s">
        <v>16</v>
      </c>
      <c r="O1835"/>
    </row>
    <row r="1836" spans="1:15" x14ac:dyDescent="0.3">
      <c r="A1836" t="s">
        <v>1860</v>
      </c>
      <c r="B1836" s="1">
        <v>45790</v>
      </c>
      <c r="C1836" t="s">
        <v>25</v>
      </c>
      <c r="D1836" t="s">
        <v>25</v>
      </c>
      <c r="E1836" s="2">
        <v>23.8</v>
      </c>
      <c r="F1836" s="3">
        <v>89.57</v>
      </c>
      <c r="G1836" s="4">
        <v>437.61</v>
      </c>
      <c r="H1836">
        <v>1</v>
      </c>
      <c r="I1836" s="4">
        <v>437.61</v>
      </c>
      <c r="J1836">
        <v>4.4000000000000004</v>
      </c>
      <c r="K1836" t="s">
        <v>33</v>
      </c>
      <c r="L1836" t="s">
        <v>26</v>
      </c>
      <c r="O1836"/>
    </row>
    <row r="1837" spans="1:15" x14ac:dyDescent="0.3">
      <c r="A1837" t="s">
        <v>1861</v>
      </c>
      <c r="B1837" s="1">
        <v>45806</v>
      </c>
      <c r="C1837" t="s">
        <v>21</v>
      </c>
      <c r="D1837" t="s">
        <v>22</v>
      </c>
      <c r="E1837" s="2">
        <v>20.18</v>
      </c>
      <c r="F1837" s="3">
        <v>69.010000000000005</v>
      </c>
      <c r="G1837" s="4">
        <v>203.96</v>
      </c>
      <c r="H1837">
        <v>1.2</v>
      </c>
      <c r="I1837" s="4">
        <v>244.75</v>
      </c>
      <c r="J1837">
        <v>4.8</v>
      </c>
      <c r="K1837" t="s">
        <v>15</v>
      </c>
      <c r="L1837" t="s">
        <v>26</v>
      </c>
      <c r="O1837"/>
    </row>
    <row r="1838" spans="1:15" x14ac:dyDescent="0.3">
      <c r="A1838" t="s">
        <v>1862</v>
      </c>
      <c r="B1838" s="1">
        <v>45825</v>
      </c>
      <c r="C1838" t="s">
        <v>14</v>
      </c>
      <c r="D1838" t="s">
        <v>13</v>
      </c>
      <c r="E1838" s="2">
        <v>15.2</v>
      </c>
      <c r="F1838" s="3">
        <v>39.869999999999997</v>
      </c>
      <c r="G1838" s="4">
        <v>284.51</v>
      </c>
      <c r="H1838">
        <v>1.5</v>
      </c>
      <c r="I1838" s="4">
        <v>426.76</v>
      </c>
      <c r="J1838">
        <v>3.1</v>
      </c>
      <c r="K1838" t="s">
        <v>15</v>
      </c>
      <c r="L1838" t="s">
        <v>16</v>
      </c>
      <c r="O1838"/>
    </row>
    <row r="1839" spans="1:15" x14ac:dyDescent="0.3">
      <c r="A1839" t="s">
        <v>1863</v>
      </c>
      <c r="B1839" s="1">
        <v>45829</v>
      </c>
      <c r="C1839" t="s">
        <v>14</v>
      </c>
      <c r="D1839" t="s">
        <v>22</v>
      </c>
      <c r="E1839" s="2">
        <v>12.02</v>
      </c>
      <c r="F1839" s="3">
        <v>32.15</v>
      </c>
      <c r="G1839" s="4">
        <v>206.5</v>
      </c>
      <c r="H1839">
        <v>1</v>
      </c>
      <c r="I1839" s="4">
        <v>206.5</v>
      </c>
      <c r="J1839">
        <v>3.5</v>
      </c>
      <c r="K1839" t="s">
        <v>30</v>
      </c>
      <c r="L1839" t="s">
        <v>26</v>
      </c>
      <c r="O1839"/>
    </row>
    <row r="1840" spans="1:15" x14ac:dyDescent="0.3">
      <c r="A1840" t="s">
        <v>1864</v>
      </c>
      <c r="B1840" s="1">
        <v>45884</v>
      </c>
      <c r="C1840" t="s">
        <v>25</v>
      </c>
      <c r="D1840" t="s">
        <v>21</v>
      </c>
      <c r="E1840" s="2">
        <v>7.41</v>
      </c>
      <c r="F1840" s="3">
        <v>18.88</v>
      </c>
      <c r="G1840" s="4">
        <v>114.68</v>
      </c>
      <c r="H1840">
        <v>1</v>
      </c>
      <c r="I1840" s="4">
        <v>114.68</v>
      </c>
      <c r="J1840">
        <v>3</v>
      </c>
      <c r="K1840" t="s">
        <v>33</v>
      </c>
      <c r="L1840" t="s">
        <v>16</v>
      </c>
      <c r="O1840"/>
    </row>
    <row r="1841" spans="1:15" x14ac:dyDescent="0.3">
      <c r="A1841" t="s">
        <v>1865</v>
      </c>
      <c r="B1841" s="1">
        <v>45675</v>
      </c>
      <c r="C1841" t="s">
        <v>14</v>
      </c>
      <c r="D1841" t="s">
        <v>21</v>
      </c>
      <c r="E1841" s="2">
        <v>13.21</v>
      </c>
      <c r="F1841" s="3">
        <v>28.23</v>
      </c>
      <c r="G1841" s="4">
        <v>199.57</v>
      </c>
      <c r="H1841">
        <v>2</v>
      </c>
      <c r="I1841" s="4">
        <v>399.14</v>
      </c>
      <c r="J1841">
        <v>3.7</v>
      </c>
      <c r="K1841" t="s">
        <v>30</v>
      </c>
      <c r="L1841" t="s">
        <v>16</v>
      </c>
      <c r="O1841"/>
    </row>
    <row r="1842" spans="1:15" x14ac:dyDescent="0.3">
      <c r="A1842" t="s">
        <v>1866</v>
      </c>
      <c r="B1842" s="1">
        <v>45697</v>
      </c>
      <c r="C1842" t="s">
        <v>14</v>
      </c>
      <c r="D1842" t="s">
        <v>14</v>
      </c>
      <c r="E1842" s="2">
        <v>20.13</v>
      </c>
      <c r="F1842" s="3">
        <v>58.21</v>
      </c>
      <c r="G1842" s="4">
        <v>246.52</v>
      </c>
      <c r="H1842">
        <v>1.2</v>
      </c>
      <c r="I1842" s="4">
        <v>295.82</v>
      </c>
      <c r="J1842">
        <v>3.8</v>
      </c>
      <c r="K1842" t="s">
        <v>36</v>
      </c>
      <c r="L1842" t="s">
        <v>28</v>
      </c>
      <c r="O1842"/>
    </row>
    <row r="1843" spans="1:15" x14ac:dyDescent="0.3">
      <c r="A1843" t="s">
        <v>1867</v>
      </c>
      <c r="B1843" s="1">
        <v>45894</v>
      </c>
      <c r="C1843" t="s">
        <v>13</v>
      </c>
      <c r="D1843" t="s">
        <v>25</v>
      </c>
      <c r="E1843" s="2">
        <v>5.45</v>
      </c>
      <c r="F1843" s="3">
        <v>20.87</v>
      </c>
      <c r="G1843" s="4">
        <v>58.01</v>
      </c>
      <c r="H1843">
        <v>1.2</v>
      </c>
      <c r="I1843" s="4">
        <v>69.61</v>
      </c>
      <c r="J1843">
        <v>3.5</v>
      </c>
      <c r="K1843" t="s">
        <v>15</v>
      </c>
      <c r="L1843" t="s">
        <v>16</v>
      </c>
      <c r="O1843"/>
    </row>
    <row r="1844" spans="1:15" x14ac:dyDescent="0.3">
      <c r="A1844" t="s">
        <v>1868</v>
      </c>
      <c r="B1844" s="1">
        <v>45798</v>
      </c>
      <c r="C1844" t="s">
        <v>22</v>
      </c>
      <c r="D1844" t="s">
        <v>25</v>
      </c>
      <c r="E1844" s="2">
        <v>27.37</v>
      </c>
      <c r="F1844" s="3">
        <v>83.2</v>
      </c>
      <c r="G1844" s="4">
        <v>489.36</v>
      </c>
      <c r="H1844">
        <v>1.2</v>
      </c>
      <c r="I1844" s="4">
        <v>587.23</v>
      </c>
      <c r="J1844">
        <v>3.1</v>
      </c>
      <c r="K1844" t="s">
        <v>18</v>
      </c>
      <c r="L1844" t="s">
        <v>26</v>
      </c>
      <c r="O1844"/>
    </row>
    <row r="1845" spans="1:15" x14ac:dyDescent="0.3">
      <c r="A1845" t="s">
        <v>1869</v>
      </c>
      <c r="B1845" s="1">
        <v>45718</v>
      </c>
      <c r="C1845" t="s">
        <v>14</v>
      </c>
      <c r="D1845" t="s">
        <v>21</v>
      </c>
      <c r="E1845" s="2">
        <v>11.39</v>
      </c>
      <c r="F1845" s="3">
        <v>41.64</v>
      </c>
      <c r="G1845" s="4">
        <v>116.47</v>
      </c>
      <c r="H1845">
        <v>2</v>
      </c>
      <c r="I1845" s="4">
        <v>232.94</v>
      </c>
      <c r="J1845">
        <v>3.4</v>
      </c>
      <c r="K1845" t="s">
        <v>33</v>
      </c>
      <c r="L1845" t="s">
        <v>19</v>
      </c>
      <c r="O1845"/>
    </row>
    <row r="1846" spans="1:15" x14ac:dyDescent="0.3">
      <c r="A1846" t="s">
        <v>1870</v>
      </c>
      <c r="B1846" s="1">
        <v>45665</v>
      </c>
      <c r="C1846" t="s">
        <v>13</v>
      </c>
      <c r="D1846" t="s">
        <v>13</v>
      </c>
      <c r="E1846" s="2">
        <v>21.29</v>
      </c>
      <c r="F1846" s="3">
        <v>53.07</v>
      </c>
      <c r="G1846" s="4">
        <v>405.24</v>
      </c>
      <c r="H1846">
        <v>1.5</v>
      </c>
      <c r="I1846" s="4">
        <v>607.86</v>
      </c>
      <c r="J1846">
        <v>4.9000000000000004</v>
      </c>
      <c r="K1846" t="s">
        <v>18</v>
      </c>
      <c r="L1846" t="s">
        <v>16</v>
      </c>
      <c r="O1846"/>
    </row>
    <row r="1847" spans="1:15" x14ac:dyDescent="0.3">
      <c r="A1847" t="s">
        <v>1871</v>
      </c>
      <c r="B1847" s="1">
        <v>45994</v>
      </c>
      <c r="C1847" t="s">
        <v>22</v>
      </c>
      <c r="D1847" t="s">
        <v>25</v>
      </c>
      <c r="E1847" s="2">
        <v>21.48</v>
      </c>
      <c r="F1847" s="3">
        <v>55.44</v>
      </c>
      <c r="G1847" s="4">
        <v>250.28</v>
      </c>
      <c r="H1847">
        <v>2</v>
      </c>
      <c r="I1847" s="4">
        <v>500.56</v>
      </c>
      <c r="J1847">
        <v>3.4</v>
      </c>
      <c r="K1847" t="s">
        <v>30</v>
      </c>
      <c r="L1847" t="s">
        <v>19</v>
      </c>
      <c r="O1847"/>
    </row>
    <row r="1848" spans="1:15" x14ac:dyDescent="0.3">
      <c r="A1848" t="s">
        <v>1872</v>
      </c>
      <c r="B1848" s="1">
        <v>45934</v>
      </c>
      <c r="C1848" t="s">
        <v>14</v>
      </c>
      <c r="D1848" t="s">
        <v>22</v>
      </c>
      <c r="E1848" s="2">
        <v>9.08</v>
      </c>
      <c r="F1848" s="3">
        <v>26.71</v>
      </c>
      <c r="G1848" s="4">
        <v>174.14</v>
      </c>
      <c r="H1848">
        <v>1</v>
      </c>
      <c r="I1848" s="4">
        <v>174.14</v>
      </c>
      <c r="J1848">
        <v>3.8</v>
      </c>
      <c r="K1848" t="s">
        <v>15</v>
      </c>
      <c r="L1848" t="s">
        <v>26</v>
      </c>
      <c r="O1848"/>
    </row>
    <row r="1849" spans="1:15" x14ac:dyDescent="0.3">
      <c r="A1849" t="s">
        <v>1873</v>
      </c>
      <c r="B1849" s="1">
        <v>45820</v>
      </c>
      <c r="C1849" t="s">
        <v>14</v>
      </c>
      <c r="D1849" t="s">
        <v>21</v>
      </c>
      <c r="E1849" s="2">
        <v>24.29</v>
      </c>
      <c r="F1849" s="3">
        <v>69.33</v>
      </c>
      <c r="G1849" s="4">
        <v>299.63</v>
      </c>
      <c r="H1849">
        <v>2</v>
      </c>
      <c r="I1849" s="4">
        <v>599.26</v>
      </c>
      <c r="J1849">
        <v>3.8</v>
      </c>
      <c r="K1849" t="s">
        <v>15</v>
      </c>
      <c r="L1849" t="s">
        <v>19</v>
      </c>
      <c r="O1849"/>
    </row>
    <row r="1850" spans="1:15" x14ac:dyDescent="0.3">
      <c r="A1850" t="s">
        <v>1874</v>
      </c>
      <c r="B1850" s="1">
        <v>45932</v>
      </c>
      <c r="C1850" t="s">
        <v>14</v>
      </c>
      <c r="D1850" t="s">
        <v>21</v>
      </c>
      <c r="E1850" s="2">
        <v>25.46</v>
      </c>
      <c r="F1850" s="3">
        <v>85.97</v>
      </c>
      <c r="G1850" s="4">
        <v>329.67</v>
      </c>
      <c r="H1850">
        <v>1</v>
      </c>
      <c r="I1850" s="4">
        <v>329.67</v>
      </c>
      <c r="J1850">
        <v>3.6</v>
      </c>
      <c r="K1850" t="s">
        <v>30</v>
      </c>
      <c r="L1850" t="s">
        <v>19</v>
      </c>
      <c r="O1850"/>
    </row>
    <row r="1851" spans="1:15" x14ac:dyDescent="0.3">
      <c r="A1851" t="s">
        <v>1875</v>
      </c>
      <c r="B1851" s="1">
        <v>45724</v>
      </c>
      <c r="C1851" t="s">
        <v>22</v>
      </c>
      <c r="D1851" t="s">
        <v>25</v>
      </c>
      <c r="E1851" s="2">
        <v>24.22</v>
      </c>
      <c r="F1851" s="3">
        <v>92.92</v>
      </c>
      <c r="G1851" s="4">
        <v>388.25</v>
      </c>
      <c r="H1851">
        <v>2</v>
      </c>
      <c r="I1851" s="4">
        <v>776.5</v>
      </c>
      <c r="J1851">
        <v>3</v>
      </c>
      <c r="K1851" t="s">
        <v>36</v>
      </c>
      <c r="L1851" t="s">
        <v>28</v>
      </c>
      <c r="O1851"/>
    </row>
    <row r="1852" spans="1:15" x14ac:dyDescent="0.3">
      <c r="A1852" t="s">
        <v>1876</v>
      </c>
      <c r="B1852" s="1">
        <v>45937</v>
      </c>
      <c r="C1852" t="s">
        <v>22</v>
      </c>
      <c r="D1852" t="s">
        <v>21</v>
      </c>
      <c r="E1852" s="2">
        <v>6.6</v>
      </c>
      <c r="F1852" s="3">
        <v>22.02</v>
      </c>
      <c r="G1852" s="4">
        <v>72.17</v>
      </c>
      <c r="H1852">
        <v>1.5</v>
      </c>
      <c r="I1852" s="4">
        <v>108.26</v>
      </c>
      <c r="J1852">
        <v>3.8</v>
      </c>
      <c r="K1852" t="s">
        <v>15</v>
      </c>
      <c r="L1852" t="s">
        <v>16</v>
      </c>
      <c r="O1852"/>
    </row>
    <row r="1853" spans="1:15" x14ac:dyDescent="0.3">
      <c r="A1853" t="s">
        <v>1877</v>
      </c>
      <c r="B1853" s="1">
        <v>45806</v>
      </c>
      <c r="C1853" t="s">
        <v>25</v>
      </c>
      <c r="D1853" t="s">
        <v>25</v>
      </c>
      <c r="E1853" s="2">
        <v>13.07</v>
      </c>
      <c r="F1853" s="3">
        <v>47.91</v>
      </c>
      <c r="G1853" s="4">
        <v>259.72000000000003</v>
      </c>
      <c r="H1853">
        <v>1</v>
      </c>
      <c r="I1853" s="4">
        <v>259.72000000000003</v>
      </c>
      <c r="J1853">
        <v>3.4</v>
      </c>
      <c r="K1853" t="s">
        <v>30</v>
      </c>
      <c r="L1853" t="s">
        <v>28</v>
      </c>
      <c r="O1853"/>
    </row>
    <row r="1854" spans="1:15" x14ac:dyDescent="0.3">
      <c r="A1854" t="s">
        <v>1878</v>
      </c>
      <c r="B1854" s="1">
        <v>45936</v>
      </c>
      <c r="C1854" t="s">
        <v>13</v>
      </c>
      <c r="D1854" t="s">
        <v>21</v>
      </c>
      <c r="E1854" s="2">
        <v>15.83</v>
      </c>
      <c r="F1854" s="3">
        <v>61.88</v>
      </c>
      <c r="G1854" s="4">
        <v>234.06</v>
      </c>
      <c r="H1854">
        <v>1.5</v>
      </c>
      <c r="I1854" s="4">
        <v>351.09</v>
      </c>
      <c r="J1854">
        <v>4</v>
      </c>
      <c r="K1854" t="s">
        <v>33</v>
      </c>
      <c r="L1854" t="s">
        <v>26</v>
      </c>
      <c r="O1854"/>
    </row>
    <row r="1855" spans="1:15" x14ac:dyDescent="0.3">
      <c r="A1855" t="s">
        <v>1879</v>
      </c>
      <c r="B1855" s="1">
        <v>45875</v>
      </c>
      <c r="C1855" t="s">
        <v>21</v>
      </c>
      <c r="D1855" t="s">
        <v>25</v>
      </c>
      <c r="E1855" s="2">
        <v>11.83</v>
      </c>
      <c r="F1855" s="3">
        <v>45</v>
      </c>
      <c r="G1855" s="4">
        <v>226.84</v>
      </c>
      <c r="H1855">
        <v>1.5</v>
      </c>
      <c r="I1855" s="4">
        <v>340.26</v>
      </c>
      <c r="J1855">
        <v>4.5999999999999996</v>
      </c>
      <c r="K1855" t="s">
        <v>15</v>
      </c>
      <c r="L1855" t="s">
        <v>19</v>
      </c>
      <c r="O1855"/>
    </row>
    <row r="1856" spans="1:15" x14ac:dyDescent="0.3">
      <c r="A1856" t="s">
        <v>1880</v>
      </c>
      <c r="B1856" s="1">
        <v>45678</v>
      </c>
      <c r="C1856" t="s">
        <v>14</v>
      </c>
      <c r="D1856" t="s">
        <v>13</v>
      </c>
      <c r="E1856" s="2">
        <v>12.61</v>
      </c>
      <c r="F1856" s="3">
        <v>47.17</v>
      </c>
      <c r="G1856" s="4">
        <v>171.39</v>
      </c>
      <c r="H1856">
        <v>2</v>
      </c>
      <c r="I1856" s="4">
        <v>342.78</v>
      </c>
      <c r="J1856">
        <v>3.6</v>
      </c>
      <c r="K1856" t="s">
        <v>33</v>
      </c>
      <c r="L1856" t="s">
        <v>28</v>
      </c>
      <c r="O1856"/>
    </row>
    <row r="1857" spans="1:15" x14ac:dyDescent="0.3">
      <c r="A1857" t="s">
        <v>1881</v>
      </c>
      <c r="B1857" s="1">
        <v>45863</v>
      </c>
      <c r="C1857" t="s">
        <v>21</v>
      </c>
      <c r="D1857" t="s">
        <v>13</v>
      </c>
      <c r="E1857" s="2">
        <v>2.63</v>
      </c>
      <c r="F1857" s="3">
        <v>7.43</v>
      </c>
      <c r="G1857" s="4">
        <v>41.53</v>
      </c>
      <c r="H1857">
        <v>1.2</v>
      </c>
      <c r="I1857" s="4">
        <v>49.84</v>
      </c>
      <c r="J1857">
        <v>4.5999999999999996</v>
      </c>
      <c r="K1857" t="s">
        <v>36</v>
      </c>
      <c r="L1857" t="s">
        <v>28</v>
      </c>
      <c r="O1857"/>
    </row>
    <row r="1858" spans="1:15" x14ac:dyDescent="0.3">
      <c r="A1858" t="s">
        <v>1882</v>
      </c>
      <c r="B1858" s="1">
        <v>45996</v>
      </c>
      <c r="C1858" t="s">
        <v>14</v>
      </c>
      <c r="D1858" t="s">
        <v>14</v>
      </c>
      <c r="E1858" s="2">
        <v>15.94</v>
      </c>
      <c r="F1858" s="3">
        <v>53.74</v>
      </c>
      <c r="G1858" s="4">
        <v>262.94</v>
      </c>
      <c r="H1858">
        <v>1.2</v>
      </c>
      <c r="I1858" s="4">
        <v>315.52999999999997</v>
      </c>
      <c r="J1858">
        <v>3.8</v>
      </c>
      <c r="K1858" t="s">
        <v>15</v>
      </c>
      <c r="L1858" t="s">
        <v>28</v>
      </c>
      <c r="O1858"/>
    </row>
    <row r="1859" spans="1:15" x14ac:dyDescent="0.3">
      <c r="A1859" t="s">
        <v>1883</v>
      </c>
      <c r="B1859" s="1">
        <v>45787</v>
      </c>
      <c r="C1859" t="s">
        <v>13</v>
      </c>
      <c r="D1859" t="s">
        <v>25</v>
      </c>
      <c r="E1859" s="2">
        <v>28.49</v>
      </c>
      <c r="F1859" s="3">
        <v>60.9</v>
      </c>
      <c r="G1859" s="4">
        <v>429.46</v>
      </c>
      <c r="H1859">
        <v>1.2</v>
      </c>
      <c r="I1859" s="4">
        <v>515.35</v>
      </c>
      <c r="J1859">
        <v>3.7</v>
      </c>
      <c r="K1859" t="s">
        <v>36</v>
      </c>
      <c r="L1859" t="s">
        <v>19</v>
      </c>
      <c r="O1859"/>
    </row>
    <row r="1860" spans="1:15" x14ac:dyDescent="0.3">
      <c r="A1860" t="s">
        <v>1884</v>
      </c>
      <c r="B1860" s="1">
        <v>45994</v>
      </c>
      <c r="C1860" t="s">
        <v>25</v>
      </c>
      <c r="D1860" t="s">
        <v>25</v>
      </c>
      <c r="E1860" s="2">
        <v>3.17</v>
      </c>
      <c r="F1860" s="3">
        <v>12.14</v>
      </c>
      <c r="G1860" s="4">
        <v>32.35</v>
      </c>
      <c r="H1860">
        <v>1.5</v>
      </c>
      <c r="I1860" s="4">
        <v>48.53</v>
      </c>
      <c r="J1860">
        <v>3.9</v>
      </c>
      <c r="K1860" t="s">
        <v>33</v>
      </c>
      <c r="L1860" t="s">
        <v>28</v>
      </c>
      <c r="O1860"/>
    </row>
    <row r="1861" spans="1:15" x14ac:dyDescent="0.3">
      <c r="A1861" t="s">
        <v>1885</v>
      </c>
      <c r="B1861" s="1">
        <v>45881</v>
      </c>
      <c r="C1861" t="s">
        <v>14</v>
      </c>
      <c r="D1861" t="s">
        <v>25</v>
      </c>
      <c r="E1861" s="2">
        <v>9.64</v>
      </c>
      <c r="F1861" s="3">
        <v>26.67</v>
      </c>
      <c r="G1861" s="4">
        <v>176.95</v>
      </c>
      <c r="H1861">
        <v>1</v>
      </c>
      <c r="I1861" s="4">
        <v>176.95</v>
      </c>
      <c r="J1861">
        <v>3.2</v>
      </c>
      <c r="K1861" t="s">
        <v>36</v>
      </c>
      <c r="L1861" t="s">
        <v>28</v>
      </c>
      <c r="O1861"/>
    </row>
    <row r="1862" spans="1:15" x14ac:dyDescent="0.3">
      <c r="A1862" t="s">
        <v>1886</v>
      </c>
      <c r="B1862" s="1">
        <v>45852</v>
      </c>
      <c r="C1862" t="s">
        <v>22</v>
      </c>
      <c r="D1862" t="s">
        <v>22</v>
      </c>
      <c r="E1862" s="2">
        <v>12.41</v>
      </c>
      <c r="F1862" s="3">
        <v>45.83</v>
      </c>
      <c r="G1862" s="4">
        <v>177.08</v>
      </c>
      <c r="H1862">
        <v>1.5</v>
      </c>
      <c r="I1862" s="4">
        <v>265.62</v>
      </c>
      <c r="J1862">
        <v>4.8</v>
      </c>
      <c r="K1862" t="s">
        <v>15</v>
      </c>
      <c r="L1862" t="s">
        <v>16</v>
      </c>
      <c r="O1862"/>
    </row>
    <row r="1863" spans="1:15" x14ac:dyDescent="0.3">
      <c r="A1863" t="s">
        <v>1887</v>
      </c>
      <c r="B1863" s="1">
        <v>45821</v>
      </c>
      <c r="C1863" t="s">
        <v>13</v>
      </c>
      <c r="D1863" t="s">
        <v>22</v>
      </c>
      <c r="E1863" s="2">
        <v>4.32</v>
      </c>
      <c r="F1863" s="3">
        <v>12.1</v>
      </c>
      <c r="G1863" s="4">
        <v>52.13</v>
      </c>
      <c r="H1863">
        <v>1.5</v>
      </c>
      <c r="I1863" s="4">
        <v>78.2</v>
      </c>
      <c r="J1863">
        <v>3.4</v>
      </c>
      <c r="K1863" t="s">
        <v>36</v>
      </c>
      <c r="L1863" t="s">
        <v>19</v>
      </c>
      <c r="O1863"/>
    </row>
    <row r="1864" spans="1:15" x14ac:dyDescent="0.3">
      <c r="A1864" t="s">
        <v>1888</v>
      </c>
      <c r="B1864" s="1">
        <v>45709</v>
      </c>
      <c r="C1864" t="s">
        <v>13</v>
      </c>
      <c r="D1864" t="s">
        <v>25</v>
      </c>
      <c r="E1864" s="2">
        <v>20.48</v>
      </c>
      <c r="F1864" s="3">
        <v>78.3</v>
      </c>
      <c r="G1864" s="4">
        <v>307.64</v>
      </c>
      <c r="H1864">
        <v>2</v>
      </c>
      <c r="I1864" s="4">
        <v>615.28</v>
      </c>
      <c r="J1864">
        <v>3</v>
      </c>
      <c r="K1864" t="s">
        <v>15</v>
      </c>
      <c r="L1864" t="s">
        <v>26</v>
      </c>
      <c r="O1864"/>
    </row>
    <row r="1865" spans="1:15" x14ac:dyDescent="0.3">
      <c r="A1865" t="s">
        <v>1889</v>
      </c>
      <c r="B1865" s="1">
        <v>45895</v>
      </c>
      <c r="C1865" t="s">
        <v>25</v>
      </c>
      <c r="D1865" t="s">
        <v>13</v>
      </c>
      <c r="E1865" s="2">
        <v>11.22</v>
      </c>
      <c r="F1865" s="3">
        <v>34.89</v>
      </c>
      <c r="G1865" s="4">
        <v>133.30000000000001</v>
      </c>
      <c r="H1865">
        <v>1</v>
      </c>
      <c r="I1865" s="4">
        <v>133.30000000000001</v>
      </c>
      <c r="J1865">
        <v>4.3</v>
      </c>
      <c r="K1865" t="s">
        <v>33</v>
      </c>
      <c r="L1865" t="s">
        <v>26</v>
      </c>
      <c r="O1865"/>
    </row>
    <row r="1866" spans="1:15" x14ac:dyDescent="0.3">
      <c r="A1866" t="s">
        <v>1890</v>
      </c>
      <c r="B1866" s="1">
        <v>45785</v>
      </c>
      <c r="C1866" t="s">
        <v>25</v>
      </c>
      <c r="D1866" t="s">
        <v>13</v>
      </c>
      <c r="E1866" s="2">
        <v>7.57</v>
      </c>
      <c r="F1866" s="3">
        <v>22.42</v>
      </c>
      <c r="G1866" s="4">
        <v>113.46</v>
      </c>
      <c r="H1866">
        <v>1</v>
      </c>
      <c r="I1866" s="4">
        <v>113.46</v>
      </c>
      <c r="J1866">
        <v>4.5</v>
      </c>
      <c r="K1866" t="s">
        <v>15</v>
      </c>
      <c r="L1866" t="s">
        <v>19</v>
      </c>
      <c r="O1866"/>
    </row>
    <row r="1867" spans="1:15" x14ac:dyDescent="0.3">
      <c r="A1867" t="s">
        <v>1891</v>
      </c>
      <c r="B1867" s="1">
        <v>45984</v>
      </c>
      <c r="C1867" t="s">
        <v>22</v>
      </c>
      <c r="D1867" t="s">
        <v>22</v>
      </c>
      <c r="E1867" s="2">
        <v>5.92</v>
      </c>
      <c r="F1867" s="3">
        <v>20.350000000000001</v>
      </c>
      <c r="G1867" s="4">
        <v>104.79</v>
      </c>
      <c r="H1867">
        <v>1</v>
      </c>
      <c r="I1867" s="4">
        <v>104.79</v>
      </c>
      <c r="J1867">
        <v>4</v>
      </c>
      <c r="K1867" t="s">
        <v>30</v>
      </c>
      <c r="L1867" t="s">
        <v>16</v>
      </c>
      <c r="O1867"/>
    </row>
    <row r="1868" spans="1:15" x14ac:dyDescent="0.3">
      <c r="A1868" t="s">
        <v>1892</v>
      </c>
      <c r="B1868" s="1">
        <v>45918</v>
      </c>
      <c r="C1868" t="s">
        <v>21</v>
      </c>
      <c r="D1868" t="s">
        <v>13</v>
      </c>
      <c r="E1868" s="2">
        <v>8.56</v>
      </c>
      <c r="F1868" s="3">
        <v>19.91</v>
      </c>
      <c r="G1868" s="4">
        <v>114.43</v>
      </c>
      <c r="H1868">
        <v>2</v>
      </c>
      <c r="I1868" s="4">
        <v>228.86</v>
      </c>
      <c r="J1868">
        <v>3.4</v>
      </c>
      <c r="K1868" t="s">
        <v>33</v>
      </c>
      <c r="L1868" t="s">
        <v>28</v>
      </c>
      <c r="O1868"/>
    </row>
    <row r="1869" spans="1:15" x14ac:dyDescent="0.3">
      <c r="A1869" t="s">
        <v>1893</v>
      </c>
      <c r="B1869" s="1">
        <v>45919</v>
      </c>
      <c r="C1869" t="s">
        <v>14</v>
      </c>
      <c r="D1869" t="s">
        <v>14</v>
      </c>
      <c r="E1869" s="2">
        <v>4.8</v>
      </c>
      <c r="F1869" s="3">
        <v>13.99</v>
      </c>
      <c r="G1869" s="4">
        <v>60.88</v>
      </c>
      <c r="H1869">
        <v>1.5</v>
      </c>
      <c r="I1869" s="4">
        <v>91.32</v>
      </c>
      <c r="J1869">
        <v>3.9</v>
      </c>
      <c r="K1869" t="s">
        <v>33</v>
      </c>
      <c r="L1869" t="s">
        <v>26</v>
      </c>
      <c r="O1869"/>
    </row>
    <row r="1870" spans="1:15" x14ac:dyDescent="0.3">
      <c r="A1870" t="s">
        <v>1894</v>
      </c>
      <c r="B1870" s="1">
        <v>45886</v>
      </c>
      <c r="C1870" t="s">
        <v>25</v>
      </c>
      <c r="D1870" t="s">
        <v>22</v>
      </c>
      <c r="E1870" s="2">
        <v>22.64</v>
      </c>
      <c r="F1870" s="3">
        <v>72.66</v>
      </c>
      <c r="G1870" s="4">
        <v>381.79</v>
      </c>
      <c r="H1870">
        <v>1</v>
      </c>
      <c r="I1870" s="4">
        <v>381.79</v>
      </c>
      <c r="J1870">
        <v>4.2</v>
      </c>
      <c r="K1870" t="s">
        <v>30</v>
      </c>
      <c r="L1870" t="s">
        <v>26</v>
      </c>
      <c r="O1870"/>
    </row>
    <row r="1871" spans="1:15" x14ac:dyDescent="0.3">
      <c r="A1871" t="s">
        <v>1895</v>
      </c>
      <c r="B1871" s="1">
        <v>45783</v>
      </c>
      <c r="C1871" t="s">
        <v>25</v>
      </c>
      <c r="D1871" t="s">
        <v>21</v>
      </c>
      <c r="E1871" s="2">
        <v>23.28</v>
      </c>
      <c r="F1871" s="3">
        <v>66.36</v>
      </c>
      <c r="G1871" s="4">
        <v>339.3</v>
      </c>
      <c r="H1871">
        <v>1.5</v>
      </c>
      <c r="I1871" s="4">
        <v>508.95</v>
      </c>
      <c r="J1871">
        <v>4.4000000000000004</v>
      </c>
      <c r="K1871" t="s">
        <v>18</v>
      </c>
      <c r="L1871" t="s">
        <v>26</v>
      </c>
      <c r="O1871"/>
    </row>
    <row r="1872" spans="1:15" x14ac:dyDescent="0.3">
      <c r="A1872" t="s">
        <v>1896</v>
      </c>
      <c r="B1872" s="1">
        <v>45993</v>
      </c>
      <c r="C1872" t="s">
        <v>22</v>
      </c>
      <c r="D1872" t="s">
        <v>22</v>
      </c>
      <c r="E1872" s="2">
        <v>20.12</v>
      </c>
      <c r="F1872" s="3">
        <v>54.29</v>
      </c>
      <c r="G1872" s="4">
        <v>336.07</v>
      </c>
      <c r="H1872">
        <v>1.5</v>
      </c>
      <c r="I1872" s="4">
        <v>504.1</v>
      </c>
      <c r="J1872">
        <v>3.1</v>
      </c>
      <c r="K1872" t="s">
        <v>15</v>
      </c>
      <c r="L1872" t="s">
        <v>28</v>
      </c>
      <c r="O1872"/>
    </row>
    <row r="1873" spans="1:15" x14ac:dyDescent="0.3">
      <c r="A1873" t="s">
        <v>1897</v>
      </c>
      <c r="B1873" s="1">
        <v>45856</v>
      </c>
      <c r="C1873" t="s">
        <v>21</v>
      </c>
      <c r="D1873" t="s">
        <v>25</v>
      </c>
      <c r="E1873" s="2">
        <v>25.4</v>
      </c>
      <c r="F1873" s="3">
        <v>83.69</v>
      </c>
      <c r="G1873" s="4">
        <v>340.74</v>
      </c>
      <c r="H1873">
        <v>1.2</v>
      </c>
      <c r="I1873" s="4">
        <v>408.89</v>
      </c>
      <c r="J1873">
        <v>4.5</v>
      </c>
      <c r="K1873" t="s">
        <v>15</v>
      </c>
      <c r="L1873" t="s">
        <v>26</v>
      </c>
      <c r="O1873"/>
    </row>
    <row r="1874" spans="1:15" x14ac:dyDescent="0.3">
      <c r="A1874" t="s">
        <v>1898</v>
      </c>
      <c r="B1874" s="1">
        <v>45853</v>
      </c>
      <c r="C1874" t="s">
        <v>25</v>
      </c>
      <c r="D1874" t="s">
        <v>25</v>
      </c>
      <c r="E1874" s="2">
        <v>29.57</v>
      </c>
      <c r="F1874" s="3">
        <v>73.78</v>
      </c>
      <c r="G1874" s="4">
        <v>319.25</v>
      </c>
      <c r="H1874">
        <v>1</v>
      </c>
      <c r="I1874" s="4">
        <v>319.25</v>
      </c>
      <c r="J1874">
        <v>3.4</v>
      </c>
      <c r="K1874" t="s">
        <v>33</v>
      </c>
      <c r="L1874" t="s">
        <v>26</v>
      </c>
      <c r="O1874"/>
    </row>
    <row r="1875" spans="1:15" x14ac:dyDescent="0.3">
      <c r="A1875" t="s">
        <v>1899</v>
      </c>
      <c r="B1875" s="1">
        <v>45906</v>
      </c>
      <c r="C1875" t="s">
        <v>14</v>
      </c>
      <c r="D1875" t="s">
        <v>22</v>
      </c>
      <c r="E1875" s="2">
        <v>28.24</v>
      </c>
      <c r="F1875" s="3">
        <v>56.59</v>
      </c>
      <c r="G1875" s="4">
        <v>487.36</v>
      </c>
      <c r="H1875">
        <v>1.5</v>
      </c>
      <c r="I1875" s="4">
        <v>731.04</v>
      </c>
      <c r="J1875">
        <v>4.9000000000000004</v>
      </c>
      <c r="K1875" t="s">
        <v>33</v>
      </c>
      <c r="L1875" t="s">
        <v>28</v>
      </c>
      <c r="O1875"/>
    </row>
    <row r="1876" spans="1:15" x14ac:dyDescent="0.3">
      <c r="A1876" t="s">
        <v>1900</v>
      </c>
      <c r="B1876" s="1">
        <v>45979</v>
      </c>
      <c r="C1876" t="s">
        <v>13</v>
      </c>
      <c r="D1876" t="s">
        <v>14</v>
      </c>
      <c r="E1876" s="2">
        <v>11.31</v>
      </c>
      <c r="F1876" s="3">
        <v>41.18</v>
      </c>
      <c r="G1876" s="4">
        <v>118.16</v>
      </c>
      <c r="H1876">
        <v>1</v>
      </c>
      <c r="I1876" s="4">
        <v>118.16</v>
      </c>
      <c r="J1876">
        <v>5</v>
      </c>
      <c r="K1876" t="s">
        <v>18</v>
      </c>
      <c r="L1876" t="s">
        <v>26</v>
      </c>
      <c r="O1876"/>
    </row>
    <row r="1877" spans="1:15" x14ac:dyDescent="0.3">
      <c r="A1877" t="s">
        <v>1901</v>
      </c>
      <c r="B1877" s="1">
        <v>46012</v>
      </c>
      <c r="C1877" t="s">
        <v>21</v>
      </c>
      <c r="D1877" t="s">
        <v>22</v>
      </c>
      <c r="E1877" s="2">
        <v>14.83</v>
      </c>
      <c r="F1877" s="3">
        <v>54.06</v>
      </c>
      <c r="G1877" s="4">
        <v>188.54</v>
      </c>
      <c r="H1877">
        <v>1</v>
      </c>
      <c r="I1877" s="4">
        <v>188.54</v>
      </c>
      <c r="J1877">
        <v>3.8</v>
      </c>
      <c r="K1877" t="s">
        <v>36</v>
      </c>
      <c r="L1877" t="s">
        <v>26</v>
      </c>
      <c r="O1877"/>
    </row>
    <row r="1878" spans="1:15" x14ac:dyDescent="0.3">
      <c r="A1878" t="s">
        <v>1902</v>
      </c>
      <c r="B1878" s="1">
        <v>45804</v>
      </c>
      <c r="C1878" t="s">
        <v>21</v>
      </c>
      <c r="D1878" t="s">
        <v>14</v>
      </c>
      <c r="E1878" s="2">
        <v>16.47</v>
      </c>
      <c r="F1878" s="3">
        <v>49.88</v>
      </c>
      <c r="G1878" s="4">
        <v>206.99</v>
      </c>
      <c r="H1878">
        <v>2</v>
      </c>
      <c r="I1878" s="4">
        <v>413.98</v>
      </c>
      <c r="J1878">
        <v>3.8</v>
      </c>
      <c r="K1878" t="s">
        <v>36</v>
      </c>
      <c r="L1878" t="s">
        <v>19</v>
      </c>
      <c r="O1878"/>
    </row>
    <row r="1879" spans="1:15" x14ac:dyDescent="0.3">
      <c r="A1879" t="s">
        <v>1903</v>
      </c>
      <c r="B1879" s="1">
        <v>46013</v>
      </c>
      <c r="C1879" t="s">
        <v>13</v>
      </c>
      <c r="D1879" t="s">
        <v>22</v>
      </c>
      <c r="E1879" s="2">
        <v>11.59</v>
      </c>
      <c r="F1879" s="3">
        <v>32.28</v>
      </c>
      <c r="G1879" s="4">
        <v>196.52</v>
      </c>
      <c r="H1879">
        <v>1</v>
      </c>
      <c r="I1879" s="4">
        <v>196.52</v>
      </c>
      <c r="J1879">
        <v>3.1</v>
      </c>
      <c r="K1879" t="s">
        <v>30</v>
      </c>
      <c r="L1879" t="s">
        <v>19</v>
      </c>
      <c r="O1879"/>
    </row>
    <row r="1880" spans="1:15" x14ac:dyDescent="0.3">
      <c r="A1880" t="s">
        <v>1904</v>
      </c>
      <c r="B1880" s="1">
        <v>45707</v>
      </c>
      <c r="C1880" t="s">
        <v>13</v>
      </c>
      <c r="D1880" t="s">
        <v>22</v>
      </c>
      <c r="E1880" s="2">
        <v>23.28</v>
      </c>
      <c r="F1880" s="3">
        <v>50.71</v>
      </c>
      <c r="G1880" s="4">
        <v>281.95999999999998</v>
      </c>
      <c r="H1880">
        <v>2</v>
      </c>
      <c r="I1880" s="4">
        <v>563.91999999999996</v>
      </c>
      <c r="J1880">
        <v>3</v>
      </c>
      <c r="K1880" t="s">
        <v>30</v>
      </c>
      <c r="L1880" t="s">
        <v>26</v>
      </c>
      <c r="O1880"/>
    </row>
    <row r="1881" spans="1:15" x14ac:dyDescent="0.3">
      <c r="A1881" t="s">
        <v>1905</v>
      </c>
      <c r="B1881" s="1">
        <v>45794</v>
      </c>
      <c r="C1881" t="s">
        <v>14</v>
      </c>
      <c r="D1881" t="s">
        <v>13</v>
      </c>
      <c r="E1881" s="2">
        <v>23.13</v>
      </c>
      <c r="F1881" s="3">
        <v>73.3</v>
      </c>
      <c r="G1881" s="4">
        <v>240.12</v>
      </c>
      <c r="H1881">
        <v>1</v>
      </c>
      <c r="I1881" s="4">
        <v>240.12</v>
      </c>
      <c r="J1881">
        <v>4</v>
      </c>
      <c r="K1881" t="s">
        <v>18</v>
      </c>
      <c r="L1881" t="s">
        <v>26</v>
      </c>
      <c r="O1881"/>
    </row>
    <row r="1882" spans="1:15" x14ac:dyDescent="0.3">
      <c r="A1882" t="s">
        <v>1906</v>
      </c>
      <c r="B1882" s="1">
        <v>45823</v>
      </c>
      <c r="C1882" t="s">
        <v>21</v>
      </c>
      <c r="D1882" t="s">
        <v>13</v>
      </c>
      <c r="E1882" s="2">
        <v>26.2</v>
      </c>
      <c r="F1882" s="3">
        <v>101.34</v>
      </c>
      <c r="G1882" s="4">
        <v>347.79</v>
      </c>
      <c r="H1882">
        <v>1.5</v>
      </c>
      <c r="I1882" s="4">
        <v>521.69000000000005</v>
      </c>
      <c r="J1882">
        <v>4.9000000000000004</v>
      </c>
      <c r="K1882" t="s">
        <v>30</v>
      </c>
      <c r="L1882" t="s">
        <v>16</v>
      </c>
      <c r="O1882"/>
    </row>
    <row r="1883" spans="1:15" x14ac:dyDescent="0.3">
      <c r="A1883" t="s">
        <v>1907</v>
      </c>
      <c r="B1883" s="1">
        <v>45991</v>
      </c>
      <c r="C1883" t="s">
        <v>22</v>
      </c>
      <c r="D1883" t="s">
        <v>22</v>
      </c>
      <c r="E1883" s="2">
        <v>23.51</v>
      </c>
      <c r="F1883" s="3">
        <v>92.7</v>
      </c>
      <c r="G1883" s="4">
        <v>344.75</v>
      </c>
      <c r="H1883">
        <v>1</v>
      </c>
      <c r="I1883" s="4">
        <v>344.75</v>
      </c>
      <c r="J1883">
        <v>4.0999999999999996</v>
      </c>
      <c r="K1883" t="s">
        <v>15</v>
      </c>
      <c r="L1883" t="s">
        <v>28</v>
      </c>
      <c r="O1883"/>
    </row>
    <row r="1884" spans="1:15" x14ac:dyDescent="0.3">
      <c r="A1884" t="s">
        <v>1908</v>
      </c>
      <c r="B1884" s="1">
        <v>45859</v>
      </c>
      <c r="C1884" t="s">
        <v>25</v>
      </c>
      <c r="D1884" t="s">
        <v>13</v>
      </c>
      <c r="E1884" s="2">
        <v>9.84</v>
      </c>
      <c r="F1884" s="3">
        <v>24.73</v>
      </c>
      <c r="G1884" s="4">
        <v>156.83000000000001</v>
      </c>
      <c r="H1884">
        <v>1.2</v>
      </c>
      <c r="I1884" s="4">
        <v>188.2</v>
      </c>
      <c r="J1884">
        <v>4.0999999999999996</v>
      </c>
      <c r="K1884" t="s">
        <v>15</v>
      </c>
      <c r="L1884" t="s">
        <v>26</v>
      </c>
      <c r="O1884"/>
    </row>
    <row r="1885" spans="1:15" x14ac:dyDescent="0.3">
      <c r="A1885" t="s">
        <v>1909</v>
      </c>
      <c r="B1885" s="1">
        <v>45799</v>
      </c>
      <c r="C1885" t="s">
        <v>25</v>
      </c>
      <c r="D1885" t="s">
        <v>13</v>
      </c>
      <c r="E1885" s="2">
        <v>1.93</v>
      </c>
      <c r="F1885" s="3">
        <v>4.18</v>
      </c>
      <c r="G1885" s="4">
        <v>24.96</v>
      </c>
      <c r="H1885">
        <v>1</v>
      </c>
      <c r="I1885" s="4">
        <v>24.96</v>
      </c>
      <c r="J1885">
        <v>4.4000000000000004</v>
      </c>
      <c r="K1885" t="s">
        <v>36</v>
      </c>
      <c r="L1885" t="s">
        <v>19</v>
      </c>
      <c r="O1885"/>
    </row>
    <row r="1886" spans="1:15" x14ac:dyDescent="0.3">
      <c r="A1886" t="s">
        <v>1910</v>
      </c>
      <c r="B1886" s="1">
        <v>45861</v>
      </c>
      <c r="C1886" t="s">
        <v>13</v>
      </c>
      <c r="D1886" t="s">
        <v>21</v>
      </c>
      <c r="E1886" s="2">
        <v>1.64</v>
      </c>
      <c r="F1886" s="3">
        <v>4.93</v>
      </c>
      <c r="G1886" s="4">
        <v>20.9</v>
      </c>
      <c r="H1886">
        <v>1.5</v>
      </c>
      <c r="I1886" s="4">
        <v>31.35</v>
      </c>
      <c r="J1886">
        <v>4.3</v>
      </c>
      <c r="K1886" t="s">
        <v>18</v>
      </c>
      <c r="L1886" t="s">
        <v>28</v>
      </c>
      <c r="O1886"/>
    </row>
    <row r="1887" spans="1:15" x14ac:dyDescent="0.3">
      <c r="A1887" t="s">
        <v>1911</v>
      </c>
      <c r="B1887" s="1">
        <v>45987</v>
      </c>
      <c r="C1887" t="s">
        <v>13</v>
      </c>
      <c r="D1887" t="s">
        <v>22</v>
      </c>
      <c r="E1887" s="2">
        <v>26.02</v>
      </c>
      <c r="F1887" s="3">
        <v>76.78</v>
      </c>
      <c r="G1887" s="4">
        <v>518.96</v>
      </c>
      <c r="H1887">
        <v>1</v>
      </c>
      <c r="I1887" s="4">
        <v>518.96</v>
      </c>
      <c r="J1887">
        <v>4.5999999999999996</v>
      </c>
      <c r="K1887" t="s">
        <v>36</v>
      </c>
      <c r="L1887" t="s">
        <v>28</v>
      </c>
      <c r="O1887"/>
    </row>
    <row r="1888" spans="1:15" x14ac:dyDescent="0.3">
      <c r="A1888" t="s">
        <v>1912</v>
      </c>
      <c r="B1888" s="1">
        <v>45675</v>
      </c>
      <c r="C1888" t="s">
        <v>13</v>
      </c>
      <c r="D1888" t="s">
        <v>22</v>
      </c>
      <c r="E1888" s="2">
        <v>17.670000000000002</v>
      </c>
      <c r="F1888" s="3">
        <v>49.41</v>
      </c>
      <c r="G1888" s="4">
        <v>241.09</v>
      </c>
      <c r="H1888">
        <v>1.2</v>
      </c>
      <c r="I1888" s="4">
        <v>289.31</v>
      </c>
      <c r="J1888">
        <v>3.8</v>
      </c>
      <c r="K1888" t="s">
        <v>15</v>
      </c>
      <c r="L1888" t="s">
        <v>19</v>
      </c>
      <c r="O1888"/>
    </row>
    <row r="1889" spans="1:15" x14ac:dyDescent="0.3">
      <c r="A1889" t="s">
        <v>1913</v>
      </c>
      <c r="B1889" s="1">
        <v>45760</v>
      </c>
      <c r="C1889" t="s">
        <v>14</v>
      </c>
      <c r="D1889" t="s">
        <v>22</v>
      </c>
      <c r="E1889" s="2">
        <v>21.85</v>
      </c>
      <c r="F1889" s="3">
        <v>70.08</v>
      </c>
      <c r="G1889" s="4">
        <v>418.74</v>
      </c>
      <c r="H1889">
        <v>2</v>
      </c>
      <c r="I1889" s="4">
        <v>837.48</v>
      </c>
      <c r="J1889">
        <v>3</v>
      </c>
      <c r="K1889" t="s">
        <v>36</v>
      </c>
      <c r="L1889" t="s">
        <v>28</v>
      </c>
      <c r="O1889"/>
    </row>
    <row r="1890" spans="1:15" x14ac:dyDescent="0.3">
      <c r="A1890" t="s">
        <v>1914</v>
      </c>
      <c r="B1890" s="1">
        <v>45978</v>
      </c>
      <c r="C1890" t="s">
        <v>21</v>
      </c>
      <c r="D1890" t="s">
        <v>21</v>
      </c>
      <c r="E1890" s="2">
        <v>23.89</v>
      </c>
      <c r="F1890" s="3">
        <v>64.91</v>
      </c>
      <c r="G1890" s="4">
        <v>267.17</v>
      </c>
      <c r="H1890">
        <v>2</v>
      </c>
      <c r="I1890" s="4">
        <v>534.34</v>
      </c>
      <c r="J1890">
        <v>4.7</v>
      </c>
      <c r="K1890" t="s">
        <v>18</v>
      </c>
      <c r="L1890" t="s">
        <v>19</v>
      </c>
      <c r="O1890"/>
    </row>
    <row r="1891" spans="1:15" x14ac:dyDescent="0.3">
      <c r="A1891" t="s">
        <v>1915</v>
      </c>
      <c r="B1891" s="1">
        <v>45843</v>
      </c>
      <c r="C1891" t="s">
        <v>21</v>
      </c>
      <c r="D1891" t="s">
        <v>13</v>
      </c>
      <c r="E1891" s="2">
        <v>12.85</v>
      </c>
      <c r="F1891" s="3">
        <v>46.86</v>
      </c>
      <c r="G1891" s="4">
        <v>215.96</v>
      </c>
      <c r="H1891">
        <v>2</v>
      </c>
      <c r="I1891" s="4">
        <v>431.92</v>
      </c>
      <c r="J1891">
        <v>3.8</v>
      </c>
      <c r="K1891" t="s">
        <v>30</v>
      </c>
      <c r="L1891" t="s">
        <v>26</v>
      </c>
      <c r="O1891"/>
    </row>
    <row r="1892" spans="1:15" x14ac:dyDescent="0.3">
      <c r="A1892" t="s">
        <v>1916</v>
      </c>
      <c r="B1892" s="1">
        <v>45738</v>
      </c>
      <c r="C1892" t="s">
        <v>22</v>
      </c>
      <c r="D1892" t="s">
        <v>25</v>
      </c>
      <c r="E1892" s="2">
        <v>3.46</v>
      </c>
      <c r="F1892" s="3">
        <v>11.23</v>
      </c>
      <c r="G1892" s="4">
        <v>34.83</v>
      </c>
      <c r="H1892">
        <v>2</v>
      </c>
      <c r="I1892" s="4">
        <v>69.66</v>
      </c>
      <c r="J1892">
        <v>4.3</v>
      </c>
      <c r="K1892" t="s">
        <v>15</v>
      </c>
      <c r="L1892" t="s">
        <v>16</v>
      </c>
      <c r="O1892"/>
    </row>
    <row r="1893" spans="1:15" x14ac:dyDescent="0.3">
      <c r="A1893" t="s">
        <v>1917</v>
      </c>
      <c r="B1893" s="1">
        <v>45999</v>
      </c>
      <c r="C1893" t="s">
        <v>25</v>
      </c>
      <c r="D1893" t="s">
        <v>25</v>
      </c>
      <c r="E1893" s="2">
        <v>16.3</v>
      </c>
      <c r="F1893" s="3">
        <v>56.59</v>
      </c>
      <c r="G1893" s="4">
        <v>299.68</v>
      </c>
      <c r="H1893">
        <v>1.5</v>
      </c>
      <c r="I1893" s="4">
        <v>449.52</v>
      </c>
      <c r="J1893">
        <v>4</v>
      </c>
      <c r="K1893" t="s">
        <v>30</v>
      </c>
      <c r="L1893" t="s">
        <v>26</v>
      </c>
      <c r="O1893"/>
    </row>
    <row r="1894" spans="1:15" x14ac:dyDescent="0.3">
      <c r="A1894" t="s">
        <v>1918</v>
      </c>
      <c r="B1894" s="1">
        <v>45787</v>
      </c>
      <c r="C1894" t="s">
        <v>13</v>
      </c>
      <c r="D1894" t="s">
        <v>22</v>
      </c>
      <c r="E1894" s="2">
        <v>17.260000000000002</v>
      </c>
      <c r="F1894" s="3">
        <v>45.98</v>
      </c>
      <c r="G1894" s="4">
        <v>199.34</v>
      </c>
      <c r="H1894">
        <v>1</v>
      </c>
      <c r="I1894" s="4">
        <v>199.34</v>
      </c>
      <c r="J1894">
        <v>3.7</v>
      </c>
      <c r="K1894" t="s">
        <v>30</v>
      </c>
      <c r="L1894" t="s">
        <v>28</v>
      </c>
      <c r="O1894"/>
    </row>
    <row r="1895" spans="1:15" x14ac:dyDescent="0.3">
      <c r="A1895" t="s">
        <v>1919</v>
      </c>
      <c r="B1895" s="1">
        <v>45919</v>
      </c>
      <c r="C1895" t="s">
        <v>25</v>
      </c>
      <c r="D1895" t="s">
        <v>14</v>
      </c>
      <c r="E1895" s="2">
        <v>24.37</v>
      </c>
      <c r="F1895" s="3">
        <v>82.52</v>
      </c>
      <c r="G1895" s="4">
        <v>244.92</v>
      </c>
      <c r="H1895">
        <v>1.2</v>
      </c>
      <c r="I1895" s="4">
        <v>293.89999999999998</v>
      </c>
      <c r="J1895">
        <v>3.7</v>
      </c>
      <c r="K1895" t="s">
        <v>18</v>
      </c>
      <c r="L1895" t="s">
        <v>19</v>
      </c>
      <c r="O1895"/>
    </row>
    <row r="1896" spans="1:15" x14ac:dyDescent="0.3">
      <c r="A1896" t="s">
        <v>1920</v>
      </c>
      <c r="B1896" s="1">
        <v>45888</v>
      </c>
      <c r="C1896" t="s">
        <v>21</v>
      </c>
      <c r="D1896" t="s">
        <v>14</v>
      </c>
      <c r="E1896" s="2">
        <v>27.41</v>
      </c>
      <c r="F1896" s="3">
        <v>64.39</v>
      </c>
      <c r="G1896" s="4">
        <v>352.51</v>
      </c>
      <c r="H1896">
        <v>1.2</v>
      </c>
      <c r="I1896" s="4">
        <v>423.01</v>
      </c>
      <c r="J1896">
        <v>4.4000000000000004</v>
      </c>
      <c r="K1896" t="s">
        <v>33</v>
      </c>
      <c r="L1896" t="s">
        <v>16</v>
      </c>
      <c r="O1896"/>
    </row>
    <row r="1897" spans="1:15" x14ac:dyDescent="0.3">
      <c r="A1897" t="s">
        <v>1921</v>
      </c>
      <c r="B1897" s="1">
        <v>45945</v>
      </c>
      <c r="C1897" t="s">
        <v>14</v>
      </c>
      <c r="D1897" t="s">
        <v>13</v>
      </c>
      <c r="E1897" s="2">
        <v>5.98</v>
      </c>
      <c r="F1897" s="3">
        <v>15.09</v>
      </c>
      <c r="G1897" s="4">
        <v>89.48</v>
      </c>
      <c r="H1897">
        <v>2</v>
      </c>
      <c r="I1897" s="4">
        <v>178.96</v>
      </c>
      <c r="J1897">
        <v>3.7</v>
      </c>
      <c r="K1897" t="s">
        <v>30</v>
      </c>
      <c r="L1897" t="s">
        <v>26</v>
      </c>
      <c r="O1897"/>
    </row>
    <row r="1898" spans="1:15" x14ac:dyDescent="0.3">
      <c r="A1898" t="s">
        <v>1922</v>
      </c>
      <c r="B1898" s="1">
        <v>45946</v>
      </c>
      <c r="C1898" t="s">
        <v>22</v>
      </c>
      <c r="D1898" t="s">
        <v>13</v>
      </c>
      <c r="E1898" s="2">
        <v>22.3</v>
      </c>
      <c r="F1898" s="3">
        <v>70.23</v>
      </c>
      <c r="G1898" s="4">
        <v>406.37</v>
      </c>
      <c r="H1898">
        <v>1.2</v>
      </c>
      <c r="I1898" s="4">
        <v>487.64</v>
      </c>
      <c r="J1898">
        <v>3.7</v>
      </c>
      <c r="K1898" t="s">
        <v>36</v>
      </c>
      <c r="L1898" t="s">
        <v>19</v>
      </c>
      <c r="O1898"/>
    </row>
    <row r="1899" spans="1:15" x14ac:dyDescent="0.3">
      <c r="A1899" t="s">
        <v>1923</v>
      </c>
      <c r="B1899" s="1">
        <v>45982</v>
      </c>
      <c r="C1899" t="s">
        <v>25</v>
      </c>
      <c r="D1899" t="s">
        <v>25</v>
      </c>
      <c r="E1899" s="2">
        <v>7.3</v>
      </c>
      <c r="F1899" s="3">
        <v>25.03</v>
      </c>
      <c r="G1899" s="4">
        <v>100.01</v>
      </c>
      <c r="H1899">
        <v>1.5</v>
      </c>
      <c r="I1899" s="4">
        <v>150.02000000000001</v>
      </c>
      <c r="J1899">
        <v>4.5999999999999996</v>
      </c>
      <c r="K1899" t="s">
        <v>33</v>
      </c>
      <c r="L1899" t="s">
        <v>28</v>
      </c>
      <c r="O1899"/>
    </row>
    <row r="1900" spans="1:15" x14ac:dyDescent="0.3">
      <c r="A1900" t="s">
        <v>1924</v>
      </c>
      <c r="B1900" s="1">
        <v>45720</v>
      </c>
      <c r="C1900" t="s">
        <v>25</v>
      </c>
      <c r="D1900" t="s">
        <v>25</v>
      </c>
      <c r="E1900" s="2">
        <v>17.02</v>
      </c>
      <c r="F1900" s="3">
        <v>41.37</v>
      </c>
      <c r="G1900" s="4">
        <v>204.3</v>
      </c>
      <c r="H1900">
        <v>2</v>
      </c>
      <c r="I1900" s="4">
        <v>408.6</v>
      </c>
      <c r="J1900">
        <v>4.5999999999999996</v>
      </c>
      <c r="K1900" t="s">
        <v>36</v>
      </c>
      <c r="L1900" t="s">
        <v>16</v>
      </c>
      <c r="O1900"/>
    </row>
    <row r="1901" spans="1:15" x14ac:dyDescent="0.3">
      <c r="A1901" t="s">
        <v>1925</v>
      </c>
      <c r="B1901" s="1">
        <v>45941</v>
      </c>
      <c r="C1901" t="s">
        <v>25</v>
      </c>
      <c r="D1901" t="s">
        <v>13</v>
      </c>
      <c r="E1901" s="2">
        <v>22.7</v>
      </c>
      <c r="F1901" s="3">
        <v>81.45</v>
      </c>
      <c r="G1901" s="4">
        <v>446.95</v>
      </c>
      <c r="H1901">
        <v>1</v>
      </c>
      <c r="I1901" s="4">
        <v>446.95</v>
      </c>
      <c r="J1901">
        <v>4.4000000000000004</v>
      </c>
      <c r="K1901" t="s">
        <v>15</v>
      </c>
      <c r="L1901" t="s">
        <v>19</v>
      </c>
      <c r="O1901"/>
    </row>
    <row r="1902" spans="1:15" x14ac:dyDescent="0.3">
      <c r="A1902" t="s">
        <v>1926</v>
      </c>
      <c r="B1902" s="1">
        <v>45685</v>
      </c>
      <c r="C1902" t="s">
        <v>22</v>
      </c>
      <c r="D1902" t="s">
        <v>21</v>
      </c>
      <c r="E1902" s="2">
        <v>26</v>
      </c>
      <c r="F1902" s="3">
        <v>90.62</v>
      </c>
      <c r="G1902" s="4">
        <v>367.72</v>
      </c>
      <c r="H1902">
        <v>1.2</v>
      </c>
      <c r="I1902" s="4">
        <v>441.26</v>
      </c>
      <c r="J1902">
        <v>3.3</v>
      </c>
      <c r="K1902" t="s">
        <v>18</v>
      </c>
      <c r="L1902" t="s">
        <v>26</v>
      </c>
      <c r="O1902"/>
    </row>
    <row r="1903" spans="1:15" x14ac:dyDescent="0.3">
      <c r="A1903" t="s">
        <v>1927</v>
      </c>
      <c r="B1903" s="1">
        <v>45902</v>
      </c>
      <c r="C1903" t="s">
        <v>25</v>
      </c>
      <c r="D1903" t="s">
        <v>22</v>
      </c>
      <c r="E1903" s="2">
        <v>27.97</v>
      </c>
      <c r="F1903" s="3">
        <v>75.16</v>
      </c>
      <c r="G1903" s="4">
        <v>549.19000000000005</v>
      </c>
      <c r="H1903">
        <v>1</v>
      </c>
      <c r="I1903" s="4">
        <v>549.19000000000005</v>
      </c>
      <c r="J1903">
        <v>3</v>
      </c>
      <c r="K1903" t="s">
        <v>30</v>
      </c>
      <c r="L1903" t="s">
        <v>16</v>
      </c>
      <c r="O1903"/>
    </row>
    <row r="1904" spans="1:15" x14ac:dyDescent="0.3">
      <c r="A1904" t="s">
        <v>1928</v>
      </c>
      <c r="B1904" s="1">
        <v>45801</v>
      </c>
      <c r="C1904" t="s">
        <v>14</v>
      </c>
      <c r="D1904" t="s">
        <v>14</v>
      </c>
      <c r="E1904" s="2">
        <v>17.809999999999999</v>
      </c>
      <c r="F1904" s="3">
        <v>48.8</v>
      </c>
      <c r="G1904" s="4">
        <v>181.37</v>
      </c>
      <c r="H1904">
        <v>2</v>
      </c>
      <c r="I1904" s="4">
        <v>362.74</v>
      </c>
      <c r="J1904">
        <v>3.2</v>
      </c>
      <c r="K1904" t="s">
        <v>30</v>
      </c>
      <c r="L1904" t="s">
        <v>19</v>
      </c>
      <c r="O1904"/>
    </row>
    <row r="1905" spans="1:15" x14ac:dyDescent="0.3">
      <c r="A1905" t="s">
        <v>1929</v>
      </c>
      <c r="B1905" s="1">
        <v>45815</v>
      </c>
      <c r="C1905" t="s">
        <v>25</v>
      </c>
      <c r="D1905" t="s">
        <v>14</v>
      </c>
      <c r="E1905" s="2">
        <v>14.09</v>
      </c>
      <c r="F1905" s="3">
        <v>54.63</v>
      </c>
      <c r="G1905" s="4">
        <v>158.16</v>
      </c>
      <c r="H1905">
        <v>1</v>
      </c>
      <c r="I1905" s="4">
        <v>158.16</v>
      </c>
      <c r="J1905">
        <v>3.7</v>
      </c>
      <c r="K1905" t="s">
        <v>36</v>
      </c>
      <c r="L1905" t="s">
        <v>19</v>
      </c>
      <c r="O1905"/>
    </row>
    <row r="1906" spans="1:15" x14ac:dyDescent="0.3">
      <c r="A1906" t="s">
        <v>1930</v>
      </c>
      <c r="B1906" s="1">
        <v>45672</v>
      </c>
      <c r="C1906" t="s">
        <v>14</v>
      </c>
      <c r="D1906" t="s">
        <v>13</v>
      </c>
      <c r="E1906" s="2">
        <v>13.58</v>
      </c>
      <c r="F1906" s="3">
        <v>34.71</v>
      </c>
      <c r="G1906" s="4">
        <v>253.93</v>
      </c>
      <c r="H1906">
        <v>2</v>
      </c>
      <c r="I1906" s="4">
        <v>507.86</v>
      </c>
      <c r="J1906">
        <v>4</v>
      </c>
      <c r="K1906" t="s">
        <v>33</v>
      </c>
      <c r="L1906" t="s">
        <v>28</v>
      </c>
      <c r="O1906"/>
    </row>
    <row r="1907" spans="1:15" x14ac:dyDescent="0.3">
      <c r="A1907" t="s">
        <v>1931</v>
      </c>
      <c r="B1907" s="1">
        <v>45843</v>
      </c>
      <c r="C1907" t="s">
        <v>25</v>
      </c>
      <c r="D1907" t="s">
        <v>13</v>
      </c>
      <c r="E1907" s="2">
        <v>7.79</v>
      </c>
      <c r="F1907" s="3">
        <v>24.6</v>
      </c>
      <c r="G1907" s="4">
        <v>128.31</v>
      </c>
      <c r="H1907">
        <v>1</v>
      </c>
      <c r="I1907" s="4">
        <v>128.31</v>
      </c>
      <c r="J1907">
        <v>4.7</v>
      </c>
      <c r="K1907" t="s">
        <v>36</v>
      </c>
      <c r="L1907" t="s">
        <v>26</v>
      </c>
      <c r="O1907"/>
    </row>
    <row r="1908" spans="1:15" x14ac:dyDescent="0.3">
      <c r="A1908" t="s">
        <v>1932</v>
      </c>
      <c r="B1908" s="1">
        <v>45765</v>
      </c>
      <c r="C1908" t="s">
        <v>25</v>
      </c>
      <c r="D1908" t="s">
        <v>25</v>
      </c>
      <c r="E1908" s="2">
        <v>17.47</v>
      </c>
      <c r="F1908" s="3">
        <v>69.239999999999995</v>
      </c>
      <c r="G1908" s="4">
        <v>331.61</v>
      </c>
      <c r="H1908">
        <v>2</v>
      </c>
      <c r="I1908" s="4">
        <v>663.22</v>
      </c>
      <c r="J1908">
        <v>3.6</v>
      </c>
      <c r="K1908" t="s">
        <v>15</v>
      </c>
      <c r="L1908" t="s">
        <v>28</v>
      </c>
      <c r="O1908"/>
    </row>
    <row r="1909" spans="1:15" x14ac:dyDescent="0.3">
      <c r="A1909" t="s">
        <v>1933</v>
      </c>
      <c r="B1909" s="1">
        <v>45875</v>
      </c>
      <c r="C1909" t="s">
        <v>21</v>
      </c>
      <c r="D1909" t="s">
        <v>22</v>
      </c>
      <c r="E1909" s="2">
        <v>14.71</v>
      </c>
      <c r="F1909" s="3">
        <v>49.34</v>
      </c>
      <c r="G1909" s="4">
        <v>275.74</v>
      </c>
      <c r="H1909">
        <v>1</v>
      </c>
      <c r="I1909" s="4">
        <v>275.74</v>
      </c>
      <c r="J1909">
        <v>4.4000000000000004</v>
      </c>
      <c r="K1909" t="s">
        <v>18</v>
      </c>
      <c r="L1909" t="s">
        <v>16</v>
      </c>
      <c r="O1909"/>
    </row>
    <row r="1910" spans="1:15" x14ac:dyDescent="0.3">
      <c r="A1910" t="s">
        <v>1934</v>
      </c>
      <c r="B1910" s="1">
        <v>46006</v>
      </c>
      <c r="C1910" t="s">
        <v>13</v>
      </c>
      <c r="D1910" t="s">
        <v>13</v>
      </c>
      <c r="E1910" s="2">
        <v>3.31</v>
      </c>
      <c r="F1910" s="3">
        <v>12.16</v>
      </c>
      <c r="G1910" s="4">
        <v>35.71</v>
      </c>
      <c r="H1910">
        <v>2</v>
      </c>
      <c r="I1910" s="4">
        <v>71.42</v>
      </c>
      <c r="J1910">
        <v>3.5</v>
      </c>
      <c r="K1910" t="s">
        <v>15</v>
      </c>
      <c r="L1910" t="s">
        <v>19</v>
      </c>
      <c r="O1910"/>
    </row>
    <row r="1911" spans="1:15" x14ac:dyDescent="0.3">
      <c r="A1911" t="s">
        <v>1935</v>
      </c>
      <c r="B1911" s="1">
        <v>45710</v>
      </c>
      <c r="C1911" t="s">
        <v>14</v>
      </c>
      <c r="D1911" t="s">
        <v>13</v>
      </c>
      <c r="E1911" s="2">
        <v>4.91</v>
      </c>
      <c r="F1911" s="3">
        <v>18.79</v>
      </c>
      <c r="G1911" s="4">
        <v>72.19</v>
      </c>
      <c r="H1911">
        <v>1</v>
      </c>
      <c r="I1911" s="4">
        <v>72.19</v>
      </c>
      <c r="J1911">
        <v>4</v>
      </c>
      <c r="K1911" t="s">
        <v>15</v>
      </c>
      <c r="L1911" t="s">
        <v>19</v>
      </c>
      <c r="O1911"/>
    </row>
    <row r="1912" spans="1:15" x14ac:dyDescent="0.3">
      <c r="A1912" t="s">
        <v>1936</v>
      </c>
      <c r="B1912" s="1">
        <v>45836</v>
      </c>
      <c r="C1912" t="s">
        <v>13</v>
      </c>
      <c r="D1912" t="s">
        <v>14</v>
      </c>
      <c r="E1912" s="2">
        <v>12.23</v>
      </c>
      <c r="F1912" s="3">
        <v>30.61</v>
      </c>
      <c r="G1912" s="4">
        <v>142.63</v>
      </c>
      <c r="H1912">
        <v>2</v>
      </c>
      <c r="I1912" s="4">
        <v>285.26</v>
      </c>
      <c r="J1912">
        <v>3.6</v>
      </c>
      <c r="K1912" t="s">
        <v>36</v>
      </c>
      <c r="L1912" t="s">
        <v>19</v>
      </c>
      <c r="O1912"/>
    </row>
    <row r="1913" spans="1:15" x14ac:dyDescent="0.3">
      <c r="A1913" t="s">
        <v>1937</v>
      </c>
      <c r="B1913" s="1">
        <v>45859</v>
      </c>
      <c r="C1913" t="s">
        <v>13</v>
      </c>
      <c r="D1913" t="s">
        <v>14</v>
      </c>
      <c r="E1913" s="2">
        <v>22.94</v>
      </c>
      <c r="F1913" s="3">
        <v>76.48</v>
      </c>
      <c r="G1913" s="4">
        <v>283.08999999999997</v>
      </c>
      <c r="H1913">
        <v>1</v>
      </c>
      <c r="I1913" s="4">
        <v>283.08999999999997</v>
      </c>
      <c r="J1913">
        <v>4.5999999999999996</v>
      </c>
      <c r="K1913" t="s">
        <v>18</v>
      </c>
      <c r="L1913" t="s">
        <v>26</v>
      </c>
      <c r="O1913"/>
    </row>
    <row r="1914" spans="1:15" x14ac:dyDescent="0.3">
      <c r="A1914" t="s">
        <v>1938</v>
      </c>
      <c r="B1914" s="1">
        <v>45791</v>
      </c>
      <c r="C1914" t="s">
        <v>13</v>
      </c>
      <c r="D1914" t="s">
        <v>25</v>
      </c>
      <c r="E1914" s="2">
        <v>25.87</v>
      </c>
      <c r="F1914" s="3">
        <v>51.75</v>
      </c>
      <c r="G1914" s="4">
        <v>352.46</v>
      </c>
      <c r="H1914">
        <v>1</v>
      </c>
      <c r="I1914" s="4">
        <v>352.46</v>
      </c>
      <c r="J1914">
        <v>4.4000000000000004</v>
      </c>
      <c r="K1914" t="s">
        <v>36</v>
      </c>
      <c r="L1914" t="s">
        <v>19</v>
      </c>
      <c r="O1914"/>
    </row>
    <row r="1915" spans="1:15" x14ac:dyDescent="0.3">
      <c r="A1915" t="s">
        <v>1939</v>
      </c>
      <c r="B1915" s="1">
        <v>45974</v>
      </c>
      <c r="C1915" t="s">
        <v>13</v>
      </c>
      <c r="D1915" t="s">
        <v>22</v>
      </c>
      <c r="E1915" s="2">
        <v>9.81</v>
      </c>
      <c r="F1915" s="3">
        <v>26.23</v>
      </c>
      <c r="G1915" s="4">
        <v>153.80000000000001</v>
      </c>
      <c r="H1915">
        <v>1.5</v>
      </c>
      <c r="I1915" s="4">
        <v>230.7</v>
      </c>
      <c r="J1915">
        <v>4.9000000000000004</v>
      </c>
      <c r="K1915" t="s">
        <v>15</v>
      </c>
      <c r="L1915" t="s">
        <v>16</v>
      </c>
      <c r="O1915"/>
    </row>
    <row r="1916" spans="1:15" x14ac:dyDescent="0.3">
      <c r="A1916" t="s">
        <v>1940</v>
      </c>
      <c r="B1916" s="1">
        <v>45888</v>
      </c>
      <c r="C1916" t="s">
        <v>25</v>
      </c>
      <c r="D1916" t="s">
        <v>22</v>
      </c>
      <c r="E1916" s="2">
        <v>22.75</v>
      </c>
      <c r="F1916" s="3">
        <v>83.85</v>
      </c>
      <c r="G1916" s="4">
        <v>334.45</v>
      </c>
      <c r="H1916">
        <v>1.2</v>
      </c>
      <c r="I1916" s="4">
        <v>401.34</v>
      </c>
      <c r="J1916">
        <v>4.7</v>
      </c>
      <c r="K1916" t="s">
        <v>15</v>
      </c>
      <c r="L1916" t="s">
        <v>19</v>
      </c>
      <c r="O1916"/>
    </row>
    <row r="1917" spans="1:15" x14ac:dyDescent="0.3">
      <c r="A1917" t="s">
        <v>1941</v>
      </c>
      <c r="B1917" s="1">
        <v>45944</v>
      </c>
      <c r="C1917" t="s">
        <v>22</v>
      </c>
      <c r="D1917" t="s">
        <v>13</v>
      </c>
      <c r="E1917" s="2">
        <v>18.87</v>
      </c>
      <c r="F1917" s="3">
        <v>42.43</v>
      </c>
      <c r="G1917" s="4">
        <v>298.05</v>
      </c>
      <c r="H1917">
        <v>1.5</v>
      </c>
      <c r="I1917" s="4">
        <v>447.08</v>
      </c>
      <c r="J1917">
        <v>3.6</v>
      </c>
      <c r="K1917" t="s">
        <v>15</v>
      </c>
      <c r="L1917" t="s">
        <v>16</v>
      </c>
      <c r="O1917"/>
    </row>
    <row r="1918" spans="1:15" x14ac:dyDescent="0.3">
      <c r="A1918" t="s">
        <v>1942</v>
      </c>
      <c r="B1918" s="1">
        <v>45804</v>
      </c>
      <c r="C1918" t="s">
        <v>25</v>
      </c>
      <c r="D1918" t="s">
        <v>22</v>
      </c>
      <c r="E1918" s="2">
        <v>18.64</v>
      </c>
      <c r="F1918" s="3">
        <v>45.48</v>
      </c>
      <c r="G1918" s="4">
        <v>275.73</v>
      </c>
      <c r="H1918">
        <v>1.5</v>
      </c>
      <c r="I1918" s="4">
        <v>413.6</v>
      </c>
      <c r="J1918">
        <v>3.1</v>
      </c>
      <c r="K1918" t="s">
        <v>15</v>
      </c>
      <c r="L1918" t="s">
        <v>26</v>
      </c>
      <c r="O1918"/>
    </row>
    <row r="1919" spans="1:15" x14ac:dyDescent="0.3">
      <c r="A1919" t="s">
        <v>1943</v>
      </c>
      <c r="B1919" s="1">
        <v>45831</v>
      </c>
      <c r="C1919" t="s">
        <v>13</v>
      </c>
      <c r="D1919" t="s">
        <v>25</v>
      </c>
      <c r="E1919" s="2">
        <v>3.31</v>
      </c>
      <c r="F1919" s="3">
        <v>10.48</v>
      </c>
      <c r="G1919" s="4">
        <v>64.47</v>
      </c>
      <c r="H1919">
        <v>1.5</v>
      </c>
      <c r="I1919" s="4">
        <v>96.7</v>
      </c>
      <c r="J1919">
        <v>4.5999999999999996</v>
      </c>
      <c r="K1919" t="s">
        <v>33</v>
      </c>
      <c r="L1919" t="s">
        <v>16</v>
      </c>
      <c r="O1919"/>
    </row>
    <row r="1920" spans="1:15" x14ac:dyDescent="0.3">
      <c r="A1920" t="s">
        <v>1944</v>
      </c>
      <c r="B1920" s="1">
        <v>45930</v>
      </c>
      <c r="C1920" t="s">
        <v>22</v>
      </c>
      <c r="D1920" t="s">
        <v>22</v>
      </c>
      <c r="E1920" s="2">
        <v>25.87</v>
      </c>
      <c r="F1920" s="3">
        <v>98.18</v>
      </c>
      <c r="G1920" s="4">
        <v>503.61</v>
      </c>
      <c r="H1920">
        <v>1</v>
      </c>
      <c r="I1920" s="4">
        <v>503.61</v>
      </c>
      <c r="J1920">
        <v>3.5</v>
      </c>
      <c r="K1920" t="s">
        <v>30</v>
      </c>
      <c r="L1920" t="s">
        <v>28</v>
      </c>
      <c r="O1920"/>
    </row>
    <row r="1921" spans="1:15" x14ac:dyDescent="0.3">
      <c r="A1921" t="s">
        <v>1945</v>
      </c>
      <c r="B1921" s="1">
        <v>45952</v>
      </c>
      <c r="C1921" t="s">
        <v>21</v>
      </c>
      <c r="D1921" t="s">
        <v>21</v>
      </c>
      <c r="E1921" s="2">
        <v>11.84</v>
      </c>
      <c r="F1921" s="3">
        <v>31.56</v>
      </c>
      <c r="G1921" s="4">
        <v>139.26</v>
      </c>
      <c r="H1921">
        <v>1.2</v>
      </c>
      <c r="I1921" s="4">
        <v>167.11</v>
      </c>
      <c r="J1921">
        <v>4.5</v>
      </c>
      <c r="K1921" t="s">
        <v>30</v>
      </c>
      <c r="L1921" t="s">
        <v>26</v>
      </c>
      <c r="O1921"/>
    </row>
    <row r="1922" spans="1:15" x14ac:dyDescent="0.3">
      <c r="A1922" t="s">
        <v>1946</v>
      </c>
      <c r="B1922" s="1">
        <v>45740</v>
      </c>
      <c r="C1922" t="s">
        <v>22</v>
      </c>
      <c r="D1922" t="s">
        <v>13</v>
      </c>
      <c r="E1922" s="2">
        <v>26.11</v>
      </c>
      <c r="F1922" s="3">
        <v>53.9</v>
      </c>
      <c r="G1922" s="4">
        <v>429.21</v>
      </c>
      <c r="H1922">
        <v>2</v>
      </c>
      <c r="I1922" s="4">
        <v>858.42</v>
      </c>
      <c r="J1922">
        <v>3.1</v>
      </c>
      <c r="K1922" t="s">
        <v>36</v>
      </c>
      <c r="L1922" t="s">
        <v>16</v>
      </c>
      <c r="O1922"/>
    </row>
    <row r="1923" spans="1:15" x14ac:dyDescent="0.3">
      <c r="A1923" t="s">
        <v>1947</v>
      </c>
      <c r="B1923" s="1">
        <v>45714</v>
      </c>
      <c r="C1923" t="s">
        <v>22</v>
      </c>
      <c r="D1923" t="s">
        <v>25</v>
      </c>
      <c r="E1923" s="2">
        <v>26.7</v>
      </c>
      <c r="F1923" s="3">
        <v>92.33</v>
      </c>
      <c r="G1923" s="4">
        <v>514.73</v>
      </c>
      <c r="H1923">
        <v>1.5</v>
      </c>
      <c r="I1923" s="4">
        <v>772.1</v>
      </c>
      <c r="J1923">
        <v>3.1</v>
      </c>
      <c r="K1923" t="s">
        <v>15</v>
      </c>
      <c r="L1923" t="s">
        <v>16</v>
      </c>
      <c r="O1923"/>
    </row>
    <row r="1924" spans="1:15" x14ac:dyDescent="0.3">
      <c r="A1924" t="s">
        <v>1948</v>
      </c>
      <c r="B1924" s="1">
        <v>45944</v>
      </c>
      <c r="C1924" t="s">
        <v>14</v>
      </c>
      <c r="D1924" t="s">
        <v>22</v>
      </c>
      <c r="E1924" s="2">
        <v>1.41</v>
      </c>
      <c r="F1924" s="3">
        <v>2.84</v>
      </c>
      <c r="G1924" s="4">
        <v>17.489999999999998</v>
      </c>
      <c r="H1924">
        <v>1</v>
      </c>
      <c r="I1924" s="4">
        <v>17.489999999999998</v>
      </c>
      <c r="J1924">
        <v>4.9000000000000004</v>
      </c>
      <c r="K1924" t="s">
        <v>33</v>
      </c>
      <c r="L1924" t="s">
        <v>16</v>
      </c>
      <c r="O1924"/>
    </row>
    <row r="1925" spans="1:15" x14ac:dyDescent="0.3">
      <c r="A1925" t="s">
        <v>1949</v>
      </c>
      <c r="B1925" s="1">
        <v>45793</v>
      </c>
      <c r="C1925" t="s">
        <v>21</v>
      </c>
      <c r="D1925" t="s">
        <v>21</v>
      </c>
      <c r="E1925" s="2">
        <v>28.15</v>
      </c>
      <c r="F1925" s="3">
        <v>89.61</v>
      </c>
      <c r="G1925" s="4">
        <v>284.89999999999998</v>
      </c>
      <c r="H1925">
        <v>1.5</v>
      </c>
      <c r="I1925" s="4">
        <v>427.35</v>
      </c>
      <c r="J1925">
        <v>3.3</v>
      </c>
      <c r="K1925" t="s">
        <v>36</v>
      </c>
      <c r="L1925" t="s">
        <v>19</v>
      </c>
      <c r="O1925"/>
    </row>
    <row r="1926" spans="1:15" x14ac:dyDescent="0.3">
      <c r="A1926" t="s">
        <v>1950</v>
      </c>
      <c r="B1926" s="1">
        <v>46018</v>
      </c>
      <c r="C1926" t="s">
        <v>13</v>
      </c>
      <c r="D1926" t="s">
        <v>21</v>
      </c>
      <c r="E1926" s="2">
        <v>9.09</v>
      </c>
      <c r="F1926" s="3">
        <v>28.71</v>
      </c>
      <c r="G1926" s="4">
        <v>109.29</v>
      </c>
      <c r="H1926">
        <v>2</v>
      </c>
      <c r="I1926" s="4">
        <v>218.58</v>
      </c>
      <c r="J1926">
        <v>3</v>
      </c>
      <c r="K1926" t="s">
        <v>18</v>
      </c>
      <c r="L1926" t="s">
        <v>19</v>
      </c>
      <c r="O1926"/>
    </row>
    <row r="1927" spans="1:15" x14ac:dyDescent="0.3">
      <c r="A1927" t="s">
        <v>1951</v>
      </c>
      <c r="B1927" s="1">
        <v>45898</v>
      </c>
      <c r="C1927" t="s">
        <v>25</v>
      </c>
      <c r="D1927" t="s">
        <v>22</v>
      </c>
      <c r="E1927" s="2">
        <v>29.29</v>
      </c>
      <c r="F1927" s="3">
        <v>94.68</v>
      </c>
      <c r="G1927" s="4">
        <v>567.1</v>
      </c>
      <c r="H1927">
        <v>1.2</v>
      </c>
      <c r="I1927" s="4">
        <v>680.52</v>
      </c>
      <c r="J1927">
        <v>3.7</v>
      </c>
      <c r="K1927" t="s">
        <v>33</v>
      </c>
      <c r="L1927" t="s">
        <v>19</v>
      </c>
      <c r="O1927"/>
    </row>
    <row r="1928" spans="1:15" x14ac:dyDescent="0.3">
      <c r="A1928" t="s">
        <v>1952</v>
      </c>
      <c r="B1928" s="1">
        <v>45764</v>
      </c>
      <c r="C1928" t="s">
        <v>14</v>
      </c>
      <c r="D1928" t="s">
        <v>13</v>
      </c>
      <c r="E1928" s="2">
        <v>10.02</v>
      </c>
      <c r="F1928" s="3">
        <v>35.47</v>
      </c>
      <c r="G1928" s="4">
        <v>187.05</v>
      </c>
      <c r="H1928">
        <v>1.2</v>
      </c>
      <c r="I1928" s="4">
        <v>224.46</v>
      </c>
      <c r="J1928">
        <v>4.8</v>
      </c>
      <c r="K1928" t="s">
        <v>36</v>
      </c>
      <c r="L1928" t="s">
        <v>19</v>
      </c>
      <c r="O1928"/>
    </row>
    <row r="1929" spans="1:15" x14ac:dyDescent="0.3">
      <c r="A1929" t="s">
        <v>1953</v>
      </c>
      <c r="B1929" s="1">
        <v>45765</v>
      </c>
      <c r="C1929" t="s">
        <v>21</v>
      </c>
      <c r="D1929" t="s">
        <v>25</v>
      </c>
      <c r="E1929" s="2">
        <v>1.34</v>
      </c>
      <c r="F1929" s="3">
        <v>3.48</v>
      </c>
      <c r="G1929" s="4">
        <v>21.75</v>
      </c>
      <c r="H1929">
        <v>1.5</v>
      </c>
      <c r="I1929" s="4">
        <v>32.619999999999997</v>
      </c>
      <c r="J1929">
        <v>4.2</v>
      </c>
      <c r="K1929" t="s">
        <v>33</v>
      </c>
      <c r="L1929" t="s">
        <v>28</v>
      </c>
      <c r="O1929"/>
    </row>
    <row r="1930" spans="1:15" x14ac:dyDescent="0.3">
      <c r="A1930" t="s">
        <v>1954</v>
      </c>
      <c r="B1930" s="1">
        <v>45857</v>
      </c>
      <c r="C1930" t="s">
        <v>13</v>
      </c>
      <c r="D1930" t="s">
        <v>25</v>
      </c>
      <c r="E1930" s="2">
        <v>11.67</v>
      </c>
      <c r="F1930" s="3">
        <v>23.93</v>
      </c>
      <c r="G1930" s="4">
        <v>191.71</v>
      </c>
      <c r="H1930">
        <v>1</v>
      </c>
      <c r="I1930" s="4">
        <v>191.71</v>
      </c>
      <c r="J1930">
        <v>4.5999999999999996</v>
      </c>
      <c r="K1930" t="s">
        <v>36</v>
      </c>
      <c r="L1930" t="s">
        <v>28</v>
      </c>
      <c r="O1930"/>
    </row>
    <row r="1931" spans="1:15" x14ac:dyDescent="0.3">
      <c r="A1931" t="s">
        <v>1955</v>
      </c>
      <c r="B1931" s="1">
        <v>45836</v>
      </c>
      <c r="C1931" t="s">
        <v>21</v>
      </c>
      <c r="D1931" t="s">
        <v>21</v>
      </c>
      <c r="E1931" s="2">
        <v>27.21</v>
      </c>
      <c r="F1931" s="3">
        <v>76.72</v>
      </c>
      <c r="G1931" s="4">
        <v>414.93</v>
      </c>
      <c r="H1931">
        <v>1.2</v>
      </c>
      <c r="I1931" s="4">
        <v>497.92</v>
      </c>
      <c r="J1931">
        <v>3.7</v>
      </c>
      <c r="K1931" t="s">
        <v>33</v>
      </c>
      <c r="L1931" t="s">
        <v>26</v>
      </c>
      <c r="O1931"/>
    </row>
    <row r="1932" spans="1:15" x14ac:dyDescent="0.3">
      <c r="A1932" t="s">
        <v>1956</v>
      </c>
      <c r="B1932" s="1">
        <v>45783</v>
      </c>
      <c r="C1932" t="s">
        <v>13</v>
      </c>
      <c r="D1932" t="s">
        <v>13</v>
      </c>
      <c r="E1932" s="2">
        <v>23.48</v>
      </c>
      <c r="F1932" s="3">
        <v>71.7</v>
      </c>
      <c r="G1932" s="4">
        <v>309.17</v>
      </c>
      <c r="H1932">
        <v>1</v>
      </c>
      <c r="I1932" s="4">
        <v>309.17</v>
      </c>
      <c r="J1932">
        <v>4.5</v>
      </c>
      <c r="K1932" t="s">
        <v>33</v>
      </c>
      <c r="L1932" t="s">
        <v>16</v>
      </c>
      <c r="O1932"/>
    </row>
    <row r="1933" spans="1:15" x14ac:dyDescent="0.3">
      <c r="A1933" t="s">
        <v>1957</v>
      </c>
      <c r="B1933" s="1">
        <v>45840</v>
      </c>
      <c r="C1933" t="s">
        <v>21</v>
      </c>
      <c r="D1933" t="s">
        <v>14</v>
      </c>
      <c r="E1933" s="2">
        <v>17.91</v>
      </c>
      <c r="F1933" s="3">
        <v>44.06</v>
      </c>
      <c r="G1933" s="4">
        <v>205.63</v>
      </c>
      <c r="H1933">
        <v>1</v>
      </c>
      <c r="I1933" s="4">
        <v>205.63</v>
      </c>
      <c r="J1933">
        <v>3.5</v>
      </c>
      <c r="K1933" t="s">
        <v>18</v>
      </c>
      <c r="L1933" t="s">
        <v>16</v>
      </c>
      <c r="O1933"/>
    </row>
    <row r="1934" spans="1:15" x14ac:dyDescent="0.3">
      <c r="A1934" t="s">
        <v>1958</v>
      </c>
      <c r="B1934" s="1">
        <v>45926</v>
      </c>
      <c r="C1934" t="s">
        <v>14</v>
      </c>
      <c r="D1934" t="s">
        <v>13</v>
      </c>
      <c r="E1934" s="2">
        <v>22.54</v>
      </c>
      <c r="F1934" s="3">
        <v>85.65</v>
      </c>
      <c r="G1934" s="4">
        <v>409.87</v>
      </c>
      <c r="H1934">
        <v>1</v>
      </c>
      <c r="I1934" s="4">
        <v>409.87</v>
      </c>
      <c r="J1934">
        <v>4.5999999999999996</v>
      </c>
      <c r="K1934" t="s">
        <v>18</v>
      </c>
      <c r="L1934" t="s">
        <v>28</v>
      </c>
      <c r="O1934"/>
    </row>
    <row r="1935" spans="1:15" x14ac:dyDescent="0.3">
      <c r="A1935" t="s">
        <v>1959</v>
      </c>
      <c r="B1935" s="1">
        <v>45967</v>
      </c>
      <c r="C1935" t="s">
        <v>13</v>
      </c>
      <c r="D1935" t="s">
        <v>25</v>
      </c>
      <c r="E1935" s="2">
        <v>3.52</v>
      </c>
      <c r="F1935" s="3">
        <v>9.41</v>
      </c>
      <c r="G1935" s="4">
        <v>39.74</v>
      </c>
      <c r="H1935">
        <v>1.5</v>
      </c>
      <c r="I1935" s="4">
        <v>59.61</v>
      </c>
      <c r="J1935">
        <v>3.4</v>
      </c>
      <c r="K1935" t="s">
        <v>36</v>
      </c>
      <c r="L1935" t="s">
        <v>16</v>
      </c>
      <c r="O1935"/>
    </row>
    <row r="1936" spans="1:15" x14ac:dyDescent="0.3">
      <c r="A1936" t="s">
        <v>1960</v>
      </c>
      <c r="B1936" s="1">
        <v>45940</v>
      </c>
      <c r="C1936" t="s">
        <v>22</v>
      </c>
      <c r="D1936" t="s">
        <v>13</v>
      </c>
      <c r="E1936" s="2">
        <v>17.77</v>
      </c>
      <c r="F1936" s="3">
        <v>44.75</v>
      </c>
      <c r="G1936" s="4">
        <v>339.2</v>
      </c>
      <c r="H1936">
        <v>2</v>
      </c>
      <c r="I1936" s="4">
        <v>678.4</v>
      </c>
      <c r="J1936">
        <v>4.0999999999999996</v>
      </c>
      <c r="K1936" t="s">
        <v>33</v>
      </c>
      <c r="L1936" t="s">
        <v>19</v>
      </c>
      <c r="O1936"/>
    </row>
    <row r="1937" spans="1:15" x14ac:dyDescent="0.3">
      <c r="A1937" t="s">
        <v>1961</v>
      </c>
      <c r="B1937" s="1">
        <v>45681</v>
      </c>
      <c r="C1937" t="s">
        <v>21</v>
      </c>
      <c r="D1937" t="s">
        <v>25</v>
      </c>
      <c r="E1937" s="2">
        <v>15.41</v>
      </c>
      <c r="F1937" s="3">
        <v>31.81</v>
      </c>
      <c r="G1937" s="4">
        <v>248.46</v>
      </c>
      <c r="H1937">
        <v>1.2</v>
      </c>
      <c r="I1937" s="4">
        <v>298.14999999999998</v>
      </c>
      <c r="J1937">
        <v>4.2</v>
      </c>
      <c r="K1937" t="s">
        <v>36</v>
      </c>
      <c r="L1937" t="s">
        <v>19</v>
      </c>
      <c r="O1937"/>
    </row>
    <row r="1938" spans="1:15" x14ac:dyDescent="0.3">
      <c r="A1938" t="s">
        <v>1962</v>
      </c>
      <c r="B1938" s="1">
        <v>45933</v>
      </c>
      <c r="C1938" t="s">
        <v>25</v>
      </c>
      <c r="D1938" t="s">
        <v>13</v>
      </c>
      <c r="E1938" s="2">
        <v>22.96</v>
      </c>
      <c r="F1938" s="3">
        <v>56.34</v>
      </c>
      <c r="G1938" s="4">
        <v>280.41000000000003</v>
      </c>
      <c r="H1938">
        <v>2</v>
      </c>
      <c r="I1938" s="4">
        <v>560.82000000000005</v>
      </c>
      <c r="J1938">
        <v>3.7</v>
      </c>
      <c r="K1938" t="s">
        <v>33</v>
      </c>
      <c r="L1938" t="s">
        <v>28</v>
      </c>
      <c r="O1938"/>
    </row>
    <row r="1939" spans="1:15" x14ac:dyDescent="0.3">
      <c r="A1939" t="s">
        <v>1963</v>
      </c>
      <c r="B1939" s="1">
        <v>46021</v>
      </c>
      <c r="C1939" t="s">
        <v>13</v>
      </c>
      <c r="D1939" t="s">
        <v>22</v>
      </c>
      <c r="E1939" s="2">
        <v>25.56</v>
      </c>
      <c r="F1939" s="3">
        <v>93.44</v>
      </c>
      <c r="G1939" s="4">
        <v>353.45</v>
      </c>
      <c r="H1939">
        <v>1.2</v>
      </c>
      <c r="I1939" s="4">
        <v>424.14</v>
      </c>
      <c r="J1939">
        <v>3.5</v>
      </c>
      <c r="K1939" t="s">
        <v>33</v>
      </c>
      <c r="L1939" t="s">
        <v>16</v>
      </c>
      <c r="O1939"/>
    </row>
    <row r="1940" spans="1:15" x14ac:dyDescent="0.3">
      <c r="A1940" t="s">
        <v>1964</v>
      </c>
      <c r="B1940" s="1">
        <v>45706</v>
      </c>
      <c r="C1940" t="s">
        <v>14</v>
      </c>
      <c r="D1940" t="s">
        <v>21</v>
      </c>
      <c r="E1940" s="2">
        <v>8.7899999999999991</v>
      </c>
      <c r="F1940" s="3">
        <v>26.94</v>
      </c>
      <c r="G1940" s="4">
        <v>141.24</v>
      </c>
      <c r="H1940">
        <v>2</v>
      </c>
      <c r="I1940" s="4">
        <v>282.48</v>
      </c>
      <c r="J1940">
        <v>5</v>
      </c>
      <c r="K1940" t="s">
        <v>18</v>
      </c>
      <c r="L1940" t="s">
        <v>28</v>
      </c>
      <c r="O1940"/>
    </row>
    <row r="1941" spans="1:15" x14ac:dyDescent="0.3">
      <c r="A1941" t="s">
        <v>1965</v>
      </c>
      <c r="B1941" s="1">
        <v>45970</v>
      </c>
      <c r="C1941" t="s">
        <v>21</v>
      </c>
      <c r="D1941" t="s">
        <v>25</v>
      </c>
      <c r="E1941" s="2">
        <v>7.13</v>
      </c>
      <c r="F1941" s="3">
        <v>21.14</v>
      </c>
      <c r="G1941" s="4">
        <v>95.62</v>
      </c>
      <c r="H1941">
        <v>1.5</v>
      </c>
      <c r="I1941" s="4">
        <v>143.43</v>
      </c>
      <c r="J1941">
        <v>4</v>
      </c>
      <c r="K1941" t="s">
        <v>15</v>
      </c>
      <c r="L1941" t="s">
        <v>26</v>
      </c>
      <c r="O1941"/>
    </row>
    <row r="1942" spans="1:15" x14ac:dyDescent="0.3">
      <c r="A1942" t="s">
        <v>1966</v>
      </c>
      <c r="B1942" s="1">
        <v>45724</v>
      </c>
      <c r="C1942" t="s">
        <v>21</v>
      </c>
      <c r="D1942" t="s">
        <v>13</v>
      </c>
      <c r="E1942" s="2">
        <v>19.37</v>
      </c>
      <c r="F1942" s="3">
        <v>56.66</v>
      </c>
      <c r="G1942" s="4">
        <v>301.41000000000003</v>
      </c>
      <c r="H1942">
        <v>1.2</v>
      </c>
      <c r="I1942" s="4">
        <v>361.69</v>
      </c>
      <c r="J1942">
        <v>4.4000000000000004</v>
      </c>
      <c r="K1942" t="s">
        <v>36</v>
      </c>
      <c r="L1942" t="s">
        <v>16</v>
      </c>
      <c r="O1942"/>
    </row>
    <row r="1943" spans="1:15" x14ac:dyDescent="0.3">
      <c r="A1943" t="s">
        <v>1967</v>
      </c>
      <c r="B1943" s="1">
        <v>45778</v>
      </c>
      <c r="C1943" t="s">
        <v>22</v>
      </c>
      <c r="D1943" t="s">
        <v>13</v>
      </c>
      <c r="E1943" s="2">
        <v>3.73</v>
      </c>
      <c r="F1943" s="3">
        <v>8.74</v>
      </c>
      <c r="G1943" s="4">
        <v>41.12</v>
      </c>
      <c r="H1943">
        <v>1.2</v>
      </c>
      <c r="I1943" s="4">
        <v>49.34</v>
      </c>
      <c r="J1943">
        <v>4.8</v>
      </c>
      <c r="K1943" t="s">
        <v>33</v>
      </c>
      <c r="L1943" t="s">
        <v>16</v>
      </c>
      <c r="O1943"/>
    </row>
    <row r="1944" spans="1:15" x14ac:dyDescent="0.3">
      <c r="A1944" t="s">
        <v>1968</v>
      </c>
      <c r="B1944" s="1">
        <v>45934</v>
      </c>
      <c r="C1944" t="s">
        <v>14</v>
      </c>
      <c r="D1944" t="s">
        <v>14</v>
      </c>
      <c r="E1944" s="2">
        <v>22.87</v>
      </c>
      <c r="F1944" s="3">
        <v>46.68</v>
      </c>
      <c r="G1944" s="4">
        <v>285.73</v>
      </c>
      <c r="H1944">
        <v>1.5</v>
      </c>
      <c r="I1944" s="4">
        <v>428.6</v>
      </c>
      <c r="J1944">
        <v>4.3</v>
      </c>
      <c r="K1944" t="s">
        <v>33</v>
      </c>
      <c r="L1944" t="s">
        <v>19</v>
      </c>
      <c r="O1944"/>
    </row>
    <row r="1945" spans="1:15" x14ac:dyDescent="0.3">
      <c r="A1945" t="s">
        <v>1969</v>
      </c>
      <c r="B1945" s="1">
        <v>46020</v>
      </c>
      <c r="C1945" t="s">
        <v>21</v>
      </c>
      <c r="D1945" t="s">
        <v>22</v>
      </c>
      <c r="E1945" s="2">
        <v>3.12</v>
      </c>
      <c r="F1945" s="3">
        <v>11.36</v>
      </c>
      <c r="G1945" s="4">
        <v>46.58</v>
      </c>
      <c r="H1945">
        <v>1.2</v>
      </c>
      <c r="I1945" s="4">
        <v>55.9</v>
      </c>
      <c r="J1945">
        <v>3</v>
      </c>
      <c r="K1945" t="s">
        <v>33</v>
      </c>
      <c r="L1945" t="s">
        <v>16</v>
      </c>
      <c r="O1945"/>
    </row>
    <row r="1946" spans="1:15" x14ac:dyDescent="0.3">
      <c r="A1946" t="s">
        <v>1970</v>
      </c>
      <c r="B1946" s="1">
        <v>45685</v>
      </c>
      <c r="C1946" t="s">
        <v>22</v>
      </c>
      <c r="D1946" t="s">
        <v>25</v>
      </c>
      <c r="E1946" s="2">
        <v>13.61</v>
      </c>
      <c r="F1946" s="3">
        <v>32.68</v>
      </c>
      <c r="G1946" s="4">
        <v>150.74</v>
      </c>
      <c r="H1946">
        <v>1.5</v>
      </c>
      <c r="I1946" s="4">
        <v>226.11</v>
      </c>
      <c r="J1946">
        <v>3.9</v>
      </c>
      <c r="K1946" t="s">
        <v>33</v>
      </c>
      <c r="L1946" t="s">
        <v>16</v>
      </c>
      <c r="O1946"/>
    </row>
    <row r="1947" spans="1:15" x14ac:dyDescent="0.3">
      <c r="A1947" t="s">
        <v>1971</v>
      </c>
      <c r="B1947" s="1">
        <v>45917</v>
      </c>
      <c r="C1947" t="s">
        <v>22</v>
      </c>
      <c r="D1947" t="s">
        <v>25</v>
      </c>
      <c r="E1947" s="2">
        <v>19.13</v>
      </c>
      <c r="F1947" s="3">
        <v>69.92</v>
      </c>
      <c r="G1947" s="4">
        <v>321.13</v>
      </c>
      <c r="H1947">
        <v>1.5</v>
      </c>
      <c r="I1947" s="4">
        <v>481.7</v>
      </c>
      <c r="J1947">
        <v>4.0999999999999996</v>
      </c>
      <c r="K1947" t="s">
        <v>18</v>
      </c>
      <c r="L1947" t="s">
        <v>16</v>
      </c>
      <c r="O1947"/>
    </row>
    <row r="1948" spans="1:15" x14ac:dyDescent="0.3">
      <c r="A1948" t="s">
        <v>1972</v>
      </c>
      <c r="B1948" s="1">
        <v>45990</v>
      </c>
      <c r="C1948" t="s">
        <v>21</v>
      </c>
      <c r="D1948" t="s">
        <v>13</v>
      </c>
      <c r="E1948" s="2">
        <v>14.61</v>
      </c>
      <c r="F1948" s="3">
        <v>56.24</v>
      </c>
      <c r="G1948" s="4">
        <v>204.19</v>
      </c>
      <c r="H1948">
        <v>1</v>
      </c>
      <c r="I1948" s="4">
        <v>204.19</v>
      </c>
      <c r="J1948">
        <v>3.1</v>
      </c>
      <c r="K1948" t="s">
        <v>18</v>
      </c>
      <c r="L1948" t="s">
        <v>26</v>
      </c>
      <c r="O1948"/>
    </row>
    <row r="1949" spans="1:15" x14ac:dyDescent="0.3">
      <c r="A1949" t="s">
        <v>1973</v>
      </c>
      <c r="B1949" s="1">
        <v>45835</v>
      </c>
      <c r="C1949" t="s">
        <v>22</v>
      </c>
      <c r="D1949" t="s">
        <v>13</v>
      </c>
      <c r="E1949" s="2">
        <v>16.059999999999999</v>
      </c>
      <c r="F1949" s="3">
        <v>59.68</v>
      </c>
      <c r="G1949" s="4">
        <v>223.46</v>
      </c>
      <c r="H1949">
        <v>1.2</v>
      </c>
      <c r="I1949" s="4">
        <v>268.14999999999998</v>
      </c>
      <c r="J1949">
        <v>3.4</v>
      </c>
      <c r="K1949" t="s">
        <v>18</v>
      </c>
      <c r="L1949" t="s">
        <v>28</v>
      </c>
      <c r="O1949"/>
    </row>
    <row r="1950" spans="1:15" x14ac:dyDescent="0.3">
      <c r="A1950" t="s">
        <v>1974</v>
      </c>
      <c r="B1950" s="1">
        <v>45710</v>
      </c>
      <c r="C1950" t="s">
        <v>25</v>
      </c>
      <c r="D1950" t="s">
        <v>25</v>
      </c>
      <c r="E1950" s="2">
        <v>9.1300000000000008</v>
      </c>
      <c r="F1950" s="3">
        <v>19.23</v>
      </c>
      <c r="G1950" s="4">
        <v>163.94</v>
      </c>
      <c r="H1950">
        <v>1</v>
      </c>
      <c r="I1950" s="4">
        <v>163.94</v>
      </c>
      <c r="J1950">
        <v>3.5</v>
      </c>
      <c r="K1950" t="s">
        <v>18</v>
      </c>
      <c r="L1950" t="s">
        <v>28</v>
      </c>
      <c r="O1950"/>
    </row>
    <row r="1951" spans="1:15" x14ac:dyDescent="0.3">
      <c r="A1951" t="s">
        <v>1975</v>
      </c>
      <c r="B1951" s="1">
        <v>45692</v>
      </c>
      <c r="C1951" t="s">
        <v>13</v>
      </c>
      <c r="D1951" t="s">
        <v>21</v>
      </c>
      <c r="E1951" s="2">
        <v>27.14</v>
      </c>
      <c r="F1951" s="3">
        <v>99.54</v>
      </c>
      <c r="G1951" s="4">
        <v>421.63</v>
      </c>
      <c r="H1951">
        <v>1.5</v>
      </c>
      <c r="I1951" s="4">
        <v>632.44000000000005</v>
      </c>
      <c r="J1951">
        <v>4.7</v>
      </c>
      <c r="K1951" t="s">
        <v>33</v>
      </c>
      <c r="L1951" t="s">
        <v>19</v>
      </c>
      <c r="O1951"/>
    </row>
    <row r="1952" spans="1:15" x14ac:dyDescent="0.3">
      <c r="A1952" t="s">
        <v>1976</v>
      </c>
      <c r="B1952" s="1">
        <v>45740</v>
      </c>
      <c r="C1952" t="s">
        <v>22</v>
      </c>
      <c r="D1952" t="s">
        <v>21</v>
      </c>
      <c r="E1952" s="2">
        <v>12.36</v>
      </c>
      <c r="F1952" s="3">
        <v>47.35</v>
      </c>
      <c r="G1952" s="4">
        <v>139.13</v>
      </c>
      <c r="H1952">
        <v>2</v>
      </c>
      <c r="I1952" s="4">
        <v>278.26</v>
      </c>
      <c r="J1952">
        <v>3.8</v>
      </c>
      <c r="K1952" t="s">
        <v>33</v>
      </c>
      <c r="L1952" t="s">
        <v>16</v>
      </c>
      <c r="O1952"/>
    </row>
    <row r="1953" spans="1:15" x14ac:dyDescent="0.3">
      <c r="A1953" t="s">
        <v>1977</v>
      </c>
      <c r="B1953" s="1">
        <v>45979</v>
      </c>
      <c r="C1953" t="s">
        <v>22</v>
      </c>
      <c r="D1953" t="s">
        <v>22</v>
      </c>
      <c r="E1953" s="2">
        <v>15.45</v>
      </c>
      <c r="F1953" s="3">
        <v>45.04</v>
      </c>
      <c r="G1953" s="4">
        <v>234.67</v>
      </c>
      <c r="H1953">
        <v>1.5</v>
      </c>
      <c r="I1953" s="4">
        <v>352</v>
      </c>
      <c r="J1953">
        <v>3.5</v>
      </c>
      <c r="K1953" t="s">
        <v>18</v>
      </c>
      <c r="L1953" t="s">
        <v>28</v>
      </c>
      <c r="O1953"/>
    </row>
    <row r="1954" spans="1:15" x14ac:dyDescent="0.3">
      <c r="A1954" t="s">
        <v>1978</v>
      </c>
      <c r="B1954" s="1">
        <v>45855</v>
      </c>
      <c r="C1954" t="s">
        <v>25</v>
      </c>
      <c r="D1954" t="s">
        <v>13</v>
      </c>
      <c r="E1954" s="2">
        <v>13.31</v>
      </c>
      <c r="F1954" s="3">
        <v>49.52</v>
      </c>
      <c r="G1954" s="4">
        <v>205.26</v>
      </c>
      <c r="H1954">
        <v>1.5</v>
      </c>
      <c r="I1954" s="4">
        <v>307.89</v>
      </c>
      <c r="J1954">
        <v>3.9</v>
      </c>
      <c r="K1954" t="s">
        <v>30</v>
      </c>
      <c r="L1954" t="s">
        <v>16</v>
      </c>
      <c r="O1954"/>
    </row>
    <row r="1955" spans="1:15" x14ac:dyDescent="0.3">
      <c r="A1955" t="s">
        <v>1979</v>
      </c>
      <c r="B1955" s="1">
        <v>45761</v>
      </c>
      <c r="C1955" t="s">
        <v>13</v>
      </c>
      <c r="D1955" t="s">
        <v>21</v>
      </c>
      <c r="E1955" s="2">
        <v>13.75</v>
      </c>
      <c r="F1955" s="3">
        <v>39.770000000000003</v>
      </c>
      <c r="G1955" s="4">
        <v>194</v>
      </c>
      <c r="H1955">
        <v>1.2</v>
      </c>
      <c r="I1955" s="4">
        <v>232.8</v>
      </c>
      <c r="J1955">
        <v>3.8</v>
      </c>
      <c r="K1955" t="s">
        <v>36</v>
      </c>
      <c r="L1955" t="s">
        <v>28</v>
      </c>
      <c r="O1955"/>
    </row>
    <row r="1956" spans="1:15" x14ac:dyDescent="0.3">
      <c r="A1956" t="s">
        <v>1980</v>
      </c>
      <c r="B1956" s="1">
        <v>45792</v>
      </c>
      <c r="C1956" t="s">
        <v>13</v>
      </c>
      <c r="D1956" t="s">
        <v>13</v>
      </c>
      <c r="E1956" s="2">
        <v>26.84</v>
      </c>
      <c r="F1956" s="3">
        <v>71.56</v>
      </c>
      <c r="G1956" s="4">
        <v>308</v>
      </c>
      <c r="H1956">
        <v>1.5</v>
      </c>
      <c r="I1956" s="4">
        <v>462</v>
      </c>
      <c r="J1956">
        <v>4.7</v>
      </c>
      <c r="K1956" t="s">
        <v>18</v>
      </c>
      <c r="L1956" t="s">
        <v>19</v>
      </c>
      <c r="O1956"/>
    </row>
    <row r="1957" spans="1:15" x14ac:dyDescent="0.3">
      <c r="A1957" t="s">
        <v>1981</v>
      </c>
      <c r="B1957" s="1">
        <v>45752</v>
      </c>
      <c r="C1957" t="s">
        <v>14</v>
      </c>
      <c r="D1957" t="s">
        <v>22</v>
      </c>
      <c r="E1957" s="2">
        <v>13.26</v>
      </c>
      <c r="F1957" s="3">
        <v>31.5</v>
      </c>
      <c r="G1957" s="4">
        <v>135.47</v>
      </c>
      <c r="H1957">
        <v>1</v>
      </c>
      <c r="I1957" s="4">
        <v>135.47</v>
      </c>
      <c r="J1957">
        <v>3</v>
      </c>
      <c r="K1957" t="s">
        <v>36</v>
      </c>
      <c r="L1957" t="s">
        <v>28</v>
      </c>
      <c r="O1957"/>
    </row>
    <row r="1958" spans="1:15" x14ac:dyDescent="0.3">
      <c r="A1958" t="s">
        <v>1982</v>
      </c>
      <c r="B1958" s="1">
        <v>45665</v>
      </c>
      <c r="C1958" t="s">
        <v>25</v>
      </c>
      <c r="D1958" t="s">
        <v>14</v>
      </c>
      <c r="E1958" s="2">
        <v>3.49</v>
      </c>
      <c r="F1958" s="3">
        <v>10.199999999999999</v>
      </c>
      <c r="G1958" s="4">
        <v>60.85</v>
      </c>
      <c r="H1958">
        <v>1</v>
      </c>
      <c r="I1958" s="4">
        <v>60.85</v>
      </c>
      <c r="J1958">
        <v>4.5</v>
      </c>
      <c r="K1958" t="s">
        <v>33</v>
      </c>
      <c r="L1958" t="s">
        <v>16</v>
      </c>
      <c r="O1958"/>
    </row>
    <row r="1959" spans="1:15" x14ac:dyDescent="0.3">
      <c r="A1959" t="s">
        <v>1983</v>
      </c>
      <c r="B1959" s="1">
        <v>45932</v>
      </c>
      <c r="C1959" t="s">
        <v>14</v>
      </c>
      <c r="D1959" t="s">
        <v>25</v>
      </c>
      <c r="E1959" s="2">
        <v>8.1</v>
      </c>
      <c r="F1959" s="3">
        <v>27.81</v>
      </c>
      <c r="G1959" s="4">
        <v>129.43</v>
      </c>
      <c r="H1959">
        <v>2</v>
      </c>
      <c r="I1959" s="4">
        <v>258.86</v>
      </c>
      <c r="J1959">
        <v>3.6</v>
      </c>
      <c r="K1959" t="s">
        <v>36</v>
      </c>
      <c r="L1959" t="s">
        <v>28</v>
      </c>
      <c r="O1959"/>
    </row>
    <row r="1960" spans="1:15" x14ac:dyDescent="0.3">
      <c r="A1960" t="s">
        <v>1984</v>
      </c>
      <c r="B1960" s="1">
        <v>46019</v>
      </c>
      <c r="C1960" t="s">
        <v>22</v>
      </c>
      <c r="D1960" t="s">
        <v>22</v>
      </c>
      <c r="E1960" s="2">
        <v>13.39</v>
      </c>
      <c r="F1960" s="3">
        <v>52.54</v>
      </c>
      <c r="G1960" s="4">
        <v>230.7</v>
      </c>
      <c r="H1960">
        <v>2</v>
      </c>
      <c r="I1960" s="4">
        <v>461.4</v>
      </c>
      <c r="J1960">
        <v>3.3</v>
      </c>
      <c r="K1960" t="s">
        <v>30</v>
      </c>
      <c r="L1960" t="s">
        <v>16</v>
      </c>
      <c r="O1960"/>
    </row>
    <row r="1961" spans="1:15" x14ac:dyDescent="0.3">
      <c r="A1961" t="s">
        <v>1985</v>
      </c>
      <c r="B1961" s="1">
        <v>45910</v>
      </c>
      <c r="C1961" t="s">
        <v>13</v>
      </c>
      <c r="D1961" t="s">
        <v>21</v>
      </c>
      <c r="E1961" s="2">
        <v>19.25</v>
      </c>
      <c r="F1961" s="3">
        <v>76.08</v>
      </c>
      <c r="G1961" s="4">
        <v>256.26</v>
      </c>
      <c r="H1961">
        <v>2</v>
      </c>
      <c r="I1961" s="4">
        <v>512.52</v>
      </c>
      <c r="J1961">
        <v>4.8</v>
      </c>
      <c r="K1961" t="s">
        <v>33</v>
      </c>
      <c r="L1961" t="s">
        <v>26</v>
      </c>
      <c r="O1961"/>
    </row>
    <row r="1962" spans="1:15" x14ac:dyDescent="0.3">
      <c r="A1962" t="s">
        <v>1986</v>
      </c>
      <c r="B1962" s="1">
        <v>45879</v>
      </c>
      <c r="C1962" t="s">
        <v>22</v>
      </c>
      <c r="D1962" t="s">
        <v>14</v>
      </c>
      <c r="E1962" s="2">
        <v>27.28</v>
      </c>
      <c r="F1962" s="3">
        <v>97.34</v>
      </c>
      <c r="G1962" s="4">
        <v>442.62</v>
      </c>
      <c r="H1962">
        <v>1</v>
      </c>
      <c r="I1962" s="4">
        <v>442.62</v>
      </c>
      <c r="J1962">
        <v>3.3</v>
      </c>
      <c r="K1962" t="s">
        <v>30</v>
      </c>
      <c r="L1962" t="s">
        <v>16</v>
      </c>
      <c r="O1962"/>
    </row>
    <row r="1963" spans="1:15" x14ac:dyDescent="0.3">
      <c r="A1963" t="s">
        <v>1987</v>
      </c>
      <c r="B1963" s="1">
        <v>45686</v>
      </c>
      <c r="C1963" t="s">
        <v>13</v>
      </c>
      <c r="D1963" t="s">
        <v>14</v>
      </c>
      <c r="E1963" s="2">
        <v>3.65</v>
      </c>
      <c r="F1963" s="3">
        <v>12.26</v>
      </c>
      <c r="G1963" s="4">
        <v>62.97</v>
      </c>
      <c r="H1963">
        <v>2</v>
      </c>
      <c r="I1963" s="4">
        <v>125.94</v>
      </c>
      <c r="J1963">
        <v>4.8</v>
      </c>
      <c r="K1963" t="s">
        <v>36</v>
      </c>
      <c r="L1963" t="s">
        <v>19</v>
      </c>
      <c r="O1963"/>
    </row>
    <row r="1964" spans="1:15" x14ac:dyDescent="0.3">
      <c r="A1964" t="s">
        <v>1988</v>
      </c>
      <c r="B1964" s="1">
        <v>45921</v>
      </c>
      <c r="C1964" t="s">
        <v>21</v>
      </c>
      <c r="D1964" t="s">
        <v>22</v>
      </c>
      <c r="E1964" s="2">
        <v>1.54</v>
      </c>
      <c r="F1964" s="3">
        <v>4.76</v>
      </c>
      <c r="G1964" s="4">
        <v>26.28</v>
      </c>
      <c r="H1964">
        <v>1.5</v>
      </c>
      <c r="I1964" s="4">
        <v>39.42</v>
      </c>
      <c r="J1964">
        <v>4.2</v>
      </c>
      <c r="K1964" t="s">
        <v>33</v>
      </c>
      <c r="L1964" t="s">
        <v>26</v>
      </c>
      <c r="O1964"/>
    </row>
    <row r="1965" spans="1:15" x14ac:dyDescent="0.3">
      <c r="A1965" t="s">
        <v>1989</v>
      </c>
      <c r="B1965" s="1">
        <v>45978</v>
      </c>
      <c r="C1965" t="s">
        <v>13</v>
      </c>
      <c r="D1965" t="s">
        <v>22</v>
      </c>
      <c r="E1965" s="2">
        <v>8.59</v>
      </c>
      <c r="F1965" s="3">
        <v>25.99</v>
      </c>
      <c r="G1965" s="4">
        <v>114.3</v>
      </c>
      <c r="H1965">
        <v>1.5</v>
      </c>
      <c r="I1965" s="4">
        <v>171.45</v>
      </c>
      <c r="J1965">
        <v>4.3</v>
      </c>
      <c r="K1965" t="s">
        <v>30</v>
      </c>
      <c r="L1965" t="s">
        <v>26</v>
      </c>
      <c r="O1965"/>
    </row>
    <row r="1966" spans="1:15" x14ac:dyDescent="0.3">
      <c r="A1966" t="s">
        <v>1990</v>
      </c>
      <c r="B1966" s="1">
        <v>45884</v>
      </c>
      <c r="C1966" t="s">
        <v>21</v>
      </c>
      <c r="D1966" t="s">
        <v>21</v>
      </c>
      <c r="E1966" s="2">
        <v>24.19</v>
      </c>
      <c r="F1966" s="3">
        <v>76.47</v>
      </c>
      <c r="G1966" s="4">
        <v>428.91</v>
      </c>
      <c r="H1966">
        <v>1.2</v>
      </c>
      <c r="I1966" s="4">
        <v>514.69000000000005</v>
      </c>
      <c r="J1966">
        <v>3.8</v>
      </c>
      <c r="K1966" t="s">
        <v>30</v>
      </c>
      <c r="L1966" t="s">
        <v>19</v>
      </c>
      <c r="O1966"/>
    </row>
    <row r="1967" spans="1:15" x14ac:dyDescent="0.3">
      <c r="A1967" t="s">
        <v>1991</v>
      </c>
      <c r="B1967" s="1">
        <v>45938</v>
      </c>
      <c r="C1967" t="s">
        <v>13</v>
      </c>
      <c r="D1967" t="s">
        <v>13</v>
      </c>
      <c r="E1967" s="2">
        <v>8.9600000000000009</v>
      </c>
      <c r="F1967" s="3">
        <v>27.71</v>
      </c>
      <c r="G1967" s="4">
        <v>108.78</v>
      </c>
      <c r="H1967">
        <v>2</v>
      </c>
      <c r="I1967" s="4">
        <v>217.56</v>
      </c>
      <c r="J1967">
        <v>3.7</v>
      </c>
      <c r="K1967" t="s">
        <v>15</v>
      </c>
      <c r="L1967" t="s">
        <v>26</v>
      </c>
      <c r="O1967"/>
    </row>
    <row r="1968" spans="1:15" x14ac:dyDescent="0.3">
      <c r="A1968" t="s">
        <v>1992</v>
      </c>
      <c r="B1968" s="1">
        <v>45804</v>
      </c>
      <c r="C1968" t="s">
        <v>25</v>
      </c>
      <c r="D1968" t="s">
        <v>14</v>
      </c>
      <c r="E1968" s="2">
        <v>8.73</v>
      </c>
      <c r="F1968" s="3">
        <v>34.340000000000003</v>
      </c>
      <c r="G1968" s="4">
        <v>101.27</v>
      </c>
      <c r="H1968">
        <v>1</v>
      </c>
      <c r="I1968" s="4">
        <v>101.27</v>
      </c>
      <c r="J1968">
        <v>3.2</v>
      </c>
      <c r="K1968" t="s">
        <v>36</v>
      </c>
      <c r="L1968" t="s">
        <v>19</v>
      </c>
      <c r="O1968"/>
    </row>
    <row r="1969" spans="1:15" x14ac:dyDescent="0.3">
      <c r="A1969" t="s">
        <v>1993</v>
      </c>
      <c r="B1969" s="1">
        <v>45954</v>
      </c>
      <c r="C1969" t="s">
        <v>25</v>
      </c>
      <c r="D1969" t="s">
        <v>25</v>
      </c>
      <c r="E1969" s="2">
        <v>1.58</v>
      </c>
      <c r="F1969" s="3">
        <v>5.37</v>
      </c>
      <c r="G1969" s="4">
        <v>19.8</v>
      </c>
      <c r="H1969">
        <v>1</v>
      </c>
      <c r="I1969" s="4">
        <v>19.8</v>
      </c>
      <c r="J1969">
        <v>4.5999999999999996</v>
      </c>
      <c r="K1969" t="s">
        <v>36</v>
      </c>
      <c r="L1969" t="s">
        <v>28</v>
      </c>
      <c r="O1969"/>
    </row>
    <row r="1970" spans="1:15" x14ac:dyDescent="0.3">
      <c r="A1970" t="s">
        <v>1994</v>
      </c>
      <c r="B1970" s="1">
        <v>46011</v>
      </c>
      <c r="C1970" t="s">
        <v>22</v>
      </c>
      <c r="D1970" t="s">
        <v>21</v>
      </c>
      <c r="E1970" s="2">
        <v>28.12</v>
      </c>
      <c r="F1970" s="3">
        <v>56.9</v>
      </c>
      <c r="G1970" s="4">
        <v>446.51</v>
      </c>
      <c r="H1970">
        <v>1.2</v>
      </c>
      <c r="I1970" s="4">
        <v>535.80999999999995</v>
      </c>
      <c r="J1970">
        <v>3.4</v>
      </c>
      <c r="K1970" t="s">
        <v>15</v>
      </c>
      <c r="L1970" t="s">
        <v>19</v>
      </c>
      <c r="O1970"/>
    </row>
    <row r="1971" spans="1:15" x14ac:dyDescent="0.3">
      <c r="A1971" t="s">
        <v>1995</v>
      </c>
      <c r="B1971" s="1">
        <v>45904</v>
      </c>
      <c r="C1971" t="s">
        <v>14</v>
      </c>
      <c r="D1971" t="s">
        <v>13</v>
      </c>
      <c r="E1971" s="2">
        <v>3.44</v>
      </c>
      <c r="F1971" s="3">
        <v>11.57</v>
      </c>
      <c r="G1971" s="4">
        <v>57.8</v>
      </c>
      <c r="H1971">
        <v>1</v>
      </c>
      <c r="I1971" s="4">
        <v>57.8</v>
      </c>
      <c r="J1971">
        <v>4.4000000000000004</v>
      </c>
      <c r="K1971" t="s">
        <v>36</v>
      </c>
      <c r="L1971" t="s">
        <v>19</v>
      </c>
      <c r="O1971"/>
    </row>
    <row r="1972" spans="1:15" x14ac:dyDescent="0.3">
      <c r="A1972" t="s">
        <v>1996</v>
      </c>
      <c r="B1972" s="1">
        <v>45796</v>
      </c>
      <c r="C1972" t="s">
        <v>14</v>
      </c>
      <c r="D1972" t="s">
        <v>13</v>
      </c>
      <c r="E1972" s="2">
        <v>24.87</v>
      </c>
      <c r="F1972" s="3">
        <v>51.83</v>
      </c>
      <c r="G1972" s="4">
        <v>365.86</v>
      </c>
      <c r="H1972">
        <v>1</v>
      </c>
      <c r="I1972" s="4">
        <v>365.86</v>
      </c>
      <c r="J1972">
        <v>3.1</v>
      </c>
      <c r="K1972" t="s">
        <v>33</v>
      </c>
      <c r="L1972" t="s">
        <v>28</v>
      </c>
      <c r="O1972"/>
    </row>
    <row r="1973" spans="1:15" x14ac:dyDescent="0.3">
      <c r="A1973" t="s">
        <v>1997</v>
      </c>
      <c r="B1973" s="1">
        <v>45751</v>
      </c>
      <c r="C1973" t="s">
        <v>25</v>
      </c>
      <c r="D1973" t="s">
        <v>14</v>
      </c>
      <c r="E1973" s="2">
        <v>12.14</v>
      </c>
      <c r="F1973" s="3">
        <v>34.78</v>
      </c>
      <c r="G1973" s="4">
        <v>240.28</v>
      </c>
      <c r="H1973">
        <v>1</v>
      </c>
      <c r="I1973" s="4">
        <v>240.28</v>
      </c>
      <c r="J1973">
        <v>4</v>
      </c>
      <c r="K1973" t="s">
        <v>36</v>
      </c>
      <c r="L1973" t="s">
        <v>26</v>
      </c>
      <c r="O1973"/>
    </row>
    <row r="1974" spans="1:15" x14ac:dyDescent="0.3">
      <c r="A1974" t="s">
        <v>1998</v>
      </c>
      <c r="B1974" s="1">
        <v>45685</v>
      </c>
      <c r="C1974" t="s">
        <v>21</v>
      </c>
      <c r="D1974" t="s">
        <v>22</v>
      </c>
      <c r="E1974" s="2">
        <v>14.93</v>
      </c>
      <c r="F1974" s="3">
        <v>48.48</v>
      </c>
      <c r="G1974" s="4">
        <v>273.25</v>
      </c>
      <c r="H1974">
        <v>1</v>
      </c>
      <c r="I1974" s="4">
        <v>273.25</v>
      </c>
      <c r="J1974">
        <v>4.5999999999999996</v>
      </c>
      <c r="K1974" t="s">
        <v>15</v>
      </c>
      <c r="L1974" t="s">
        <v>26</v>
      </c>
      <c r="O1974"/>
    </row>
    <row r="1975" spans="1:15" x14ac:dyDescent="0.3">
      <c r="A1975" t="s">
        <v>1999</v>
      </c>
      <c r="B1975" s="1">
        <v>45897</v>
      </c>
      <c r="C1975" t="s">
        <v>21</v>
      </c>
      <c r="D1975" t="s">
        <v>25</v>
      </c>
      <c r="E1975" s="2">
        <v>12.88</v>
      </c>
      <c r="F1975" s="3">
        <v>35.409999999999997</v>
      </c>
      <c r="G1975" s="4">
        <v>248.01</v>
      </c>
      <c r="H1975">
        <v>2</v>
      </c>
      <c r="I1975" s="4">
        <v>496.02</v>
      </c>
      <c r="J1975">
        <v>4.3</v>
      </c>
      <c r="K1975" t="s">
        <v>33</v>
      </c>
      <c r="L1975" t="s">
        <v>19</v>
      </c>
      <c r="O1975"/>
    </row>
    <row r="1976" spans="1:15" x14ac:dyDescent="0.3">
      <c r="A1976" t="s">
        <v>2000</v>
      </c>
      <c r="B1976" s="1">
        <v>45874</v>
      </c>
      <c r="C1976" t="s">
        <v>14</v>
      </c>
      <c r="D1976" t="s">
        <v>21</v>
      </c>
      <c r="E1976" s="2">
        <v>21.68</v>
      </c>
      <c r="F1976" s="3">
        <v>50.47</v>
      </c>
      <c r="G1976" s="4">
        <v>423.96</v>
      </c>
      <c r="H1976">
        <v>1.2</v>
      </c>
      <c r="I1976" s="4">
        <v>508.75</v>
      </c>
      <c r="J1976">
        <v>3.3</v>
      </c>
      <c r="K1976" t="s">
        <v>36</v>
      </c>
      <c r="L1976" t="s">
        <v>26</v>
      </c>
      <c r="O1976"/>
    </row>
    <row r="1977" spans="1:15" x14ac:dyDescent="0.3">
      <c r="A1977" t="s">
        <v>2001</v>
      </c>
      <c r="B1977" s="1">
        <v>45924</v>
      </c>
      <c r="C1977" t="s">
        <v>21</v>
      </c>
      <c r="D1977" t="s">
        <v>22</v>
      </c>
      <c r="E1977" s="2">
        <v>20.07</v>
      </c>
      <c r="F1977" s="3">
        <v>75.59</v>
      </c>
      <c r="G1977" s="4">
        <v>316.51</v>
      </c>
      <c r="H1977">
        <v>1.2</v>
      </c>
      <c r="I1977" s="4">
        <v>379.81</v>
      </c>
      <c r="J1977">
        <v>4</v>
      </c>
      <c r="K1977" t="s">
        <v>15</v>
      </c>
      <c r="L1977" t="s">
        <v>16</v>
      </c>
      <c r="O1977"/>
    </row>
    <row r="1978" spans="1:15" x14ac:dyDescent="0.3">
      <c r="A1978" t="s">
        <v>2002</v>
      </c>
      <c r="B1978" s="1">
        <v>45756</v>
      </c>
      <c r="C1978" t="s">
        <v>22</v>
      </c>
      <c r="D1978" t="s">
        <v>13</v>
      </c>
      <c r="E1978" s="2">
        <v>23.69</v>
      </c>
      <c r="F1978" s="3">
        <v>73.16</v>
      </c>
      <c r="G1978" s="4">
        <v>273.47000000000003</v>
      </c>
      <c r="H1978">
        <v>1.2</v>
      </c>
      <c r="I1978" s="4">
        <v>328.16</v>
      </c>
      <c r="J1978">
        <v>4.7</v>
      </c>
      <c r="K1978" t="s">
        <v>15</v>
      </c>
      <c r="L1978" t="s">
        <v>28</v>
      </c>
      <c r="O1978"/>
    </row>
    <row r="1979" spans="1:15" x14ac:dyDescent="0.3">
      <c r="A1979" t="s">
        <v>2003</v>
      </c>
      <c r="B1979" s="1">
        <v>45881</v>
      </c>
      <c r="C1979" t="s">
        <v>14</v>
      </c>
      <c r="D1979" t="s">
        <v>21</v>
      </c>
      <c r="E1979" s="2">
        <v>24.38</v>
      </c>
      <c r="F1979" s="3">
        <v>62.38</v>
      </c>
      <c r="G1979" s="4">
        <v>333.51</v>
      </c>
      <c r="H1979">
        <v>1.2</v>
      </c>
      <c r="I1979" s="4">
        <v>400.21</v>
      </c>
      <c r="J1979">
        <v>3.5</v>
      </c>
      <c r="K1979" t="s">
        <v>30</v>
      </c>
      <c r="L1979" t="s">
        <v>26</v>
      </c>
      <c r="O1979"/>
    </row>
    <row r="1980" spans="1:15" x14ac:dyDescent="0.3">
      <c r="A1980" t="s">
        <v>2004</v>
      </c>
      <c r="B1980" s="1">
        <v>45735</v>
      </c>
      <c r="C1980" t="s">
        <v>25</v>
      </c>
      <c r="D1980" t="s">
        <v>21</v>
      </c>
      <c r="E1980" s="2">
        <v>1.1000000000000001</v>
      </c>
      <c r="F1980" s="3">
        <v>2.2999999999999998</v>
      </c>
      <c r="G1980" s="4">
        <v>11.05</v>
      </c>
      <c r="H1980">
        <v>1</v>
      </c>
      <c r="I1980" s="4">
        <v>11.05</v>
      </c>
      <c r="J1980">
        <v>3.6</v>
      </c>
      <c r="K1980" t="s">
        <v>33</v>
      </c>
      <c r="L1980" t="s">
        <v>26</v>
      </c>
      <c r="O1980"/>
    </row>
    <row r="1981" spans="1:15" x14ac:dyDescent="0.3">
      <c r="A1981" t="s">
        <v>2005</v>
      </c>
      <c r="B1981" s="1">
        <v>45739</v>
      </c>
      <c r="C1981" t="s">
        <v>21</v>
      </c>
      <c r="D1981" t="s">
        <v>22</v>
      </c>
      <c r="E1981" s="2">
        <v>9.16</v>
      </c>
      <c r="F1981" s="3">
        <v>35.79</v>
      </c>
      <c r="G1981" s="4">
        <v>96.5</v>
      </c>
      <c r="H1981">
        <v>2</v>
      </c>
      <c r="I1981" s="4">
        <v>193</v>
      </c>
      <c r="J1981">
        <v>4.9000000000000004</v>
      </c>
      <c r="K1981" t="s">
        <v>33</v>
      </c>
      <c r="L1981" t="s">
        <v>19</v>
      </c>
      <c r="O1981"/>
    </row>
    <row r="1982" spans="1:15" x14ac:dyDescent="0.3">
      <c r="A1982" t="s">
        <v>2006</v>
      </c>
      <c r="B1982" s="1">
        <v>45937</v>
      </c>
      <c r="C1982" t="s">
        <v>25</v>
      </c>
      <c r="D1982" t="s">
        <v>22</v>
      </c>
      <c r="E1982" s="2">
        <v>14.86</v>
      </c>
      <c r="F1982" s="3">
        <v>36.36</v>
      </c>
      <c r="G1982" s="4">
        <v>253.45</v>
      </c>
      <c r="H1982">
        <v>1.5</v>
      </c>
      <c r="I1982" s="4">
        <v>380.17</v>
      </c>
      <c r="J1982">
        <v>3.8</v>
      </c>
      <c r="K1982" t="s">
        <v>30</v>
      </c>
      <c r="L1982" t="s">
        <v>16</v>
      </c>
      <c r="O1982"/>
    </row>
    <row r="1983" spans="1:15" x14ac:dyDescent="0.3">
      <c r="A1983" t="s">
        <v>2007</v>
      </c>
      <c r="B1983" s="1">
        <v>45966</v>
      </c>
      <c r="C1983" t="s">
        <v>13</v>
      </c>
      <c r="D1983" t="s">
        <v>14</v>
      </c>
      <c r="E1983" s="2">
        <v>8.34</v>
      </c>
      <c r="F1983" s="3">
        <v>32.619999999999997</v>
      </c>
      <c r="G1983" s="4">
        <v>85.79</v>
      </c>
      <c r="H1983">
        <v>1.2</v>
      </c>
      <c r="I1983" s="4">
        <v>102.95</v>
      </c>
      <c r="J1983">
        <v>4.9000000000000004</v>
      </c>
      <c r="K1983" t="s">
        <v>36</v>
      </c>
      <c r="L1983" t="s">
        <v>19</v>
      </c>
      <c r="O1983"/>
    </row>
    <row r="1984" spans="1:15" x14ac:dyDescent="0.3">
      <c r="A1984" t="s">
        <v>2008</v>
      </c>
      <c r="B1984" s="1">
        <v>45747</v>
      </c>
      <c r="C1984" t="s">
        <v>13</v>
      </c>
      <c r="D1984" t="s">
        <v>25</v>
      </c>
      <c r="E1984" s="2">
        <v>13.01</v>
      </c>
      <c r="F1984" s="3">
        <v>32.08</v>
      </c>
      <c r="G1984" s="4">
        <v>194.02</v>
      </c>
      <c r="H1984">
        <v>1</v>
      </c>
      <c r="I1984" s="4">
        <v>194.02</v>
      </c>
      <c r="J1984">
        <v>3.6</v>
      </c>
      <c r="K1984" t="s">
        <v>36</v>
      </c>
      <c r="L1984" t="s">
        <v>26</v>
      </c>
      <c r="O1984"/>
    </row>
    <row r="1985" spans="1:15" x14ac:dyDescent="0.3">
      <c r="A1985" t="s">
        <v>2009</v>
      </c>
      <c r="B1985" s="1">
        <v>45973</v>
      </c>
      <c r="C1985" t="s">
        <v>25</v>
      </c>
      <c r="D1985" t="s">
        <v>25</v>
      </c>
      <c r="E1985" s="2">
        <v>17.82</v>
      </c>
      <c r="F1985" s="3">
        <v>38.81</v>
      </c>
      <c r="G1985" s="4">
        <v>301.87</v>
      </c>
      <c r="H1985">
        <v>1.5</v>
      </c>
      <c r="I1985" s="4">
        <v>452.8</v>
      </c>
      <c r="J1985">
        <v>3.3</v>
      </c>
      <c r="K1985" t="s">
        <v>15</v>
      </c>
      <c r="L1985" t="s">
        <v>19</v>
      </c>
      <c r="O1985"/>
    </row>
    <row r="1986" spans="1:15" x14ac:dyDescent="0.3">
      <c r="A1986" t="s">
        <v>2010</v>
      </c>
      <c r="B1986" s="1">
        <v>45938</v>
      </c>
      <c r="C1986" t="s">
        <v>22</v>
      </c>
      <c r="D1986" t="s">
        <v>14</v>
      </c>
      <c r="E1986" s="2">
        <v>8.25</v>
      </c>
      <c r="F1986" s="3">
        <v>23.38</v>
      </c>
      <c r="G1986" s="4">
        <v>111.41</v>
      </c>
      <c r="H1986">
        <v>1.2</v>
      </c>
      <c r="I1986" s="4">
        <v>133.69</v>
      </c>
      <c r="J1986">
        <v>3.8</v>
      </c>
      <c r="K1986" t="s">
        <v>15</v>
      </c>
      <c r="L1986" t="s">
        <v>28</v>
      </c>
      <c r="O1986"/>
    </row>
    <row r="1987" spans="1:15" x14ac:dyDescent="0.3">
      <c r="A1987" t="s">
        <v>2011</v>
      </c>
      <c r="B1987" s="1">
        <v>45971</v>
      </c>
      <c r="C1987" t="s">
        <v>22</v>
      </c>
      <c r="D1987" t="s">
        <v>25</v>
      </c>
      <c r="E1987" s="2">
        <v>17.399999999999999</v>
      </c>
      <c r="F1987" s="3">
        <v>39.74</v>
      </c>
      <c r="G1987" s="4">
        <v>296.63</v>
      </c>
      <c r="H1987">
        <v>2</v>
      </c>
      <c r="I1987" s="4">
        <v>593.26</v>
      </c>
      <c r="J1987">
        <v>5</v>
      </c>
      <c r="K1987" t="s">
        <v>18</v>
      </c>
      <c r="L1987" t="s">
        <v>16</v>
      </c>
      <c r="O1987"/>
    </row>
    <row r="1988" spans="1:15" x14ac:dyDescent="0.3">
      <c r="A1988" t="s">
        <v>2012</v>
      </c>
      <c r="B1988" s="1">
        <v>45673</v>
      </c>
      <c r="C1988" t="s">
        <v>13</v>
      </c>
      <c r="D1988" t="s">
        <v>13</v>
      </c>
      <c r="E1988" s="2">
        <v>15.15</v>
      </c>
      <c r="F1988" s="3">
        <v>58.4</v>
      </c>
      <c r="G1988" s="4">
        <v>230.43</v>
      </c>
      <c r="H1988">
        <v>1.2</v>
      </c>
      <c r="I1988" s="4">
        <v>276.52</v>
      </c>
      <c r="J1988">
        <v>4.0999999999999996</v>
      </c>
      <c r="K1988" t="s">
        <v>30</v>
      </c>
      <c r="L1988" t="s">
        <v>19</v>
      </c>
      <c r="O1988"/>
    </row>
    <row r="1989" spans="1:15" x14ac:dyDescent="0.3">
      <c r="A1989" t="s">
        <v>2013</v>
      </c>
      <c r="B1989" s="1">
        <v>45850</v>
      </c>
      <c r="C1989" t="s">
        <v>13</v>
      </c>
      <c r="D1989" t="s">
        <v>22</v>
      </c>
      <c r="E1989" s="2">
        <v>20.99</v>
      </c>
      <c r="F1989" s="3">
        <v>46.47</v>
      </c>
      <c r="G1989" s="4">
        <v>382.25</v>
      </c>
      <c r="H1989">
        <v>2</v>
      </c>
      <c r="I1989" s="4">
        <v>764.5</v>
      </c>
      <c r="J1989">
        <v>3.6</v>
      </c>
      <c r="K1989" t="s">
        <v>33</v>
      </c>
      <c r="L1989" t="s">
        <v>16</v>
      </c>
      <c r="O1989"/>
    </row>
    <row r="1990" spans="1:15" x14ac:dyDescent="0.3">
      <c r="A1990" t="s">
        <v>2014</v>
      </c>
      <c r="B1990" s="1">
        <v>45982</v>
      </c>
      <c r="C1990" t="s">
        <v>14</v>
      </c>
      <c r="D1990" t="s">
        <v>25</v>
      </c>
      <c r="E1990" s="2">
        <v>23.8</v>
      </c>
      <c r="F1990" s="3">
        <v>65.540000000000006</v>
      </c>
      <c r="G1990" s="4">
        <v>261.89</v>
      </c>
      <c r="H1990">
        <v>2</v>
      </c>
      <c r="I1990" s="4">
        <v>523.78</v>
      </c>
      <c r="J1990">
        <v>4.5</v>
      </c>
      <c r="K1990" t="s">
        <v>33</v>
      </c>
      <c r="L1990" t="s">
        <v>19</v>
      </c>
      <c r="O1990"/>
    </row>
    <row r="1991" spans="1:15" x14ac:dyDescent="0.3">
      <c r="A1991" t="s">
        <v>2015</v>
      </c>
      <c r="B1991" s="1">
        <v>45777</v>
      </c>
      <c r="C1991" t="s">
        <v>13</v>
      </c>
      <c r="D1991" t="s">
        <v>22</v>
      </c>
      <c r="E1991" s="2">
        <v>2.67</v>
      </c>
      <c r="F1991" s="3">
        <v>9.49</v>
      </c>
      <c r="G1991" s="4">
        <v>36.93</v>
      </c>
      <c r="H1991">
        <v>1.2</v>
      </c>
      <c r="I1991" s="4">
        <v>44.32</v>
      </c>
      <c r="J1991">
        <v>3.8</v>
      </c>
      <c r="K1991" t="s">
        <v>18</v>
      </c>
      <c r="L1991" t="s">
        <v>26</v>
      </c>
      <c r="O1991"/>
    </row>
    <row r="1992" spans="1:15" x14ac:dyDescent="0.3">
      <c r="A1992" t="s">
        <v>2016</v>
      </c>
      <c r="B1992" s="1">
        <v>45685</v>
      </c>
      <c r="C1992" t="s">
        <v>21</v>
      </c>
      <c r="D1992" t="s">
        <v>14</v>
      </c>
      <c r="E1992" s="2">
        <v>11.62</v>
      </c>
      <c r="F1992" s="3">
        <v>37.22</v>
      </c>
      <c r="G1992" s="4">
        <v>186.65</v>
      </c>
      <c r="H1992">
        <v>2</v>
      </c>
      <c r="I1992" s="4">
        <v>373.3</v>
      </c>
      <c r="J1992">
        <v>4.9000000000000004</v>
      </c>
      <c r="K1992" t="s">
        <v>30</v>
      </c>
      <c r="L1992" t="s">
        <v>26</v>
      </c>
      <c r="O1992"/>
    </row>
    <row r="1993" spans="1:15" x14ac:dyDescent="0.3">
      <c r="A1993" t="s">
        <v>2017</v>
      </c>
      <c r="B1993" s="1">
        <v>45663</v>
      </c>
      <c r="C1993" t="s">
        <v>21</v>
      </c>
      <c r="D1993" t="s">
        <v>13</v>
      </c>
      <c r="E1993" s="2">
        <v>15.59</v>
      </c>
      <c r="F1993" s="3">
        <v>45.67</v>
      </c>
      <c r="G1993" s="4">
        <v>311.41000000000003</v>
      </c>
      <c r="H1993">
        <v>1.5</v>
      </c>
      <c r="I1993" s="4">
        <v>467.12</v>
      </c>
      <c r="J1993">
        <v>4.3</v>
      </c>
      <c r="K1993" t="s">
        <v>33</v>
      </c>
      <c r="L1993" t="s">
        <v>26</v>
      </c>
      <c r="O1993"/>
    </row>
    <row r="1994" spans="1:15" x14ac:dyDescent="0.3">
      <c r="A1994" t="s">
        <v>2018</v>
      </c>
      <c r="B1994" s="1">
        <v>45851</v>
      </c>
      <c r="C1994" t="s">
        <v>21</v>
      </c>
      <c r="D1994" t="s">
        <v>13</v>
      </c>
      <c r="E1994" s="2">
        <v>15.88</v>
      </c>
      <c r="F1994" s="3">
        <v>57.61</v>
      </c>
      <c r="G1994" s="4">
        <v>282.17</v>
      </c>
      <c r="H1994">
        <v>1</v>
      </c>
      <c r="I1994" s="4">
        <v>282.17</v>
      </c>
      <c r="J1994">
        <v>4.7</v>
      </c>
      <c r="K1994" t="s">
        <v>36</v>
      </c>
      <c r="L1994" t="s">
        <v>26</v>
      </c>
      <c r="O1994"/>
    </row>
    <row r="1995" spans="1:15" x14ac:dyDescent="0.3">
      <c r="A1995" t="s">
        <v>2019</v>
      </c>
      <c r="B1995" s="1">
        <v>45667</v>
      </c>
      <c r="C1995" t="s">
        <v>14</v>
      </c>
      <c r="D1995" t="s">
        <v>21</v>
      </c>
      <c r="E1995" s="2">
        <v>8.3699999999999992</v>
      </c>
      <c r="F1995" s="3">
        <v>31.17</v>
      </c>
      <c r="G1995" s="4">
        <v>158.47999999999999</v>
      </c>
      <c r="H1995">
        <v>1.5</v>
      </c>
      <c r="I1995" s="4">
        <v>237.72</v>
      </c>
      <c r="J1995">
        <v>4.7</v>
      </c>
      <c r="K1995" t="s">
        <v>33</v>
      </c>
      <c r="L1995" t="s">
        <v>19</v>
      </c>
      <c r="O1995"/>
    </row>
    <row r="1996" spans="1:15" x14ac:dyDescent="0.3">
      <c r="A1996" t="s">
        <v>2020</v>
      </c>
      <c r="B1996" s="1">
        <v>45998</v>
      </c>
      <c r="C1996" t="s">
        <v>14</v>
      </c>
      <c r="D1996" t="s">
        <v>21</v>
      </c>
      <c r="E1996" s="2">
        <v>29.29</v>
      </c>
      <c r="F1996" s="3">
        <v>109.45</v>
      </c>
      <c r="G1996" s="4">
        <v>554.53</v>
      </c>
      <c r="H1996">
        <v>1</v>
      </c>
      <c r="I1996" s="4">
        <v>554.53</v>
      </c>
      <c r="J1996">
        <v>4</v>
      </c>
      <c r="K1996" t="s">
        <v>18</v>
      </c>
      <c r="L1996" t="s">
        <v>19</v>
      </c>
      <c r="O1996"/>
    </row>
    <row r="1997" spans="1:15" x14ac:dyDescent="0.3">
      <c r="A1997" t="s">
        <v>2021</v>
      </c>
      <c r="B1997" s="1">
        <v>45806</v>
      </c>
      <c r="C1997" t="s">
        <v>22</v>
      </c>
      <c r="D1997" t="s">
        <v>14</v>
      </c>
      <c r="E1997" s="2">
        <v>16.82</v>
      </c>
      <c r="F1997" s="3">
        <v>35.36</v>
      </c>
      <c r="G1997" s="4">
        <v>293.58999999999997</v>
      </c>
      <c r="H1997">
        <v>1</v>
      </c>
      <c r="I1997" s="4">
        <v>293.58999999999997</v>
      </c>
      <c r="J1997">
        <v>3.8</v>
      </c>
      <c r="K1997" t="s">
        <v>33</v>
      </c>
      <c r="L1997" t="s">
        <v>26</v>
      </c>
      <c r="O1997"/>
    </row>
    <row r="1998" spans="1:15" x14ac:dyDescent="0.3">
      <c r="A1998" t="s">
        <v>2022</v>
      </c>
      <c r="B1998" s="1">
        <v>45809</v>
      </c>
      <c r="C1998" t="s">
        <v>14</v>
      </c>
      <c r="D1998" t="s">
        <v>25</v>
      </c>
      <c r="E1998" s="2">
        <v>19.16</v>
      </c>
      <c r="F1998" s="3">
        <v>49.31</v>
      </c>
      <c r="G1998" s="4">
        <v>377.31</v>
      </c>
      <c r="H1998">
        <v>1</v>
      </c>
      <c r="I1998" s="4">
        <v>377.31</v>
      </c>
      <c r="J1998">
        <v>3.3</v>
      </c>
      <c r="K1998" t="s">
        <v>30</v>
      </c>
      <c r="L1998" t="s">
        <v>16</v>
      </c>
      <c r="O1998"/>
    </row>
    <row r="1999" spans="1:15" x14ac:dyDescent="0.3">
      <c r="A1999" t="s">
        <v>2023</v>
      </c>
      <c r="B1999" s="1">
        <v>45898</v>
      </c>
      <c r="C1999" t="s">
        <v>25</v>
      </c>
      <c r="D1999" t="s">
        <v>21</v>
      </c>
      <c r="E1999" s="2">
        <v>29.22</v>
      </c>
      <c r="F1999" s="3">
        <v>67.39</v>
      </c>
      <c r="G1999" s="4">
        <v>370.88</v>
      </c>
      <c r="H1999">
        <v>1.2</v>
      </c>
      <c r="I1999" s="4">
        <v>445.06</v>
      </c>
      <c r="J1999">
        <v>3.1</v>
      </c>
      <c r="K1999" t="s">
        <v>33</v>
      </c>
      <c r="L1999" t="s">
        <v>16</v>
      </c>
      <c r="O1999"/>
    </row>
    <row r="2000" spans="1:15" x14ac:dyDescent="0.3">
      <c r="A2000" t="s">
        <v>2024</v>
      </c>
      <c r="B2000" s="1">
        <v>45697</v>
      </c>
      <c r="C2000" t="s">
        <v>21</v>
      </c>
      <c r="D2000" t="s">
        <v>21</v>
      </c>
      <c r="E2000" s="2">
        <v>5.47</v>
      </c>
      <c r="F2000" s="3">
        <v>19.62</v>
      </c>
      <c r="G2000" s="4">
        <v>97.65</v>
      </c>
      <c r="H2000">
        <v>1</v>
      </c>
      <c r="I2000" s="4">
        <v>97.65</v>
      </c>
      <c r="J2000">
        <v>3.1</v>
      </c>
      <c r="K2000" t="s">
        <v>15</v>
      </c>
      <c r="L2000" t="s">
        <v>19</v>
      </c>
      <c r="O2000"/>
    </row>
    <row r="2001" spans="1:15" x14ac:dyDescent="0.3">
      <c r="A2001" t="s">
        <v>2025</v>
      </c>
      <c r="B2001" s="1">
        <v>45981</v>
      </c>
      <c r="C2001" t="s">
        <v>14</v>
      </c>
      <c r="D2001" t="s">
        <v>14</v>
      </c>
      <c r="E2001" s="2">
        <v>28.2</v>
      </c>
      <c r="F2001" s="3">
        <v>102.97</v>
      </c>
      <c r="G2001" s="4">
        <v>478.78</v>
      </c>
      <c r="H2001">
        <v>1.2</v>
      </c>
      <c r="I2001" s="4">
        <v>574.54</v>
      </c>
      <c r="J2001">
        <v>3.3</v>
      </c>
      <c r="K2001" t="s">
        <v>36</v>
      </c>
      <c r="L2001" t="s">
        <v>19</v>
      </c>
      <c r="O2001"/>
    </row>
    <row r="2002" spans="1:15" x14ac:dyDescent="0.3">
      <c r="A2002" t="s">
        <v>2026</v>
      </c>
      <c r="B2002" s="1">
        <v>45748</v>
      </c>
      <c r="C2002" t="s">
        <v>13</v>
      </c>
      <c r="D2002" t="s">
        <v>14</v>
      </c>
      <c r="E2002" s="2">
        <v>16.55</v>
      </c>
      <c r="F2002" s="3">
        <v>42.19</v>
      </c>
      <c r="G2002" s="4">
        <v>244.9</v>
      </c>
      <c r="H2002">
        <v>1.2</v>
      </c>
      <c r="I2002" s="4">
        <v>293.88</v>
      </c>
      <c r="J2002">
        <v>3.7</v>
      </c>
      <c r="K2002" t="s">
        <v>15</v>
      </c>
      <c r="L2002" t="s">
        <v>26</v>
      </c>
      <c r="O2002"/>
    </row>
    <row r="2003" spans="1:15" x14ac:dyDescent="0.3">
      <c r="A2003" t="s">
        <v>2027</v>
      </c>
      <c r="B2003" s="1">
        <v>45911</v>
      </c>
      <c r="C2003" t="s">
        <v>25</v>
      </c>
      <c r="D2003" t="s">
        <v>14</v>
      </c>
      <c r="E2003" s="2">
        <v>25.37</v>
      </c>
      <c r="F2003" s="3">
        <v>67.16</v>
      </c>
      <c r="G2003" s="4">
        <v>466.47</v>
      </c>
      <c r="H2003">
        <v>1.2</v>
      </c>
      <c r="I2003" s="4">
        <v>559.76</v>
      </c>
      <c r="J2003">
        <v>3.8</v>
      </c>
      <c r="K2003" t="s">
        <v>18</v>
      </c>
      <c r="L2003" t="s">
        <v>26</v>
      </c>
      <c r="O2003"/>
    </row>
    <row r="2004" spans="1:15" x14ac:dyDescent="0.3">
      <c r="A2004" t="s">
        <v>2028</v>
      </c>
      <c r="B2004" s="1">
        <v>45725</v>
      </c>
      <c r="C2004" t="s">
        <v>22</v>
      </c>
      <c r="D2004" t="s">
        <v>25</v>
      </c>
      <c r="E2004" s="2">
        <v>5.43</v>
      </c>
      <c r="F2004" s="3">
        <v>11.76</v>
      </c>
      <c r="G2004" s="4">
        <v>89.15</v>
      </c>
      <c r="H2004">
        <v>1.5</v>
      </c>
      <c r="I2004" s="4">
        <v>133.72999999999999</v>
      </c>
      <c r="J2004">
        <v>5</v>
      </c>
      <c r="K2004" t="s">
        <v>30</v>
      </c>
      <c r="L2004" t="s">
        <v>19</v>
      </c>
      <c r="O2004"/>
    </row>
    <row r="2005" spans="1:15" x14ac:dyDescent="0.3">
      <c r="A2005" t="s">
        <v>2029</v>
      </c>
      <c r="B2005" s="1">
        <v>45871</v>
      </c>
      <c r="C2005" t="s">
        <v>22</v>
      </c>
      <c r="D2005" t="s">
        <v>22</v>
      </c>
      <c r="E2005" s="2">
        <v>11.53</v>
      </c>
      <c r="F2005" s="3">
        <v>29.68</v>
      </c>
      <c r="G2005" s="4">
        <v>173.03</v>
      </c>
      <c r="H2005">
        <v>1.5</v>
      </c>
      <c r="I2005" s="4">
        <v>259.54000000000002</v>
      </c>
      <c r="J2005">
        <v>3.3</v>
      </c>
      <c r="K2005" t="s">
        <v>36</v>
      </c>
      <c r="L2005" t="s">
        <v>28</v>
      </c>
      <c r="O2005"/>
    </row>
    <row r="2006" spans="1:15" x14ac:dyDescent="0.3">
      <c r="A2006" t="s">
        <v>2030</v>
      </c>
      <c r="B2006" s="1">
        <v>45846</v>
      </c>
      <c r="C2006" t="s">
        <v>14</v>
      </c>
      <c r="D2006" t="s">
        <v>14</v>
      </c>
      <c r="E2006" s="2">
        <v>21.12</v>
      </c>
      <c r="F2006" s="3">
        <v>74.319999999999993</v>
      </c>
      <c r="G2006" s="4">
        <v>391.35</v>
      </c>
      <c r="H2006">
        <v>1.2</v>
      </c>
      <c r="I2006" s="4">
        <v>469.62</v>
      </c>
      <c r="J2006">
        <v>3.3</v>
      </c>
      <c r="K2006" t="s">
        <v>18</v>
      </c>
      <c r="L2006" t="s">
        <v>16</v>
      </c>
      <c r="O2006"/>
    </row>
    <row r="2007" spans="1:15" x14ac:dyDescent="0.3">
      <c r="A2007" t="s">
        <v>2031</v>
      </c>
      <c r="B2007" s="1">
        <v>46007</v>
      </c>
      <c r="C2007" t="s">
        <v>21</v>
      </c>
      <c r="D2007" t="s">
        <v>21</v>
      </c>
      <c r="E2007" s="2">
        <v>21.77</v>
      </c>
      <c r="F2007" s="3">
        <v>60.71</v>
      </c>
      <c r="G2007" s="4">
        <v>365.1</v>
      </c>
      <c r="H2007">
        <v>1</v>
      </c>
      <c r="I2007" s="4">
        <v>365.1</v>
      </c>
      <c r="J2007">
        <v>3.1</v>
      </c>
      <c r="K2007" t="s">
        <v>36</v>
      </c>
      <c r="L2007" t="s">
        <v>26</v>
      </c>
      <c r="O2007"/>
    </row>
    <row r="2008" spans="1:15" x14ac:dyDescent="0.3">
      <c r="A2008" t="s">
        <v>2032</v>
      </c>
      <c r="B2008" s="1">
        <v>45999</v>
      </c>
      <c r="C2008" t="s">
        <v>25</v>
      </c>
      <c r="D2008" t="s">
        <v>25</v>
      </c>
      <c r="E2008" s="2">
        <v>22.14</v>
      </c>
      <c r="F2008" s="3">
        <v>86.46</v>
      </c>
      <c r="G2008" s="4">
        <v>406.26</v>
      </c>
      <c r="H2008">
        <v>1</v>
      </c>
      <c r="I2008" s="4">
        <v>406.26</v>
      </c>
      <c r="J2008">
        <v>3.7</v>
      </c>
      <c r="K2008" t="s">
        <v>30</v>
      </c>
      <c r="L2008" t="s">
        <v>16</v>
      </c>
      <c r="O2008"/>
    </row>
    <row r="2009" spans="1:15" x14ac:dyDescent="0.3">
      <c r="A2009" t="s">
        <v>2033</v>
      </c>
      <c r="B2009" s="1">
        <v>45731</v>
      </c>
      <c r="C2009" t="s">
        <v>21</v>
      </c>
      <c r="D2009" t="s">
        <v>22</v>
      </c>
      <c r="E2009" s="2">
        <v>14.32</v>
      </c>
      <c r="F2009" s="3">
        <v>35.85</v>
      </c>
      <c r="G2009" s="4">
        <v>196.23</v>
      </c>
      <c r="H2009">
        <v>1</v>
      </c>
      <c r="I2009" s="4">
        <v>196.23</v>
      </c>
      <c r="J2009">
        <v>3.3</v>
      </c>
      <c r="K2009" t="s">
        <v>33</v>
      </c>
      <c r="L2009" t="s">
        <v>26</v>
      </c>
      <c r="O2009"/>
    </row>
    <row r="2010" spans="1:15" x14ac:dyDescent="0.3">
      <c r="A2010" t="s">
        <v>2034</v>
      </c>
      <c r="B2010" s="1">
        <v>45848</v>
      </c>
      <c r="C2010" t="s">
        <v>13</v>
      </c>
      <c r="D2010" t="s">
        <v>21</v>
      </c>
      <c r="E2010" s="2">
        <v>15.65</v>
      </c>
      <c r="F2010" s="3">
        <v>47.74</v>
      </c>
      <c r="G2010" s="4">
        <v>308.94</v>
      </c>
      <c r="H2010">
        <v>1.5</v>
      </c>
      <c r="I2010" s="4">
        <v>463.41</v>
      </c>
      <c r="J2010">
        <v>4</v>
      </c>
      <c r="K2010" t="s">
        <v>36</v>
      </c>
      <c r="L2010" t="s">
        <v>28</v>
      </c>
      <c r="O2010"/>
    </row>
    <row r="2011" spans="1:15" x14ac:dyDescent="0.3">
      <c r="A2011" t="s">
        <v>2035</v>
      </c>
      <c r="B2011" s="1">
        <v>45916</v>
      </c>
      <c r="C2011" t="s">
        <v>25</v>
      </c>
      <c r="D2011" t="s">
        <v>22</v>
      </c>
      <c r="E2011" s="2">
        <v>11.7</v>
      </c>
      <c r="F2011" s="3">
        <v>33.32</v>
      </c>
      <c r="G2011" s="4">
        <v>159.18</v>
      </c>
      <c r="H2011">
        <v>1.5</v>
      </c>
      <c r="I2011" s="4">
        <v>238.77</v>
      </c>
      <c r="J2011">
        <v>3.1</v>
      </c>
      <c r="K2011" t="s">
        <v>30</v>
      </c>
      <c r="L2011" t="s">
        <v>16</v>
      </c>
      <c r="O2011"/>
    </row>
    <row r="2012" spans="1:15" x14ac:dyDescent="0.3">
      <c r="A2012" t="s">
        <v>2036</v>
      </c>
      <c r="B2012" s="1">
        <v>45707</v>
      </c>
      <c r="C2012" t="s">
        <v>14</v>
      </c>
      <c r="D2012" t="s">
        <v>14</v>
      </c>
      <c r="E2012" s="2">
        <v>19.07</v>
      </c>
      <c r="F2012" s="3">
        <v>70.2</v>
      </c>
      <c r="G2012" s="4">
        <v>320.88</v>
      </c>
      <c r="H2012">
        <v>1.2</v>
      </c>
      <c r="I2012" s="4">
        <v>385.06</v>
      </c>
      <c r="J2012">
        <v>4.4000000000000004</v>
      </c>
      <c r="K2012" t="s">
        <v>15</v>
      </c>
      <c r="L2012" t="s">
        <v>16</v>
      </c>
      <c r="O2012"/>
    </row>
    <row r="2013" spans="1:15" x14ac:dyDescent="0.3">
      <c r="A2013" t="s">
        <v>2037</v>
      </c>
      <c r="B2013" s="1">
        <v>46003</v>
      </c>
      <c r="C2013" t="s">
        <v>21</v>
      </c>
      <c r="D2013" t="s">
        <v>21</v>
      </c>
      <c r="E2013" s="2">
        <v>9.5399999999999991</v>
      </c>
      <c r="F2013" s="3">
        <v>20.03</v>
      </c>
      <c r="G2013" s="4">
        <v>141.88</v>
      </c>
      <c r="H2013">
        <v>2</v>
      </c>
      <c r="I2013" s="4">
        <v>283.76</v>
      </c>
      <c r="J2013">
        <v>4.5</v>
      </c>
      <c r="K2013" t="s">
        <v>33</v>
      </c>
      <c r="L2013" t="s">
        <v>28</v>
      </c>
      <c r="O2013"/>
    </row>
    <row r="2014" spans="1:15" x14ac:dyDescent="0.3">
      <c r="A2014" t="s">
        <v>2038</v>
      </c>
      <c r="B2014" s="1">
        <v>45664</v>
      </c>
      <c r="C2014" t="s">
        <v>13</v>
      </c>
      <c r="D2014" t="s">
        <v>14</v>
      </c>
      <c r="E2014" s="2">
        <v>23.32</v>
      </c>
      <c r="F2014" s="3">
        <v>58.06</v>
      </c>
      <c r="G2014" s="4">
        <v>244.73</v>
      </c>
      <c r="H2014">
        <v>1.5</v>
      </c>
      <c r="I2014" s="4">
        <v>367.1</v>
      </c>
      <c r="J2014">
        <v>3.2</v>
      </c>
      <c r="K2014" t="s">
        <v>18</v>
      </c>
      <c r="L2014" t="s">
        <v>28</v>
      </c>
      <c r="O2014"/>
    </row>
    <row r="2015" spans="1:15" x14ac:dyDescent="0.3">
      <c r="A2015" t="s">
        <v>2039</v>
      </c>
      <c r="B2015" s="1">
        <v>45827</v>
      </c>
      <c r="C2015" t="s">
        <v>21</v>
      </c>
      <c r="D2015" t="s">
        <v>14</v>
      </c>
      <c r="E2015" s="2">
        <v>24.62</v>
      </c>
      <c r="F2015" s="3">
        <v>75.510000000000005</v>
      </c>
      <c r="G2015" s="4">
        <v>280.95999999999998</v>
      </c>
      <c r="H2015">
        <v>1.5</v>
      </c>
      <c r="I2015" s="4">
        <v>421.44</v>
      </c>
      <c r="J2015">
        <v>3</v>
      </c>
      <c r="K2015" t="s">
        <v>36</v>
      </c>
      <c r="L2015" t="s">
        <v>19</v>
      </c>
      <c r="O2015"/>
    </row>
    <row r="2016" spans="1:15" x14ac:dyDescent="0.3">
      <c r="A2016" t="s">
        <v>2040</v>
      </c>
      <c r="B2016" s="1">
        <v>45869</v>
      </c>
      <c r="C2016" t="s">
        <v>21</v>
      </c>
      <c r="D2016" t="s">
        <v>25</v>
      </c>
      <c r="E2016" s="2">
        <v>18.399999999999999</v>
      </c>
      <c r="F2016" s="3">
        <v>62.96</v>
      </c>
      <c r="G2016" s="4">
        <v>239.9</v>
      </c>
      <c r="H2016">
        <v>1.2</v>
      </c>
      <c r="I2016" s="4">
        <v>287.88</v>
      </c>
      <c r="J2016">
        <v>4.0999999999999996</v>
      </c>
      <c r="K2016" t="s">
        <v>33</v>
      </c>
      <c r="L2016" t="s">
        <v>16</v>
      </c>
      <c r="O2016"/>
    </row>
    <row r="2017" spans="1:15" x14ac:dyDescent="0.3">
      <c r="A2017" t="s">
        <v>2041</v>
      </c>
      <c r="B2017" s="1">
        <v>45830</v>
      </c>
      <c r="C2017" t="s">
        <v>21</v>
      </c>
      <c r="D2017" t="s">
        <v>22</v>
      </c>
      <c r="E2017" s="2">
        <v>14.41</v>
      </c>
      <c r="F2017" s="3">
        <v>46.15</v>
      </c>
      <c r="G2017" s="4">
        <v>257.89999999999998</v>
      </c>
      <c r="H2017">
        <v>2</v>
      </c>
      <c r="I2017" s="4">
        <v>515.79999999999995</v>
      </c>
      <c r="J2017">
        <v>3.1</v>
      </c>
      <c r="K2017" t="s">
        <v>36</v>
      </c>
      <c r="L2017" t="s">
        <v>28</v>
      </c>
      <c r="O2017"/>
    </row>
    <row r="2018" spans="1:15" x14ac:dyDescent="0.3">
      <c r="A2018" t="s">
        <v>2042</v>
      </c>
      <c r="B2018" s="1">
        <v>45714</v>
      </c>
      <c r="C2018" t="s">
        <v>21</v>
      </c>
      <c r="D2018" t="s">
        <v>14</v>
      </c>
      <c r="E2018" s="2">
        <v>16.420000000000002</v>
      </c>
      <c r="F2018" s="3">
        <v>34.880000000000003</v>
      </c>
      <c r="G2018" s="4">
        <v>290.07</v>
      </c>
      <c r="H2018">
        <v>1</v>
      </c>
      <c r="I2018" s="4">
        <v>290.07</v>
      </c>
      <c r="J2018">
        <v>3.9</v>
      </c>
      <c r="K2018" t="s">
        <v>30</v>
      </c>
      <c r="L2018" t="s">
        <v>19</v>
      </c>
      <c r="O2018"/>
    </row>
    <row r="2019" spans="1:15" x14ac:dyDescent="0.3">
      <c r="A2019" t="s">
        <v>2043</v>
      </c>
      <c r="B2019" s="1">
        <v>45712</v>
      </c>
      <c r="C2019" t="s">
        <v>13</v>
      </c>
      <c r="D2019" t="s">
        <v>25</v>
      </c>
      <c r="E2019" s="2">
        <v>19.55</v>
      </c>
      <c r="F2019" s="3">
        <v>41.73</v>
      </c>
      <c r="G2019" s="4">
        <v>244.99</v>
      </c>
      <c r="H2019">
        <v>1</v>
      </c>
      <c r="I2019" s="4">
        <v>244.99</v>
      </c>
      <c r="J2019">
        <v>4.0999999999999996</v>
      </c>
      <c r="K2019" t="s">
        <v>30</v>
      </c>
      <c r="L2019" t="s">
        <v>26</v>
      </c>
      <c r="O2019"/>
    </row>
    <row r="2020" spans="1:15" x14ac:dyDescent="0.3">
      <c r="A2020" t="s">
        <v>2044</v>
      </c>
      <c r="B2020" s="1">
        <v>45720</v>
      </c>
      <c r="C2020" t="s">
        <v>21</v>
      </c>
      <c r="D2020" t="s">
        <v>13</v>
      </c>
      <c r="E2020" s="2">
        <v>21.26</v>
      </c>
      <c r="F2020" s="3">
        <v>75.7</v>
      </c>
      <c r="G2020" s="4">
        <v>282.77999999999997</v>
      </c>
      <c r="H2020">
        <v>1</v>
      </c>
      <c r="I2020" s="4">
        <v>282.77999999999997</v>
      </c>
      <c r="J2020">
        <v>4.2</v>
      </c>
      <c r="K2020" t="s">
        <v>30</v>
      </c>
      <c r="L2020" t="s">
        <v>28</v>
      </c>
      <c r="O2020"/>
    </row>
    <row r="2021" spans="1:15" x14ac:dyDescent="0.3">
      <c r="A2021" t="s">
        <v>2045</v>
      </c>
      <c r="B2021" s="1">
        <v>45893</v>
      </c>
      <c r="C2021" t="s">
        <v>25</v>
      </c>
      <c r="D2021" t="s">
        <v>25</v>
      </c>
      <c r="E2021" s="2">
        <v>25.98</v>
      </c>
      <c r="F2021" s="3">
        <v>63.59</v>
      </c>
      <c r="G2021" s="4">
        <v>504.34</v>
      </c>
      <c r="H2021">
        <v>1.5</v>
      </c>
      <c r="I2021" s="4">
        <v>756.51</v>
      </c>
      <c r="J2021">
        <v>4.4000000000000004</v>
      </c>
      <c r="K2021" t="s">
        <v>30</v>
      </c>
      <c r="L2021" t="s">
        <v>28</v>
      </c>
      <c r="O2021"/>
    </row>
    <row r="2022" spans="1:15" x14ac:dyDescent="0.3">
      <c r="A2022" t="s">
        <v>2046</v>
      </c>
      <c r="B2022" s="1">
        <v>45695</v>
      </c>
      <c r="C2022" t="s">
        <v>22</v>
      </c>
      <c r="D2022" t="s">
        <v>13</v>
      </c>
      <c r="E2022" s="2">
        <v>3.6</v>
      </c>
      <c r="F2022" s="3">
        <v>8.11</v>
      </c>
      <c r="G2022" s="4">
        <v>65.760000000000005</v>
      </c>
      <c r="H2022">
        <v>1.5</v>
      </c>
      <c r="I2022" s="4">
        <v>98.64</v>
      </c>
      <c r="J2022">
        <v>4.2</v>
      </c>
      <c r="K2022" t="s">
        <v>36</v>
      </c>
      <c r="L2022" t="s">
        <v>19</v>
      </c>
      <c r="O2022"/>
    </row>
    <row r="2023" spans="1:15" x14ac:dyDescent="0.3">
      <c r="A2023" t="s">
        <v>2047</v>
      </c>
      <c r="B2023" s="1">
        <v>45669</v>
      </c>
      <c r="C2023" t="s">
        <v>21</v>
      </c>
      <c r="D2023" t="s">
        <v>25</v>
      </c>
      <c r="E2023" s="2">
        <v>21.71</v>
      </c>
      <c r="F2023" s="3">
        <v>81.09</v>
      </c>
      <c r="G2023" s="4">
        <v>226.46</v>
      </c>
      <c r="H2023">
        <v>2</v>
      </c>
      <c r="I2023" s="4">
        <v>452.92</v>
      </c>
      <c r="J2023">
        <v>4.5</v>
      </c>
      <c r="K2023" t="s">
        <v>30</v>
      </c>
      <c r="L2023" t="s">
        <v>16</v>
      </c>
      <c r="O2023"/>
    </row>
    <row r="2024" spans="1:15" x14ac:dyDescent="0.3">
      <c r="A2024" t="s">
        <v>2048</v>
      </c>
      <c r="B2024" s="1">
        <v>45800</v>
      </c>
      <c r="C2024" t="s">
        <v>25</v>
      </c>
      <c r="D2024" t="s">
        <v>14</v>
      </c>
      <c r="E2024" s="2">
        <v>12.55</v>
      </c>
      <c r="F2024" s="3">
        <v>32.69</v>
      </c>
      <c r="G2024" s="4">
        <v>225.36</v>
      </c>
      <c r="H2024">
        <v>1</v>
      </c>
      <c r="I2024" s="4">
        <v>225.36</v>
      </c>
      <c r="J2024">
        <v>3.7</v>
      </c>
      <c r="K2024" t="s">
        <v>36</v>
      </c>
      <c r="L2024" t="s">
        <v>26</v>
      </c>
      <c r="O2024"/>
    </row>
    <row r="2025" spans="1:15" x14ac:dyDescent="0.3">
      <c r="A2025" t="s">
        <v>2049</v>
      </c>
      <c r="B2025" s="1">
        <v>45803</v>
      </c>
      <c r="C2025" t="s">
        <v>14</v>
      </c>
      <c r="D2025" t="s">
        <v>25</v>
      </c>
      <c r="E2025" s="2">
        <v>17.32</v>
      </c>
      <c r="F2025" s="3">
        <v>51.23</v>
      </c>
      <c r="G2025" s="4">
        <v>191.31</v>
      </c>
      <c r="H2025">
        <v>1.5</v>
      </c>
      <c r="I2025" s="4">
        <v>286.97000000000003</v>
      </c>
      <c r="J2025">
        <v>3.1</v>
      </c>
      <c r="K2025" t="s">
        <v>33</v>
      </c>
      <c r="L2025" t="s">
        <v>16</v>
      </c>
      <c r="O2025"/>
    </row>
    <row r="2026" spans="1:15" x14ac:dyDescent="0.3">
      <c r="A2026" t="s">
        <v>2050</v>
      </c>
      <c r="B2026" s="1">
        <v>45770</v>
      </c>
      <c r="C2026" t="s">
        <v>21</v>
      </c>
      <c r="D2026" t="s">
        <v>14</v>
      </c>
      <c r="E2026" s="2">
        <v>23.25</v>
      </c>
      <c r="F2026" s="3">
        <v>88.6</v>
      </c>
      <c r="G2026" s="4">
        <v>327.7</v>
      </c>
      <c r="H2026">
        <v>1.5</v>
      </c>
      <c r="I2026" s="4">
        <v>491.55</v>
      </c>
      <c r="J2026">
        <v>4.2</v>
      </c>
      <c r="K2026" t="s">
        <v>18</v>
      </c>
      <c r="L2026" t="s">
        <v>28</v>
      </c>
      <c r="O2026"/>
    </row>
    <row r="2027" spans="1:15" x14ac:dyDescent="0.3">
      <c r="A2027" t="s">
        <v>2051</v>
      </c>
      <c r="B2027" s="1">
        <v>45903</v>
      </c>
      <c r="C2027" t="s">
        <v>25</v>
      </c>
      <c r="D2027" t="s">
        <v>13</v>
      </c>
      <c r="E2027" s="2">
        <v>7.13</v>
      </c>
      <c r="F2027" s="3">
        <v>19.71</v>
      </c>
      <c r="G2027" s="4">
        <v>110.06</v>
      </c>
      <c r="H2027">
        <v>1.5</v>
      </c>
      <c r="I2027" s="4">
        <v>165.09</v>
      </c>
      <c r="J2027">
        <v>4.2</v>
      </c>
      <c r="K2027" t="s">
        <v>15</v>
      </c>
      <c r="L2027" t="s">
        <v>19</v>
      </c>
      <c r="O2027"/>
    </row>
    <row r="2028" spans="1:15" x14ac:dyDescent="0.3">
      <c r="A2028" t="s">
        <v>2052</v>
      </c>
      <c r="B2028" s="1">
        <v>45876</v>
      </c>
      <c r="C2028" t="s">
        <v>25</v>
      </c>
      <c r="D2028" t="s">
        <v>25</v>
      </c>
      <c r="E2028" s="2">
        <v>19.84</v>
      </c>
      <c r="F2028" s="3">
        <v>42.58</v>
      </c>
      <c r="G2028" s="4">
        <v>273.43</v>
      </c>
      <c r="H2028">
        <v>1.2</v>
      </c>
      <c r="I2028" s="4">
        <v>328.12</v>
      </c>
      <c r="J2028">
        <v>4.7</v>
      </c>
      <c r="K2028" t="s">
        <v>33</v>
      </c>
      <c r="L2028" t="s">
        <v>26</v>
      </c>
      <c r="O2028"/>
    </row>
    <row r="2029" spans="1:15" x14ac:dyDescent="0.3">
      <c r="A2029" t="s">
        <v>2053</v>
      </c>
      <c r="B2029" s="1">
        <v>46005</v>
      </c>
      <c r="C2029" t="s">
        <v>13</v>
      </c>
      <c r="D2029" t="s">
        <v>25</v>
      </c>
      <c r="E2029" s="2">
        <v>17.53</v>
      </c>
      <c r="F2029" s="3">
        <v>46.79</v>
      </c>
      <c r="G2029" s="4">
        <v>176.85</v>
      </c>
      <c r="H2029">
        <v>1.5</v>
      </c>
      <c r="I2029" s="4">
        <v>265.27</v>
      </c>
      <c r="J2029">
        <v>3.2</v>
      </c>
      <c r="K2029" t="s">
        <v>18</v>
      </c>
      <c r="L2029" t="s">
        <v>19</v>
      </c>
      <c r="O2029"/>
    </row>
    <row r="2030" spans="1:15" x14ac:dyDescent="0.3">
      <c r="A2030" t="s">
        <v>2054</v>
      </c>
      <c r="B2030" s="1">
        <v>45951</v>
      </c>
      <c r="C2030" t="s">
        <v>13</v>
      </c>
      <c r="D2030" t="s">
        <v>14</v>
      </c>
      <c r="E2030" s="2">
        <v>16.11</v>
      </c>
      <c r="F2030" s="3">
        <v>64.349999999999994</v>
      </c>
      <c r="G2030" s="4">
        <v>245.65</v>
      </c>
      <c r="H2030">
        <v>1.5</v>
      </c>
      <c r="I2030" s="4">
        <v>368.48</v>
      </c>
      <c r="J2030">
        <v>3.9</v>
      </c>
      <c r="K2030" t="s">
        <v>15</v>
      </c>
      <c r="L2030" t="s">
        <v>19</v>
      </c>
      <c r="O2030"/>
    </row>
    <row r="2031" spans="1:15" x14ac:dyDescent="0.3">
      <c r="A2031" t="s">
        <v>2055</v>
      </c>
      <c r="B2031" s="1">
        <v>45935</v>
      </c>
      <c r="C2031" t="s">
        <v>21</v>
      </c>
      <c r="D2031" t="s">
        <v>22</v>
      </c>
      <c r="E2031" s="2">
        <v>18.12</v>
      </c>
      <c r="F2031" s="3">
        <v>59.07</v>
      </c>
      <c r="G2031" s="4">
        <v>334.39</v>
      </c>
      <c r="H2031">
        <v>1.2</v>
      </c>
      <c r="I2031" s="4">
        <v>401.27</v>
      </c>
      <c r="J2031">
        <v>3.4</v>
      </c>
      <c r="K2031" t="s">
        <v>18</v>
      </c>
      <c r="L2031" t="s">
        <v>26</v>
      </c>
      <c r="O2031"/>
    </row>
    <row r="2032" spans="1:15" x14ac:dyDescent="0.3">
      <c r="A2032" t="s">
        <v>2056</v>
      </c>
      <c r="B2032" s="1">
        <v>45934</v>
      </c>
      <c r="C2032" t="s">
        <v>21</v>
      </c>
      <c r="D2032" t="s">
        <v>13</v>
      </c>
      <c r="E2032" s="2">
        <v>8.8699999999999992</v>
      </c>
      <c r="F2032" s="3">
        <v>25.71</v>
      </c>
      <c r="G2032" s="4">
        <v>146.6</v>
      </c>
      <c r="H2032">
        <v>2</v>
      </c>
      <c r="I2032" s="4">
        <v>293.2</v>
      </c>
      <c r="J2032">
        <v>3.3</v>
      </c>
      <c r="K2032" t="s">
        <v>15</v>
      </c>
      <c r="L2032" t="s">
        <v>19</v>
      </c>
      <c r="O2032"/>
    </row>
    <row r="2033" spans="1:15" x14ac:dyDescent="0.3">
      <c r="A2033" t="s">
        <v>2057</v>
      </c>
      <c r="B2033" s="1">
        <v>45741</v>
      </c>
      <c r="C2033" t="s">
        <v>22</v>
      </c>
      <c r="D2033" t="s">
        <v>13</v>
      </c>
      <c r="E2033" s="2">
        <v>6.33</v>
      </c>
      <c r="F2033" s="3">
        <v>17.46</v>
      </c>
      <c r="G2033" s="4">
        <v>119.91</v>
      </c>
      <c r="H2033">
        <v>1.2</v>
      </c>
      <c r="I2033" s="4">
        <v>143.88999999999999</v>
      </c>
      <c r="J2033">
        <v>4.0999999999999996</v>
      </c>
      <c r="K2033" t="s">
        <v>33</v>
      </c>
      <c r="L2033" t="s">
        <v>19</v>
      </c>
      <c r="O2033"/>
    </row>
    <row r="2034" spans="1:15" x14ac:dyDescent="0.3">
      <c r="A2034" t="s">
        <v>2058</v>
      </c>
      <c r="B2034" s="1">
        <v>45702</v>
      </c>
      <c r="C2034" t="s">
        <v>14</v>
      </c>
      <c r="D2034" t="s">
        <v>14</v>
      </c>
      <c r="E2034" s="2">
        <v>14.84</v>
      </c>
      <c r="F2034" s="3">
        <v>34.46</v>
      </c>
      <c r="G2034" s="4">
        <v>196.04</v>
      </c>
      <c r="H2034">
        <v>1.5</v>
      </c>
      <c r="I2034" s="4">
        <v>294.06</v>
      </c>
      <c r="J2034">
        <v>4.5999999999999996</v>
      </c>
      <c r="K2034" t="s">
        <v>36</v>
      </c>
      <c r="L2034" t="s">
        <v>19</v>
      </c>
      <c r="O2034"/>
    </row>
    <row r="2035" spans="1:15" x14ac:dyDescent="0.3">
      <c r="A2035" t="s">
        <v>2059</v>
      </c>
      <c r="B2035" s="1">
        <v>45888</v>
      </c>
      <c r="C2035" t="s">
        <v>13</v>
      </c>
      <c r="D2035" t="s">
        <v>25</v>
      </c>
      <c r="E2035" s="2">
        <v>14.97</v>
      </c>
      <c r="F2035" s="3">
        <v>46.8</v>
      </c>
      <c r="G2035" s="4">
        <v>238.58</v>
      </c>
      <c r="H2035">
        <v>1.2</v>
      </c>
      <c r="I2035" s="4">
        <v>286.3</v>
      </c>
      <c r="J2035">
        <v>3.5</v>
      </c>
      <c r="K2035" t="s">
        <v>18</v>
      </c>
      <c r="L2035" t="s">
        <v>19</v>
      </c>
      <c r="O2035"/>
    </row>
    <row r="2036" spans="1:15" x14ac:dyDescent="0.3">
      <c r="A2036" t="s">
        <v>2060</v>
      </c>
      <c r="B2036" s="1">
        <v>45670</v>
      </c>
      <c r="C2036" t="s">
        <v>21</v>
      </c>
      <c r="D2036" t="s">
        <v>13</v>
      </c>
      <c r="E2036" s="2">
        <v>21.31</v>
      </c>
      <c r="F2036" s="3">
        <v>65.959999999999994</v>
      </c>
      <c r="G2036" s="4">
        <v>343</v>
      </c>
      <c r="H2036">
        <v>1.2</v>
      </c>
      <c r="I2036" s="4">
        <v>411.6</v>
      </c>
      <c r="J2036">
        <v>3.1</v>
      </c>
      <c r="K2036" t="s">
        <v>18</v>
      </c>
      <c r="L2036" t="s">
        <v>26</v>
      </c>
      <c r="O2036"/>
    </row>
    <row r="2037" spans="1:15" x14ac:dyDescent="0.3">
      <c r="A2037" t="s">
        <v>2061</v>
      </c>
      <c r="B2037" s="1">
        <v>45985</v>
      </c>
      <c r="C2037" t="s">
        <v>22</v>
      </c>
      <c r="D2037" t="s">
        <v>21</v>
      </c>
      <c r="E2037" s="2">
        <v>6.62</v>
      </c>
      <c r="F2037" s="3">
        <v>16</v>
      </c>
      <c r="G2037" s="4">
        <v>109.98</v>
      </c>
      <c r="H2037">
        <v>1</v>
      </c>
      <c r="I2037" s="4">
        <v>109.98</v>
      </c>
      <c r="J2037">
        <v>3.7</v>
      </c>
      <c r="K2037" t="s">
        <v>30</v>
      </c>
      <c r="L2037" t="s">
        <v>16</v>
      </c>
      <c r="O2037"/>
    </row>
    <row r="2038" spans="1:15" x14ac:dyDescent="0.3">
      <c r="A2038" t="s">
        <v>2062</v>
      </c>
      <c r="B2038" s="1">
        <v>45689</v>
      </c>
      <c r="C2038" t="s">
        <v>25</v>
      </c>
      <c r="D2038" t="s">
        <v>14</v>
      </c>
      <c r="E2038" s="2">
        <v>7.02</v>
      </c>
      <c r="F2038" s="3">
        <v>23.15</v>
      </c>
      <c r="G2038" s="4">
        <v>131.36000000000001</v>
      </c>
      <c r="H2038">
        <v>1.5</v>
      </c>
      <c r="I2038" s="4">
        <v>197.04</v>
      </c>
      <c r="J2038">
        <v>3.6</v>
      </c>
      <c r="K2038" t="s">
        <v>30</v>
      </c>
      <c r="L2038" t="s">
        <v>19</v>
      </c>
      <c r="O2038"/>
    </row>
    <row r="2039" spans="1:15" x14ac:dyDescent="0.3">
      <c r="A2039" t="s">
        <v>2063</v>
      </c>
      <c r="B2039" s="1">
        <v>45968</v>
      </c>
      <c r="C2039" t="s">
        <v>14</v>
      </c>
      <c r="D2039" t="s">
        <v>25</v>
      </c>
      <c r="E2039" s="2">
        <v>16.559999999999999</v>
      </c>
      <c r="F2039" s="3">
        <v>58.02</v>
      </c>
      <c r="G2039" s="4">
        <v>188.79</v>
      </c>
      <c r="H2039">
        <v>1</v>
      </c>
      <c r="I2039" s="4">
        <v>188.79</v>
      </c>
      <c r="J2039">
        <v>4.2</v>
      </c>
      <c r="K2039" t="s">
        <v>36</v>
      </c>
      <c r="L2039" t="s">
        <v>19</v>
      </c>
      <c r="O2039"/>
    </row>
    <row r="2040" spans="1:15" x14ac:dyDescent="0.3">
      <c r="A2040" t="s">
        <v>2064</v>
      </c>
      <c r="B2040" s="1">
        <v>45749</v>
      </c>
      <c r="C2040" t="s">
        <v>21</v>
      </c>
      <c r="D2040" t="s">
        <v>25</v>
      </c>
      <c r="E2040" s="2">
        <v>15.83</v>
      </c>
      <c r="F2040" s="3">
        <v>61.07</v>
      </c>
      <c r="G2040" s="4">
        <v>296.7</v>
      </c>
      <c r="H2040">
        <v>2</v>
      </c>
      <c r="I2040" s="4">
        <v>593.4</v>
      </c>
      <c r="J2040">
        <v>4.9000000000000004</v>
      </c>
      <c r="K2040" t="s">
        <v>36</v>
      </c>
      <c r="L2040" t="s">
        <v>19</v>
      </c>
      <c r="O2040"/>
    </row>
    <row r="2041" spans="1:15" x14ac:dyDescent="0.3">
      <c r="A2041" t="s">
        <v>2065</v>
      </c>
      <c r="B2041" s="1">
        <v>45853</v>
      </c>
      <c r="C2041" t="s">
        <v>25</v>
      </c>
      <c r="D2041" t="s">
        <v>25</v>
      </c>
      <c r="E2041" s="2">
        <v>1.19</v>
      </c>
      <c r="F2041" s="3">
        <v>2.64</v>
      </c>
      <c r="G2041" s="4">
        <v>18.72</v>
      </c>
      <c r="H2041">
        <v>2</v>
      </c>
      <c r="I2041" s="4">
        <v>37.44</v>
      </c>
      <c r="J2041">
        <v>4.9000000000000004</v>
      </c>
      <c r="K2041" t="s">
        <v>30</v>
      </c>
      <c r="L2041" t="s">
        <v>26</v>
      </c>
      <c r="O2041"/>
    </row>
    <row r="2042" spans="1:15" x14ac:dyDescent="0.3">
      <c r="A2042" t="s">
        <v>2066</v>
      </c>
      <c r="B2042" s="1">
        <v>45930</v>
      </c>
      <c r="C2042" t="s">
        <v>13</v>
      </c>
      <c r="D2042" t="s">
        <v>25</v>
      </c>
      <c r="E2042" s="2">
        <v>25.31</v>
      </c>
      <c r="F2042" s="3">
        <v>77.209999999999994</v>
      </c>
      <c r="G2042" s="4">
        <v>305.83</v>
      </c>
      <c r="H2042">
        <v>1.2</v>
      </c>
      <c r="I2042" s="4">
        <v>367</v>
      </c>
      <c r="J2042">
        <v>4.2</v>
      </c>
      <c r="K2042" t="s">
        <v>30</v>
      </c>
      <c r="L2042" t="s">
        <v>16</v>
      </c>
      <c r="O2042"/>
    </row>
    <row r="2043" spans="1:15" x14ac:dyDescent="0.3">
      <c r="A2043" t="s">
        <v>2067</v>
      </c>
      <c r="B2043" s="1">
        <v>45913</v>
      </c>
      <c r="C2043" t="s">
        <v>13</v>
      </c>
      <c r="D2043" t="s">
        <v>13</v>
      </c>
      <c r="E2043" s="2">
        <v>12.75</v>
      </c>
      <c r="F2043" s="3">
        <v>33.26</v>
      </c>
      <c r="G2043" s="4">
        <v>214.52</v>
      </c>
      <c r="H2043">
        <v>2</v>
      </c>
      <c r="I2043" s="4">
        <v>429.04</v>
      </c>
      <c r="J2043">
        <v>4.9000000000000004</v>
      </c>
      <c r="K2043" t="s">
        <v>15</v>
      </c>
      <c r="L2043" t="s">
        <v>26</v>
      </c>
      <c r="O2043"/>
    </row>
    <row r="2044" spans="1:15" x14ac:dyDescent="0.3">
      <c r="A2044" t="s">
        <v>2068</v>
      </c>
      <c r="B2044" s="1">
        <v>45762</v>
      </c>
      <c r="C2044" t="s">
        <v>22</v>
      </c>
      <c r="D2044" t="s">
        <v>21</v>
      </c>
      <c r="E2044" s="2">
        <v>28.03</v>
      </c>
      <c r="F2044" s="3">
        <v>96.27</v>
      </c>
      <c r="G2044" s="4">
        <v>494.62</v>
      </c>
      <c r="H2044">
        <v>1.5</v>
      </c>
      <c r="I2044" s="4">
        <v>741.93</v>
      </c>
      <c r="J2044">
        <v>4.0999999999999996</v>
      </c>
      <c r="K2044" t="s">
        <v>36</v>
      </c>
      <c r="L2044" t="s">
        <v>28</v>
      </c>
      <c r="O2044"/>
    </row>
    <row r="2045" spans="1:15" x14ac:dyDescent="0.3">
      <c r="A2045" t="s">
        <v>2069</v>
      </c>
      <c r="B2045" s="1">
        <v>45878</v>
      </c>
      <c r="C2045" t="s">
        <v>13</v>
      </c>
      <c r="D2045" t="s">
        <v>25</v>
      </c>
      <c r="E2045" s="2">
        <v>15.07</v>
      </c>
      <c r="F2045" s="3">
        <v>37.86</v>
      </c>
      <c r="G2045" s="4">
        <v>230.35</v>
      </c>
      <c r="H2045">
        <v>1.2</v>
      </c>
      <c r="I2045" s="4">
        <v>276.42</v>
      </c>
      <c r="J2045">
        <v>3.1</v>
      </c>
      <c r="K2045" t="s">
        <v>18</v>
      </c>
      <c r="L2045" t="s">
        <v>16</v>
      </c>
      <c r="O2045"/>
    </row>
    <row r="2046" spans="1:15" x14ac:dyDescent="0.3">
      <c r="A2046" t="s">
        <v>2070</v>
      </c>
      <c r="B2046" s="1">
        <v>45698</v>
      </c>
      <c r="C2046" t="s">
        <v>13</v>
      </c>
      <c r="D2046" t="s">
        <v>14</v>
      </c>
      <c r="E2046" s="2">
        <v>14.64</v>
      </c>
      <c r="F2046" s="3">
        <v>42.71</v>
      </c>
      <c r="G2046" s="4">
        <v>290.41000000000003</v>
      </c>
      <c r="H2046">
        <v>1.5</v>
      </c>
      <c r="I2046" s="4">
        <v>435.62</v>
      </c>
      <c r="J2046">
        <v>4.9000000000000004</v>
      </c>
      <c r="K2046" t="s">
        <v>36</v>
      </c>
      <c r="L2046" t="s">
        <v>16</v>
      </c>
      <c r="O2046"/>
    </row>
    <row r="2047" spans="1:15" x14ac:dyDescent="0.3">
      <c r="A2047" t="s">
        <v>2071</v>
      </c>
      <c r="B2047" s="1">
        <v>45780</v>
      </c>
      <c r="C2047" t="s">
        <v>14</v>
      </c>
      <c r="D2047" t="s">
        <v>22</v>
      </c>
      <c r="E2047" s="2">
        <v>10.24</v>
      </c>
      <c r="F2047" s="3">
        <v>38.799999999999997</v>
      </c>
      <c r="G2047" s="4">
        <v>153.26</v>
      </c>
      <c r="H2047">
        <v>1.5</v>
      </c>
      <c r="I2047" s="4">
        <v>229.89</v>
      </c>
      <c r="J2047">
        <v>4.9000000000000004</v>
      </c>
      <c r="K2047" t="s">
        <v>18</v>
      </c>
      <c r="L2047" t="s">
        <v>19</v>
      </c>
      <c r="O2047"/>
    </row>
    <row r="2048" spans="1:15" x14ac:dyDescent="0.3">
      <c r="A2048" t="s">
        <v>2072</v>
      </c>
      <c r="B2048" s="1">
        <v>45965</v>
      </c>
      <c r="C2048" t="s">
        <v>14</v>
      </c>
      <c r="D2048" t="s">
        <v>13</v>
      </c>
      <c r="E2048" s="2">
        <v>16.690000000000001</v>
      </c>
      <c r="F2048" s="3">
        <v>42.55</v>
      </c>
      <c r="G2048" s="4">
        <v>288.83999999999997</v>
      </c>
      <c r="H2048">
        <v>1.2</v>
      </c>
      <c r="I2048" s="4">
        <v>346.61</v>
      </c>
      <c r="J2048">
        <v>3.9</v>
      </c>
      <c r="K2048" t="s">
        <v>18</v>
      </c>
      <c r="L2048" t="s">
        <v>16</v>
      </c>
      <c r="O2048"/>
    </row>
    <row r="2049" spans="1:15" x14ac:dyDescent="0.3">
      <c r="A2049" t="s">
        <v>2073</v>
      </c>
      <c r="B2049" s="1">
        <v>45667</v>
      </c>
      <c r="C2049" t="s">
        <v>13</v>
      </c>
      <c r="D2049" t="s">
        <v>13</v>
      </c>
      <c r="E2049" s="2">
        <v>22.18</v>
      </c>
      <c r="F2049" s="3">
        <v>67.09</v>
      </c>
      <c r="G2049" s="4">
        <v>379.75</v>
      </c>
      <c r="H2049">
        <v>1.5</v>
      </c>
      <c r="I2049" s="4">
        <v>569.62</v>
      </c>
      <c r="J2049">
        <v>3.3</v>
      </c>
      <c r="K2049" t="s">
        <v>15</v>
      </c>
      <c r="L2049" t="s">
        <v>26</v>
      </c>
      <c r="O2049"/>
    </row>
    <row r="2050" spans="1:15" x14ac:dyDescent="0.3">
      <c r="A2050" t="s">
        <v>2074</v>
      </c>
      <c r="B2050" s="1">
        <v>45833</v>
      </c>
      <c r="C2050" t="s">
        <v>13</v>
      </c>
      <c r="D2050" t="s">
        <v>13</v>
      </c>
      <c r="E2050" s="2">
        <v>8.51</v>
      </c>
      <c r="F2050" s="3">
        <v>18.21</v>
      </c>
      <c r="G2050" s="4">
        <v>120.29</v>
      </c>
      <c r="H2050">
        <v>1.5</v>
      </c>
      <c r="I2050" s="4">
        <v>180.44</v>
      </c>
      <c r="J2050">
        <v>4.8</v>
      </c>
      <c r="K2050" t="s">
        <v>18</v>
      </c>
      <c r="L2050" t="s">
        <v>28</v>
      </c>
      <c r="O2050"/>
    </row>
    <row r="2051" spans="1:15" x14ac:dyDescent="0.3">
      <c r="A2051" t="s">
        <v>2075</v>
      </c>
      <c r="B2051" s="1">
        <v>45684</v>
      </c>
      <c r="C2051" t="s">
        <v>22</v>
      </c>
      <c r="D2051" t="s">
        <v>13</v>
      </c>
      <c r="E2051" s="2">
        <v>22.1</v>
      </c>
      <c r="F2051" s="3">
        <v>47.45</v>
      </c>
      <c r="G2051" s="4">
        <v>270.23</v>
      </c>
      <c r="H2051">
        <v>2</v>
      </c>
      <c r="I2051" s="4">
        <v>540.46</v>
      </c>
      <c r="J2051">
        <v>4.5</v>
      </c>
      <c r="K2051" t="s">
        <v>18</v>
      </c>
      <c r="L2051" t="s">
        <v>28</v>
      </c>
      <c r="O2051"/>
    </row>
    <row r="2052" spans="1:15" x14ac:dyDescent="0.3">
      <c r="A2052" t="s">
        <v>2076</v>
      </c>
      <c r="B2052" s="1">
        <v>45996</v>
      </c>
      <c r="C2052" t="s">
        <v>25</v>
      </c>
      <c r="D2052" t="s">
        <v>14</v>
      </c>
      <c r="E2052" s="2">
        <v>21.45</v>
      </c>
      <c r="F2052" s="3">
        <v>67.25</v>
      </c>
      <c r="G2052" s="4">
        <v>418.43</v>
      </c>
      <c r="H2052">
        <v>1.2</v>
      </c>
      <c r="I2052" s="4">
        <v>502.12</v>
      </c>
      <c r="J2052">
        <v>4</v>
      </c>
      <c r="K2052" t="s">
        <v>33</v>
      </c>
      <c r="L2052" t="s">
        <v>26</v>
      </c>
      <c r="O2052"/>
    </row>
    <row r="2053" spans="1:15" x14ac:dyDescent="0.3">
      <c r="A2053" t="s">
        <v>2077</v>
      </c>
      <c r="B2053" s="1">
        <v>45716</v>
      </c>
      <c r="C2053" t="s">
        <v>14</v>
      </c>
      <c r="D2053" t="s">
        <v>14</v>
      </c>
      <c r="E2053" s="2">
        <v>11.23</v>
      </c>
      <c r="F2053" s="3">
        <v>25.67</v>
      </c>
      <c r="G2053" s="4">
        <v>216.14</v>
      </c>
      <c r="H2053">
        <v>2</v>
      </c>
      <c r="I2053" s="4">
        <v>432.28</v>
      </c>
      <c r="J2053">
        <v>3.6</v>
      </c>
      <c r="K2053" t="s">
        <v>15</v>
      </c>
      <c r="L2053" t="s">
        <v>26</v>
      </c>
      <c r="O2053"/>
    </row>
    <row r="2054" spans="1:15" x14ac:dyDescent="0.3">
      <c r="A2054" t="s">
        <v>2078</v>
      </c>
      <c r="B2054" s="1">
        <v>45719</v>
      </c>
      <c r="C2054" t="s">
        <v>13</v>
      </c>
      <c r="D2054" t="s">
        <v>21</v>
      </c>
      <c r="E2054" s="2">
        <v>7.56</v>
      </c>
      <c r="F2054" s="3">
        <v>27.92</v>
      </c>
      <c r="G2054" s="4">
        <v>98.93</v>
      </c>
      <c r="H2054">
        <v>2</v>
      </c>
      <c r="I2054" s="4">
        <v>197.86</v>
      </c>
      <c r="J2054">
        <v>4.5</v>
      </c>
      <c r="K2054" t="s">
        <v>30</v>
      </c>
      <c r="L2054" t="s">
        <v>26</v>
      </c>
      <c r="O2054"/>
    </row>
    <row r="2055" spans="1:15" x14ac:dyDescent="0.3">
      <c r="A2055" t="s">
        <v>2079</v>
      </c>
      <c r="B2055" s="1">
        <v>46019</v>
      </c>
      <c r="C2055" t="s">
        <v>13</v>
      </c>
      <c r="D2055" t="s">
        <v>14</v>
      </c>
      <c r="E2055" s="2">
        <v>4.72</v>
      </c>
      <c r="F2055" s="3">
        <v>11.56</v>
      </c>
      <c r="G2055" s="4">
        <v>85.48</v>
      </c>
      <c r="H2055">
        <v>1</v>
      </c>
      <c r="I2055" s="4">
        <v>85.48</v>
      </c>
      <c r="J2055">
        <v>4.5999999999999996</v>
      </c>
      <c r="K2055" t="s">
        <v>36</v>
      </c>
      <c r="L2055" t="s">
        <v>28</v>
      </c>
      <c r="O2055"/>
    </row>
    <row r="2056" spans="1:15" x14ac:dyDescent="0.3">
      <c r="A2056" t="s">
        <v>2080</v>
      </c>
      <c r="B2056" s="1">
        <v>45925</v>
      </c>
      <c r="C2056" t="s">
        <v>21</v>
      </c>
      <c r="D2056" t="s">
        <v>13</v>
      </c>
      <c r="E2056" s="2">
        <v>1.94</v>
      </c>
      <c r="F2056" s="3">
        <v>6.77</v>
      </c>
      <c r="G2056" s="4">
        <v>21.99</v>
      </c>
      <c r="H2056">
        <v>2</v>
      </c>
      <c r="I2056" s="4">
        <v>43.98</v>
      </c>
      <c r="J2056">
        <v>3.4</v>
      </c>
      <c r="K2056" t="s">
        <v>15</v>
      </c>
      <c r="L2056" t="s">
        <v>26</v>
      </c>
      <c r="O2056"/>
    </row>
    <row r="2057" spans="1:15" x14ac:dyDescent="0.3">
      <c r="A2057" t="s">
        <v>2081</v>
      </c>
      <c r="B2057" s="1">
        <v>45835</v>
      </c>
      <c r="C2057" t="s">
        <v>13</v>
      </c>
      <c r="D2057" t="s">
        <v>14</v>
      </c>
      <c r="E2057" s="2">
        <v>2.44</v>
      </c>
      <c r="F2057" s="3">
        <v>6.17</v>
      </c>
      <c r="G2057" s="4">
        <v>25.99</v>
      </c>
      <c r="H2057">
        <v>1.2</v>
      </c>
      <c r="I2057" s="4">
        <v>31.19</v>
      </c>
      <c r="J2057">
        <v>4.2</v>
      </c>
      <c r="K2057" t="s">
        <v>30</v>
      </c>
      <c r="L2057" t="s">
        <v>19</v>
      </c>
      <c r="O2057"/>
    </row>
    <row r="2058" spans="1:15" x14ac:dyDescent="0.3">
      <c r="A2058" t="s">
        <v>2082</v>
      </c>
      <c r="B2058" s="1">
        <v>46016</v>
      </c>
      <c r="C2058" t="s">
        <v>13</v>
      </c>
      <c r="D2058" t="s">
        <v>22</v>
      </c>
      <c r="E2058" s="2">
        <v>10.46</v>
      </c>
      <c r="F2058" s="3">
        <v>36.15</v>
      </c>
      <c r="G2058" s="4">
        <v>114.42</v>
      </c>
      <c r="H2058">
        <v>1.2</v>
      </c>
      <c r="I2058" s="4">
        <v>137.30000000000001</v>
      </c>
      <c r="J2058">
        <v>4.0999999999999996</v>
      </c>
      <c r="K2058" t="s">
        <v>15</v>
      </c>
      <c r="L2058" t="s">
        <v>16</v>
      </c>
      <c r="O2058"/>
    </row>
    <row r="2059" spans="1:15" x14ac:dyDescent="0.3">
      <c r="A2059" t="s">
        <v>2083</v>
      </c>
      <c r="B2059" s="1">
        <v>46004</v>
      </c>
      <c r="C2059" t="s">
        <v>22</v>
      </c>
      <c r="D2059" t="s">
        <v>14</v>
      </c>
      <c r="E2059" s="2">
        <v>22.74</v>
      </c>
      <c r="F2059" s="3">
        <v>51.68</v>
      </c>
      <c r="G2059" s="4">
        <v>431.58</v>
      </c>
      <c r="H2059">
        <v>2</v>
      </c>
      <c r="I2059" s="4">
        <v>863.16</v>
      </c>
      <c r="J2059">
        <v>3.1</v>
      </c>
      <c r="K2059" t="s">
        <v>15</v>
      </c>
      <c r="L2059" t="s">
        <v>16</v>
      </c>
      <c r="O2059"/>
    </row>
    <row r="2060" spans="1:15" x14ac:dyDescent="0.3">
      <c r="A2060" t="s">
        <v>2084</v>
      </c>
      <c r="B2060" s="1">
        <v>45863</v>
      </c>
      <c r="C2060" t="s">
        <v>13</v>
      </c>
      <c r="D2060" t="s">
        <v>25</v>
      </c>
      <c r="E2060" s="2">
        <v>28.56</v>
      </c>
      <c r="F2060" s="3">
        <v>90.16</v>
      </c>
      <c r="G2060" s="4">
        <v>390.06</v>
      </c>
      <c r="H2060">
        <v>1.2</v>
      </c>
      <c r="I2060" s="4">
        <v>468.07</v>
      </c>
      <c r="J2060">
        <v>4.4000000000000004</v>
      </c>
      <c r="K2060" t="s">
        <v>30</v>
      </c>
      <c r="L2060" t="s">
        <v>16</v>
      </c>
      <c r="O2060"/>
    </row>
    <row r="2061" spans="1:15" x14ac:dyDescent="0.3">
      <c r="A2061" t="s">
        <v>2085</v>
      </c>
      <c r="B2061" s="1">
        <v>45850</v>
      </c>
      <c r="C2061" t="s">
        <v>22</v>
      </c>
      <c r="D2061" t="s">
        <v>22</v>
      </c>
      <c r="E2061" s="2">
        <v>3.75</v>
      </c>
      <c r="F2061" s="3">
        <v>14.98</v>
      </c>
      <c r="G2061" s="4">
        <v>47.54</v>
      </c>
      <c r="H2061">
        <v>2</v>
      </c>
      <c r="I2061" s="4">
        <v>95.08</v>
      </c>
      <c r="J2061">
        <v>3.8</v>
      </c>
      <c r="K2061" t="s">
        <v>30</v>
      </c>
      <c r="L2061" t="s">
        <v>26</v>
      </c>
      <c r="O2061"/>
    </row>
    <row r="2062" spans="1:15" x14ac:dyDescent="0.3">
      <c r="A2062" t="s">
        <v>2086</v>
      </c>
      <c r="B2062" s="1">
        <v>45697</v>
      </c>
      <c r="C2062" t="s">
        <v>21</v>
      </c>
      <c r="D2062" t="s">
        <v>25</v>
      </c>
      <c r="E2062" s="2">
        <v>16.21</v>
      </c>
      <c r="F2062" s="3">
        <v>64.22</v>
      </c>
      <c r="G2062" s="4">
        <v>251.71</v>
      </c>
      <c r="H2062">
        <v>2</v>
      </c>
      <c r="I2062" s="4">
        <v>503.42</v>
      </c>
      <c r="J2062">
        <v>4.7</v>
      </c>
      <c r="K2062" t="s">
        <v>33</v>
      </c>
      <c r="L2062" t="s">
        <v>19</v>
      </c>
      <c r="O2062"/>
    </row>
    <row r="2063" spans="1:15" x14ac:dyDescent="0.3">
      <c r="A2063" t="s">
        <v>2087</v>
      </c>
      <c r="B2063" s="1">
        <v>45956</v>
      </c>
      <c r="C2063" t="s">
        <v>25</v>
      </c>
      <c r="D2063" t="s">
        <v>21</v>
      </c>
      <c r="E2063" s="2">
        <v>24.16</v>
      </c>
      <c r="F2063" s="3">
        <v>89.71</v>
      </c>
      <c r="G2063" s="4">
        <v>358.07</v>
      </c>
      <c r="H2063">
        <v>2</v>
      </c>
      <c r="I2063" s="4">
        <v>716.14</v>
      </c>
      <c r="J2063">
        <v>4</v>
      </c>
      <c r="K2063" t="s">
        <v>30</v>
      </c>
      <c r="L2063" t="s">
        <v>26</v>
      </c>
      <c r="O2063"/>
    </row>
    <row r="2064" spans="1:15" x14ac:dyDescent="0.3">
      <c r="A2064" t="s">
        <v>2088</v>
      </c>
      <c r="B2064" s="1">
        <v>45674</v>
      </c>
      <c r="C2064" t="s">
        <v>22</v>
      </c>
      <c r="D2064" t="s">
        <v>21</v>
      </c>
      <c r="E2064" s="2">
        <v>6.66</v>
      </c>
      <c r="F2064" s="3">
        <v>15.52</v>
      </c>
      <c r="G2064" s="4">
        <v>118.36</v>
      </c>
      <c r="H2064">
        <v>1.2</v>
      </c>
      <c r="I2064" s="4">
        <v>142.03</v>
      </c>
      <c r="J2064">
        <v>4.5</v>
      </c>
      <c r="K2064" t="s">
        <v>30</v>
      </c>
      <c r="L2064" t="s">
        <v>19</v>
      </c>
      <c r="O2064"/>
    </row>
    <row r="2065" spans="1:15" x14ac:dyDescent="0.3">
      <c r="A2065" t="s">
        <v>2089</v>
      </c>
      <c r="B2065" s="1">
        <v>45969</v>
      </c>
      <c r="C2065" t="s">
        <v>22</v>
      </c>
      <c r="D2065" t="s">
        <v>21</v>
      </c>
      <c r="E2065" s="2">
        <v>14.09</v>
      </c>
      <c r="F2065" s="3">
        <v>44.51</v>
      </c>
      <c r="G2065" s="4">
        <v>264.49</v>
      </c>
      <c r="H2065">
        <v>1.5</v>
      </c>
      <c r="I2065" s="4">
        <v>396.74</v>
      </c>
      <c r="J2065">
        <v>3.3</v>
      </c>
      <c r="K2065" t="s">
        <v>36</v>
      </c>
      <c r="L2065" t="s">
        <v>16</v>
      </c>
      <c r="O2065"/>
    </row>
    <row r="2066" spans="1:15" x14ac:dyDescent="0.3">
      <c r="A2066" t="s">
        <v>2090</v>
      </c>
      <c r="B2066" s="1">
        <v>45806</v>
      </c>
      <c r="C2066" t="s">
        <v>22</v>
      </c>
      <c r="D2066" t="s">
        <v>25</v>
      </c>
      <c r="E2066" s="2">
        <v>1.45</v>
      </c>
      <c r="F2066" s="3">
        <v>4.1399999999999997</v>
      </c>
      <c r="G2066" s="4">
        <v>23.29</v>
      </c>
      <c r="H2066">
        <v>1.2</v>
      </c>
      <c r="I2066" s="4">
        <v>27.95</v>
      </c>
      <c r="J2066">
        <v>4.4000000000000004</v>
      </c>
      <c r="K2066" t="s">
        <v>30</v>
      </c>
      <c r="L2066" t="s">
        <v>28</v>
      </c>
      <c r="O2066"/>
    </row>
    <row r="2067" spans="1:15" x14ac:dyDescent="0.3">
      <c r="A2067" t="s">
        <v>2091</v>
      </c>
      <c r="B2067" s="1">
        <v>45943</v>
      </c>
      <c r="C2067" t="s">
        <v>22</v>
      </c>
      <c r="D2067" t="s">
        <v>22</v>
      </c>
      <c r="E2067" s="2">
        <v>1.89</v>
      </c>
      <c r="F2067" s="3">
        <v>4.8499999999999996</v>
      </c>
      <c r="G2067" s="4">
        <v>28.32</v>
      </c>
      <c r="H2067">
        <v>1</v>
      </c>
      <c r="I2067" s="4">
        <v>28.32</v>
      </c>
      <c r="J2067">
        <v>4.4000000000000004</v>
      </c>
      <c r="K2067" t="s">
        <v>33</v>
      </c>
      <c r="L2067" t="s">
        <v>16</v>
      </c>
      <c r="O2067"/>
    </row>
    <row r="2068" spans="1:15" x14ac:dyDescent="0.3">
      <c r="A2068" t="s">
        <v>2092</v>
      </c>
      <c r="B2068" s="1">
        <v>46017</v>
      </c>
      <c r="C2068" t="s">
        <v>13</v>
      </c>
      <c r="D2068" t="s">
        <v>25</v>
      </c>
      <c r="E2068" s="2">
        <v>28.1</v>
      </c>
      <c r="F2068" s="3">
        <v>111.1</v>
      </c>
      <c r="G2068" s="4">
        <v>488.87</v>
      </c>
      <c r="H2068">
        <v>1</v>
      </c>
      <c r="I2068" s="4">
        <v>488.87</v>
      </c>
      <c r="J2068">
        <v>4.5999999999999996</v>
      </c>
      <c r="K2068" t="s">
        <v>18</v>
      </c>
      <c r="L2068" t="s">
        <v>26</v>
      </c>
      <c r="O2068"/>
    </row>
    <row r="2069" spans="1:15" x14ac:dyDescent="0.3">
      <c r="A2069" t="s">
        <v>2093</v>
      </c>
      <c r="B2069" s="1">
        <v>45738</v>
      </c>
      <c r="C2069" t="s">
        <v>22</v>
      </c>
      <c r="D2069" t="s">
        <v>14</v>
      </c>
      <c r="E2069" s="2">
        <v>18.04</v>
      </c>
      <c r="F2069" s="3">
        <v>48.84</v>
      </c>
      <c r="G2069" s="4">
        <v>267.43</v>
      </c>
      <c r="H2069">
        <v>1.5</v>
      </c>
      <c r="I2069" s="4">
        <v>401.14</v>
      </c>
      <c r="J2069">
        <v>5</v>
      </c>
      <c r="K2069" t="s">
        <v>15</v>
      </c>
      <c r="L2069" t="s">
        <v>16</v>
      </c>
      <c r="O2069"/>
    </row>
    <row r="2070" spans="1:15" x14ac:dyDescent="0.3">
      <c r="A2070" t="s">
        <v>2094</v>
      </c>
      <c r="B2070" s="1">
        <v>45897</v>
      </c>
      <c r="C2070" t="s">
        <v>21</v>
      </c>
      <c r="D2070" t="s">
        <v>22</v>
      </c>
      <c r="E2070" s="2">
        <v>21.25</v>
      </c>
      <c r="F2070" s="3">
        <v>60.93</v>
      </c>
      <c r="G2070" s="4">
        <v>255.48</v>
      </c>
      <c r="H2070">
        <v>1.2</v>
      </c>
      <c r="I2070" s="4">
        <v>306.58</v>
      </c>
      <c r="J2070">
        <v>3.5</v>
      </c>
      <c r="K2070" t="s">
        <v>33</v>
      </c>
      <c r="L2070" t="s">
        <v>16</v>
      </c>
      <c r="O2070"/>
    </row>
    <row r="2071" spans="1:15" x14ac:dyDescent="0.3">
      <c r="A2071" t="s">
        <v>2095</v>
      </c>
      <c r="B2071" s="1">
        <v>45928</v>
      </c>
      <c r="C2071" t="s">
        <v>14</v>
      </c>
      <c r="D2071" t="s">
        <v>14</v>
      </c>
      <c r="E2071" s="2">
        <v>9.73</v>
      </c>
      <c r="F2071" s="3">
        <v>34.03</v>
      </c>
      <c r="G2071" s="4">
        <v>174.57</v>
      </c>
      <c r="H2071">
        <v>1.2</v>
      </c>
      <c r="I2071" s="4">
        <v>209.48</v>
      </c>
      <c r="J2071">
        <v>4</v>
      </c>
      <c r="K2071" t="s">
        <v>30</v>
      </c>
      <c r="L2071" t="s">
        <v>16</v>
      </c>
      <c r="O2071"/>
    </row>
    <row r="2072" spans="1:15" x14ac:dyDescent="0.3">
      <c r="A2072" t="s">
        <v>2096</v>
      </c>
      <c r="B2072" s="1">
        <v>45721</v>
      </c>
      <c r="C2072" t="s">
        <v>14</v>
      </c>
      <c r="D2072" t="s">
        <v>21</v>
      </c>
      <c r="E2072" s="2">
        <v>14.97</v>
      </c>
      <c r="F2072" s="3">
        <v>39.450000000000003</v>
      </c>
      <c r="G2072" s="4">
        <v>203.7</v>
      </c>
      <c r="H2072">
        <v>1.2</v>
      </c>
      <c r="I2072" s="4">
        <v>244.44</v>
      </c>
      <c r="J2072">
        <v>3.2</v>
      </c>
      <c r="K2072" t="s">
        <v>36</v>
      </c>
      <c r="L2072" t="s">
        <v>19</v>
      </c>
      <c r="O2072"/>
    </row>
    <row r="2073" spans="1:15" x14ac:dyDescent="0.3">
      <c r="A2073" t="s">
        <v>2097</v>
      </c>
      <c r="B2073" s="1">
        <v>45831</v>
      </c>
      <c r="C2073" t="s">
        <v>21</v>
      </c>
      <c r="D2073" t="s">
        <v>13</v>
      </c>
      <c r="E2073" s="2">
        <v>7.74</v>
      </c>
      <c r="F2073" s="3">
        <v>29.37</v>
      </c>
      <c r="G2073" s="4">
        <v>144.18</v>
      </c>
      <c r="H2073">
        <v>1</v>
      </c>
      <c r="I2073" s="4">
        <v>144.18</v>
      </c>
      <c r="J2073">
        <v>4.5999999999999996</v>
      </c>
      <c r="K2073" t="s">
        <v>33</v>
      </c>
      <c r="L2073" t="s">
        <v>26</v>
      </c>
      <c r="O2073"/>
    </row>
    <row r="2074" spans="1:15" x14ac:dyDescent="0.3">
      <c r="A2074" t="s">
        <v>2098</v>
      </c>
      <c r="B2074" s="1">
        <v>45718</v>
      </c>
      <c r="C2074" t="s">
        <v>25</v>
      </c>
      <c r="D2074" t="s">
        <v>13</v>
      </c>
      <c r="E2074" s="2">
        <v>11.93</v>
      </c>
      <c r="F2074" s="3">
        <v>40.74</v>
      </c>
      <c r="G2074" s="4">
        <v>199.43</v>
      </c>
      <c r="H2074">
        <v>1.2</v>
      </c>
      <c r="I2074" s="4">
        <v>239.32</v>
      </c>
      <c r="J2074">
        <v>3.7</v>
      </c>
      <c r="K2074" t="s">
        <v>33</v>
      </c>
      <c r="L2074" t="s">
        <v>26</v>
      </c>
      <c r="O2074"/>
    </row>
    <row r="2075" spans="1:15" x14ac:dyDescent="0.3">
      <c r="A2075" t="s">
        <v>2099</v>
      </c>
      <c r="B2075" s="1">
        <v>45975</v>
      </c>
      <c r="C2075" t="s">
        <v>25</v>
      </c>
      <c r="D2075" t="s">
        <v>13</v>
      </c>
      <c r="E2075" s="2">
        <v>8.32</v>
      </c>
      <c r="F2075" s="3">
        <v>16.95</v>
      </c>
      <c r="G2075" s="4">
        <v>141.37</v>
      </c>
      <c r="H2075">
        <v>1.2</v>
      </c>
      <c r="I2075" s="4">
        <v>169.64</v>
      </c>
      <c r="J2075">
        <v>3.7</v>
      </c>
      <c r="K2075" t="s">
        <v>18</v>
      </c>
      <c r="L2075" t="s">
        <v>28</v>
      </c>
      <c r="O2075"/>
    </row>
    <row r="2076" spans="1:15" x14ac:dyDescent="0.3">
      <c r="A2076" t="s">
        <v>2100</v>
      </c>
      <c r="B2076" s="1">
        <v>45727</v>
      </c>
      <c r="C2076" t="s">
        <v>22</v>
      </c>
      <c r="D2076" t="s">
        <v>25</v>
      </c>
      <c r="E2076" s="2">
        <v>16.239999999999998</v>
      </c>
      <c r="F2076" s="3">
        <v>63.24</v>
      </c>
      <c r="G2076" s="4">
        <v>259.06</v>
      </c>
      <c r="H2076">
        <v>1.5</v>
      </c>
      <c r="I2076" s="4">
        <v>388.59</v>
      </c>
      <c r="J2076">
        <v>3.2</v>
      </c>
      <c r="K2076" t="s">
        <v>30</v>
      </c>
      <c r="L2076" t="s">
        <v>26</v>
      </c>
      <c r="O2076"/>
    </row>
    <row r="2077" spans="1:15" x14ac:dyDescent="0.3">
      <c r="A2077" t="s">
        <v>2101</v>
      </c>
      <c r="B2077" s="1">
        <v>45669</v>
      </c>
      <c r="C2077" t="s">
        <v>13</v>
      </c>
      <c r="D2077" t="s">
        <v>21</v>
      </c>
      <c r="E2077" s="2">
        <v>5.81</v>
      </c>
      <c r="F2077" s="3">
        <v>15.12</v>
      </c>
      <c r="G2077" s="4">
        <v>89.44</v>
      </c>
      <c r="H2077">
        <v>2</v>
      </c>
      <c r="I2077" s="4">
        <v>178.88</v>
      </c>
      <c r="J2077">
        <v>4.3</v>
      </c>
      <c r="K2077" t="s">
        <v>30</v>
      </c>
      <c r="L2077" t="s">
        <v>28</v>
      </c>
      <c r="O2077"/>
    </row>
    <row r="2078" spans="1:15" x14ac:dyDescent="0.3">
      <c r="A2078" t="s">
        <v>2102</v>
      </c>
      <c r="B2078" s="1">
        <v>45938</v>
      </c>
      <c r="C2078" t="s">
        <v>25</v>
      </c>
      <c r="D2078" t="s">
        <v>25</v>
      </c>
      <c r="E2078" s="2">
        <v>4.42</v>
      </c>
      <c r="F2078" s="3">
        <v>16.21</v>
      </c>
      <c r="G2078" s="4">
        <v>75.39</v>
      </c>
      <c r="H2078">
        <v>1.5</v>
      </c>
      <c r="I2078" s="4">
        <v>113.08</v>
      </c>
      <c r="J2078">
        <v>4.3</v>
      </c>
      <c r="K2078" t="s">
        <v>36</v>
      </c>
      <c r="L2078" t="s">
        <v>26</v>
      </c>
      <c r="O2078"/>
    </row>
    <row r="2079" spans="1:15" x14ac:dyDescent="0.3">
      <c r="A2079" t="s">
        <v>2103</v>
      </c>
      <c r="B2079" s="1">
        <v>45880</v>
      </c>
      <c r="C2079" t="s">
        <v>21</v>
      </c>
      <c r="D2079" t="s">
        <v>25</v>
      </c>
      <c r="E2079" s="2">
        <v>21.31</v>
      </c>
      <c r="F2079" s="3">
        <v>51.22</v>
      </c>
      <c r="G2079" s="4">
        <v>304.68</v>
      </c>
      <c r="H2079">
        <v>1.2</v>
      </c>
      <c r="I2079" s="4">
        <v>365.62</v>
      </c>
      <c r="J2079">
        <v>3.3</v>
      </c>
      <c r="K2079" t="s">
        <v>18</v>
      </c>
      <c r="L2079" t="s">
        <v>26</v>
      </c>
      <c r="O2079"/>
    </row>
    <row r="2080" spans="1:15" x14ac:dyDescent="0.3">
      <c r="A2080" t="s">
        <v>2104</v>
      </c>
      <c r="B2080" s="1">
        <v>45964</v>
      </c>
      <c r="C2080" t="s">
        <v>14</v>
      </c>
      <c r="D2080" t="s">
        <v>25</v>
      </c>
      <c r="E2080" s="2">
        <v>28.68</v>
      </c>
      <c r="F2080" s="3">
        <v>64.739999999999995</v>
      </c>
      <c r="G2080" s="4">
        <v>486.83</v>
      </c>
      <c r="H2080">
        <v>1.2</v>
      </c>
      <c r="I2080" s="4">
        <v>584.20000000000005</v>
      </c>
      <c r="J2080">
        <v>4</v>
      </c>
      <c r="K2080" t="s">
        <v>33</v>
      </c>
      <c r="L2080" t="s">
        <v>26</v>
      </c>
      <c r="O2080"/>
    </row>
    <row r="2081" spans="1:15" x14ac:dyDescent="0.3">
      <c r="A2081" t="s">
        <v>2105</v>
      </c>
      <c r="B2081" s="1">
        <v>45826</v>
      </c>
      <c r="C2081" t="s">
        <v>14</v>
      </c>
      <c r="D2081" t="s">
        <v>13</v>
      </c>
      <c r="E2081" s="2">
        <v>27.82</v>
      </c>
      <c r="F2081" s="3">
        <v>103.04</v>
      </c>
      <c r="G2081" s="4">
        <v>424.05</v>
      </c>
      <c r="H2081">
        <v>1.2</v>
      </c>
      <c r="I2081" s="4">
        <v>508.86</v>
      </c>
      <c r="J2081">
        <v>3.4</v>
      </c>
      <c r="K2081" t="s">
        <v>18</v>
      </c>
      <c r="L2081" t="s">
        <v>26</v>
      </c>
      <c r="O2081"/>
    </row>
    <row r="2082" spans="1:15" x14ac:dyDescent="0.3">
      <c r="A2082" t="s">
        <v>2106</v>
      </c>
      <c r="B2082" s="1">
        <v>45660</v>
      </c>
      <c r="C2082" t="s">
        <v>21</v>
      </c>
      <c r="D2082" t="s">
        <v>21</v>
      </c>
      <c r="E2082" s="2">
        <v>28.89</v>
      </c>
      <c r="F2082" s="3">
        <v>89.5</v>
      </c>
      <c r="G2082" s="4">
        <v>519.04999999999995</v>
      </c>
      <c r="H2082">
        <v>1</v>
      </c>
      <c r="I2082" s="4">
        <v>519.04999999999995</v>
      </c>
      <c r="J2082">
        <v>4.0999999999999996</v>
      </c>
      <c r="K2082" t="s">
        <v>36</v>
      </c>
      <c r="L2082" t="s">
        <v>19</v>
      </c>
      <c r="O2082"/>
    </row>
    <row r="2083" spans="1:15" x14ac:dyDescent="0.3">
      <c r="A2083" t="s">
        <v>2107</v>
      </c>
      <c r="B2083" s="1">
        <v>45791</v>
      </c>
      <c r="C2083" t="s">
        <v>25</v>
      </c>
      <c r="D2083" t="s">
        <v>21</v>
      </c>
      <c r="E2083" s="2">
        <v>19.88</v>
      </c>
      <c r="F2083" s="3">
        <v>58.66</v>
      </c>
      <c r="G2083" s="4">
        <v>368.7</v>
      </c>
      <c r="H2083">
        <v>1</v>
      </c>
      <c r="I2083" s="4">
        <v>368.7</v>
      </c>
      <c r="J2083">
        <v>4.5999999999999996</v>
      </c>
      <c r="K2083" t="s">
        <v>36</v>
      </c>
      <c r="L2083" t="s">
        <v>28</v>
      </c>
      <c r="O2083"/>
    </row>
    <row r="2084" spans="1:15" x14ac:dyDescent="0.3">
      <c r="A2084" t="s">
        <v>2108</v>
      </c>
      <c r="B2084" s="1">
        <v>45898</v>
      </c>
      <c r="C2084" t="s">
        <v>13</v>
      </c>
      <c r="D2084" t="s">
        <v>21</v>
      </c>
      <c r="E2084" s="2">
        <v>9.4600000000000009</v>
      </c>
      <c r="F2084" s="3">
        <v>21.36</v>
      </c>
      <c r="G2084" s="4">
        <v>175.51</v>
      </c>
      <c r="H2084">
        <v>1.5</v>
      </c>
      <c r="I2084" s="4">
        <v>263.26</v>
      </c>
      <c r="J2084">
        <v>4.4000000000000004</v>
      </c>
      <c r="K2084" t="s">
        <v>30</v>
      </c>
      <c r="L2084" t="s">
        <v>28</v>
      </c>
      <c r="O2084"/>
    </row>
    <row r="2085" spans="1:15" x14ac:dyDescent="0.3">
      <c r="A2085" t="s">
        <v>2109</v>
      </c>
      <c r="B2085" s="1">
        <v>45899</v>
      </c>
      <c r="C2085" t="s">
        <v>25</v>
      </c>
      <c r="D2085" t="s">
        <v>14</v>
      </c>
      <c r="E2085" s="2">
        <v>28.2</v>
      </c>
      <c r="F2085" s="3">
        <v>59.42</v>
      </c>
      <c r="G2085" s="4">
        <v>423.27</v>
      </c>
      <c r="H2085">
        <v>1</v>
      </c>
      <c r="I2085" s="4">
        <v>423.27</v>
      </c>
      <c r="J2085">
        <v>4.7</v>
      </c>
      <c r="K2085" t="s">
        <v>33</v>
      </c>
      <c r="L2085" t="s">
        <v>28</v>
      </c>
      <c r="O2085"/>
    </row>
    <row r="2086" spans="1:15" x14ac:dyDescent="0.3">
      <c r="A2086" t="s">
        <v>2110</v>
      </c>
      <c r="B2086" s="1">
        <v>45889</v>
      </c>
      <c r="C2086" t="s">
        <v>22</v>
      </c>
      <c r="D2086" t="s">
        <v>13</v>
      </c>
      <c r="E2086" s="2">
        <v>14.03</v>
      </c>
      <c r="F2086" s="3">
        <v>36.119999999999997</v>
      </c>
      <c r="G2086" s="4">
        <v>154.97999999999999</v>
      </c>
      <c r="H2086">
        <v>1.2</v>
      </c>
      <c r="I2086" s="4">
        <v>185.98</v>
      </c>
      <c r="J2086">
        <v>3.3</v>
      </c>
      <c r="K2086" t="s">
        <v>36</v>
      </c>
      <c r="L2086" t="s">
        <v>28</v>
      </c>
      <c r="O2086"/>
    </row>
    <row r="2087" spans="1:15" x14ac:dyDescent="0.3">
      <c r="A2087" t="s">
        <v>2111</v>
      </c>
      <c r="B2087" s="1">
        <v>45736</v>
      </c>
      <c r="C2087" t="s">
        <v>13</v>
      </c>
      <c r="D2087" t="s">
        <v>14</v>
      </c>
      <c r="E2087" s="2">
        <v>17.149999999999999</v>
      </c>
      <c r="F2087" s="3">
        <v>48.41</v>
      </c>
      <c r="G2087" s="4">
        <v>250.45</v>
      </c>
      <c r="H2087">
        <v>2</v>
      </c>
      <c r="I2087" s="4">
        <v>500.9</v>
      </c>
      <c r="J2087">
        <v>3.2</v>
      </c>
      <c r="K2087" t="s">
        <v>33</v>
      </c>
      <c r="L2087" t="s">
        <v>26</v>
      </c>
      <c r="O2087"/>
    </row>
    <row r="2088" spans="1:15" x14ac:dyDescent="0.3">
      <c r="A2088" t="s">
        <v>2112</v>
      </c>
      <c r="B2088" s="1">
        <v>45674</v>
      </c>
      <c r="C2088" t="s">
        <v>22</v>
      </c>
      <c r="D2088" t="s">
        <v>22</v>
      </c>
      <c r="E2088" s="2">
        <v>13.54</v>
      </c>
      <c r="F2088" s="3">
        <v>49.2</v>
      </c>
      <c r="G2088" s="4">
        <v>161.97999999999999</v>
      </c>
      <c r="H2088">
        <v>1.2</v>
      </c>
      <c r="I2088" s="4">
        <v>194.38</v>
      </c>
      <c r="J2088">
        <v>4.5</v>
      </c>
      <c r="K2088" t="s">
        <v>15</v>
      </c>
      <c r="L2088" t="s">
        <v>19</v>
      </c>
      <c r="O2088"/>
    </row>
    <row r="2089" spans="1:15" x14ac:dyDescent="0.3">
      <c r="A2089" t="s">
        <v>2113</v>
      </c>
      <c r="B2089" s="1">
        <v>45735</v>
      </c>
      <c r="C2089" t="s">
        <v>22</v>
      </c>
      <c r="D2089" t="s">
        <v>21</v>
      </c>
      <c r="E2089" s="2">
        <v>25.53</v>
      </c>
      <c r="F2089" s="3">
        <v>75.17</v>
      </c>
      <c r="G2089" s="4">
        <v>440.89</v>
      </c>
      <c r="H2089">
        <v>1.5</v>
      </c>
      <c r="I2089" s="4">
        <v>661.34</v>
      </c>
      <c r="J2089">
        <v>4.2</v>
      </c>
      <c r="K2089" t="s">
        <v>33</v>
      </c>
      <c r="L2089" t="s">
        <v>19</v>
      </c>
      <c r="O2089"/>
    </row>
    <row r="2090" spans="1:15" x14ac:dyDescent="0.3">
      <c r="A2090" t="s">
        <v>2114</v>
      </c>
      <c r="B2090" s="1">
        <v>45989</v>
      </c>
      <c r="C2090" t="s">
        <v>21</v>
      </c>
      <c r="D2090" t="s">
        <v>25</v>
      </c>
      <c r="E2090" s="2">
        <v>22.59</v>
      </c>
      <c r="F2090" s="3">
        <v>78.59</v>
      </c>
      <c r="G2090" s="4">
        <v>281.83999999999997</v>
      </c>
      <c r="H2090">
        <v>1</v>
      </c>
      <c r="I2090" s="4">
        <v>281.83999999999997</v>
      </c>
      <c r="J2090">
        <v>4.0999999999999996</v>
      </c>
      <c r="K2090" t="s">
        <v>33</v>
      </c>
      <c r="L2090" t="s">
        <v>28</v>
      </c>
      <c r="O2090"/>
    </row>
    <row r="2091" spans="1:15" x14ac:dyDescent="0.3">
      <c r="A2091" t="s">
        <v>2115</v>
      </c>
      <c r="B2091" s="1">
        <v>45789</v>
      </c>
      <c r="C2091" t="s">
        <v>14</v>
      </c>
      <c r="D2091" t="s">
        <v>21</v>
      </c>
      <c r="E2091" s="2">
        <v>3.36</v>
      </c>
      <c r="F2091" s="3">
        <v>9.65</v>
      </c>
      <c r="G2091" s="4">
        <v>52.28</v>
      </c>
      <c r="H2091">
        <v>1.2</v>
      </c>
      <c r="I2091" s="4">
        <v>62.74</v>
      </c>
      <c r="J2091">
        <v>4.2</v>
      </c>
      <c r="K2091" t="s">
        <v>30</v>
      </c>
      <c r="L2091" t="s">
        <v>28</v>
      </c>
      <c r="O2091"/>
    </row>
    <row r="2092" spans="1:15" x14ac:dyDescent="0.3">
      <c r="A2092" t="s">
        <v>2116</v>
      </c>
      <c r="B2092" s="1">
        <v>45829</v>
      </c>
      <c r="C2092" t="s">
        <v>22</v>
      </c>
      <c r="D2092" t="s">
        <v>13</v>
      </c>
      <c r="E2092" s="2">
        <v>22.92</v>
      </c>
      <c r="F2092" s="3">
        <v>75.400000000000006</v>
      </c>
      <c r="G2092" s="4">
        <v>282.94</v>
      </c>
      <c r="H2092">
        <v>1</v>
      </c>
      <c r="I2092" s="4">
        <v>282.94</v>
      </c>
      <c r="J2092">
        <v>3.2</v>
      </c>
      <c r="K2092" t="s">
        <v>36</v>
      </c>
      <c r="L2092" t="s">
        <v>16</v>
      </c>
      <c r="O2092"/>
    </row>
    <row r="2093" spans="1:15" x14ac:dyDescent="0.3">
      <c r="A2093" t="s">
        <v>2117</v>
      </c>
      <c r="B2093" s="1">
        <v>45846</v>
      </c>
      <c r="C2093" t="s">
        <v>22</v>
      </c>
      <c r="D2093" t="s">
        <v>25</v>
      </c>
      <c r="E2093" s="2">
        <v>6.08</v>
      </c>
      <c r="F2093" s="3">
        <v>20.56</v>
      </c>
      <c r="G2093" s="4">
        <v>112.04</v>
      </c>
      <c r="H2093">
        <v>2</v>
      </c>
      <c r="I2093" s="4">
        <v>224.08</v>
      </c>
      <c r="J2093">
        <v>4.2</v>
      </c>
      <c r="K2093" t="s">
        <v>30</v>
      </c>
      <c r="L2093" t="s">
        <v>26</v>
      </c>
      <c r="O2093"/>
    </row>
    <row r="2094" spans="1:15" x14ac:dyDescent="0.3">
      <c r="A2094" t="s">
        <v>2118</v>
      </c>
      <c r="B2094" s="1">
        <v>45690</v>
      </c>
      <c r="C2094" t="s">
        <v>25</v>
      </c>
      <c r="D2094" t="s">
        <v>25</v>
      </c>
      <c r="E2094" s="2">
        <v>9.7799999999999994</v>
      </c>
      <c r="F2094" s="3">
        <v>29.23</v>
      </c>
      <c r="G2094" s="4">
        <v>110.71</v>
      </c>
      <c r="H2094">
        <v>1.5</v>
      </c>
      <c r="I2094" s="4">
        <v>166.06</v>
      </c>
      <c r="J2094">
        <v>3.6</v>
      </c>
      <c r="K2094" t="s">
        <v>30</v>
      </c>
      <c r="L2094" t="s">
        <v>26</v>
      </c>
      <c r="O2094"/>
    </row>
    <row r="2095" spans="1:15" x14ac:dyDescent="0.3">
      <c r="A2095" t="s">
        <v>2119</v>
      </c>
      <c r="B2095" s="1">
        <v>45873</v>
      </c>
      <c r="C2095" t="s">
        <v>25</v>
      </c>
      <c r="D2095" t="s">
        <v>14</v>
      </c>
      <c r="E2095" s="2">
        <v>20.37</v>
      </c>
      <c r="F2095" s="3">
        <v>62.67</v>
      </c>
      <c r="G2095" s="4">
        <v>365.06</v>
      </c>
      <c r="H2095">
        <v>2</v>
      </c>
      <c r="I2095" s="4">
        <v>730.12</v>
      </c>
      <c r="J2095">
        <v>4.2</v>
      </c>
      <c r="K2095" t="s">
        <v>15</v>
      </c>
      <c r="L2095" t="s">
        <v>16</v>
      </c>
      <c r="O2095"/>
    </row>
    <row r="2096" spans="1:15" x14ac:dyDescent="0.3">
      <c r="A2096" t="s">
        <v>2120</v>
      </c>
      <c r="B2096" s="1">
        <v>45662</v>
      </c>
      <c r="C2096" t="s">
        <v>25</v>
      </c>
      <c r="D2096" t="s">
        <v>14</v>
      </c>
      <c r="E2096" s="2">
        <v>5.65</v>
      </c>
      <c r="F2096" s="3">
        <v>18.62</v>
      </c>
      <c r="G2096" s="4">
        <v>109.01</v>
      </c>
      <c r="H2096">
        <v>1</v>
      </c>
      <c r="I2096" s="4">
        <v>109.01</v>
      </c>
      <c r="J2096">
        <v>3.5</v>
      </c>
      <c r="K2096" t="s">
        <v>36</v>
      </c>
      <c r="L2096" t="s">
        <v>26</v>
      </c>
      <c r="O2096"/>
    </row>
    <row r="2097" spans="1:15" x14ac:dyDescent="0.3">
      <c r="A2097" t="s">
        <v>2121</v>
      </c>
      <c r="B2097" s="1">
        <v>45988</v>
      </c>
      <c r="C2097" t="s">
        <v>13</v>
      </c>
      <c r="D2097" t="s">
        <v>25</v>
      </c>
      <c r="E2097" s="2">
        <v>13.57</v>
      </c>
      <c r="F2097" s="3">
        <v>49.04</v>
      </c>
      <c r="G2097" s="4">
        <v>175.59</v>
      </c>
      <c r="H2097">
        <v>1.2</v>
      </c>
      <c r="I2097" s="4">
        <v>210.71</v>
      </c>
      <c r="J2097">
        <v>4.7</v>
      </c>
      <c r="K2097" t="s">
        <v>15</v>
      </c>
      <c r="L2097" t="s">
        <v>16</v>
      </c>
      <c r="O2097"/>
    </row>
    <row r="2098" spans="1:15" x14ac:dyDescent="0.3">
      <c r="A2098" t="s">
        <v>2122</v>
      </c>
      <c r="B2098" s="1">
        <v>45893</v>
      </c>
      <c r="C2098" t="s">
        <v>14</v>
      </c>
      <c r="D2098" t="s">
        <v>25</v>
      </c>
      <c r="E2098" s="2">
        <v>4.09</v>
      </c>
      <c r="F2098" s="3">
        <v>12.23</v>
      </c>
      <c r="G2098" s="4">
        <v>65.819999999999993</v>
      </c>
      <c r="H2098">
        <v>1.2</v>
      </c>
      <c r="I2098" s="4">
        <v>78.98</v>
      </c>
      <c r="J2098">
        <v>3.9</v>
      </c>
      <c r="K2098" t="s">
        <v>33</v>
      </c>
      <c r="L2098" t="s">
        <v>19</v>
      </c>
      <c r="O2098"/>
    </row>
    <row r="2099" spans="1:15" x14ac:dyDescent="0.3">
      <c r="A2099" t="s">
        <v>2123</v>
      </c>
      <c r="B2099" s="1">
        <v>45659</v>
      </c>
      <c r="C2099" t="s">
        <v>14</v>
      </c>
      <c r="D2099" t="s">
        <v>22</v>
      </c>
      <c r="E2099" s="2">
        <v>18.25</v>
      </c>
      <c r="F2099" s="3">
        <v>48.36</v>
      </c>
      <c r="G2099" s="4">
        <v>187.13</v>
      </c>
      <c r="H2099">
        <v>1</v>
      </c>
      <c r="I2099" s="4">
        <v>187.13</v>
      </c>
      <c r="J2099">
        <v>3.8</v>
      </c>
      <c r="K2099" t="s">
        <v>30</v>
      </c>
      <c r="L2099" t="s">
        <v>16</v>
      </c>
      <c r="O2099"/>
    </row>
    <row r="2100" spans="1:15" x14ac:dyDescent="0.3">
      <c r="A2100" t="s">
        <v>2124</v>
      </c>
      <c r="B2100" s="1">
        <v>45692</v>
      </c>
      <c r="C2100" t="s">
        <v>14</v>
      </c>
      <c r="D2100" t="s">
        <v>25</v>
      </c>
      <c r="E2100" s="2">
        <v>27.77</v>
      </c>
      <c r="F2100" s="3">
        <v>100.25</v>
      </c>
      <c r="G2100" s="4">
        <v>341.59</v>
      </c>
      <c r="H2100">
        <v>2</v>
      </c>
      <c r="I2100" s="4">
        <v>683.18</v>
      </c>
      <c r="J2100">
        <v>4.7</v>
      </c>
      <c r="K2100" t="s">
        <v>15</v>
      </c>
      <c r="L2100" t="s">
        <v>28</v>
      </c>
      <c r="O2100"/>
    </row>
    <row r="2101" spans="1:15" x14ac:dyDescent="0.3">
      <c r="A2101" t="s">
        <v>2125</v>
      </c>
      <c r="B2101" s="1">
        <v>45712</v>
      </c>
      <c r="C2101" t="s">
        <v>21</v>
      </c>
      <c r="D2101" t="s">
        <v>25</v>
      </c>
      <c r="E2101" s="2">
        <v>9.6</v>
      </c>
      <c r="F2101" s="3">
        <v>30.42</v>
      </c>
      <c r="G2101" s="4">
        <v>136.4</v>
      </c>
      <c r="H2101">
        <v>1</v>
      </c>
      <c r="I2101" s="4">
        <v>136.4</v>
      </c>
      <c r="J2101">
        <v>3.4</v>
      </c>
      <c r="K2101" t="s">
        <v>30</v>
      </c>
      <c r="L2101" t="s">
        <v>19</v>
      </c>
      <c r="O2101"/>
    </row>
    <row r="2102" spans="1:15" x14ac:dyDescent="0.3">
      <c r="A2102" t="s">
        <v>2126</v>
      </c>
      <c r="B2102" s="1">
        <v>45998</v>
      </c>
      <c r="C2102" t="s">
        <v>14</v>
      </c>
      <c r="D2102" t="s">
        <v>22</v>
      </c>
      <c r="E2102" s="2">
        <v>18.149999999999999</v>
      </c>
      <c r="F2102" s="3">
        <v>67.459999999999994</v>
      </c>
      <c r="G2102" s="4">
        <v>268.75</v>
      </c>
      <c r="H2102">
        <v>1</v>
      </c>
      <c r="I2102" s="4">
        <v>268.75</v>
      </c>
      <c r="J2102">
        <v>4.2</v>
      </c>
      <c r="K2102" t="s">
        <v>36</v>
      </c>
      <c r="L2102" t="s">
        <v>16</v>
      </c>
      <c r="O2102"/>
    </row>
    <row r="2103" spans="1:15" x14ac:dyDescent="0.3">
      <c r="A2103" t="s">
        <v>2127</v>
      </c>
      <c r="B2103" s="1">
        <v>45666</v>
      </c>
      <c r="C2103" t="s">
        <v>25</v>
      </c>
      <c r="D2103" t="s">
        <v>25</v>
      </c>
      <c r="E2103" s="2">
        <v>10.02</v>
      </c>
      <c r="F2103" s="3">
        <v>26.45</v>
      </c>
      <c r="G2103" s="4">
        <v>134.22</v>
      </c>
      <c r="H2103">
        <v>1.5</v>
      </c>
      <c r="I2103" s="4">
        <v>201.33</v>
      </c>
      <c r="J2103">
        <v>4.7</v>
      </c>
      <c r="K2103" t="s">
        <v>36</v>
      </c>
      <c r="L2103" t="s">
        <v>28</v>
      </c>
      <c r="O2103"/>
    </row>
    <row r="2104" spans="1:15" x14ac:dyDescent="0.3">
      <c r="A2104" t="s">
        <v>2128</v>
      </c>
      <c r="B2104" s="1">
        <v>45779</v>
      </c>
      <c r="C2104" t="s">
        <v>21</v>
      </c>
      <c r="D2104" t="s">
        <v>25</v>
      </c>
      <c r="E2104" s="2">
        <v>7.45</v>
      </c>
      <c r="F2104" s="3">
        <v>29.8</v>
      </c>
      <c r="G2104" s="4">
        <v>87.28</v>
      </c>
      <c r="H2104">
        <v>2</v>
      </c>
      <c r="I2104" s="4">
        <v>174.56</v>
      </c>
      <c r="J2104">
        <v>4.0999999999999996</v>
      </c>
      <c r="K2104" t="s">
        <v>18</v>
      </c>
      <c r="L2104" t="s">
        <v>16</v>
      </c>
      <c r="O2104"/>
    </row>
    <row r="2105" spans="1:15" x14ac:dyDescent="0.3">
      <c r="A2105" t="s">
        <v>2129</v>
      </c>
      <c r="B2105" s="1">
        <v>45869</v>
      </c>
      <c r="C2105" t="s">
        <v>13</v>
      </c>
      <c r="D2105" t="s">
        <v>14</v>
      </c>
      <c r="E2105" s="2">
        <v>3.34</v>
      </c>
      <c r="F2105" s="3">
        <v>12.52</v>
      </c>
      <c r="G2105" s="4">
        <v>62.08</v>
      </c>
      <c r="H2105">
        <v>1.5</v>
      </c>
      <c r="I2105" s="4">
        <v>93.12</v>
      </c>
      <c r="J2105">
        <v>3.3</v>
      </c>
      <c r="K2105" t="s">
        <v>15</v>
      </c>
      <c r="L2105" t="s">
        <v>28</v>
      </c>
      <c r="O2105"/>
    </row>
    <row r="2106" spans="1:15" x14ac:dyDescent="0.3">
      <c r="A2106" t="s">
        <v>2130</v>
      </c>
      <c r="B2106" s="1">
        <v>45699</v>
      </c>
      <c r="C2106" t="s">
        <v>25</v>
      </c>
      <c r="D2106" t="s">
        <v>13</v>
      </c>
      <c r="E2106" s="2">
        <v>17.149999999999999</v>
      </c>
      <c r="F2106" s="3">
        <v>63.56</v>
      </c>
      <c r="G2106" s="4">
        <v>225.53</v>
      </c>
      <c r="H2106">
        <v>1.5</v>
      </c>
      <c r="I2106" s="4">
        <v>338.3</v>
      </c>
      <c r="J2106">
        <v>4.5</v>
      </c>
      <c r="K2106" t="s">
        <v>15</v>
      </c>
      <c r="L2106" t="s">
        <v>19</v>
      </c>
      <c r="O2106"/>
    </row>
    <row r="2107" spans="1:15" x14ac:dyDescent="0.3">
      <c r="A2107" t="s">
        <v>2131</v>
      </c>
      <c r="B2107" s="1">
        <v>45784</v>
      </c>
      <c r="C2107" t="s">
        <v>14</v>
      </c>
      <c r="D2107" t="s">
        <v>25</v>
      </c>
      <c r="E2107" s="2">
        <v>27.86</v>
      </c>
      <c r="F2107" s="3">
        <v>76.83</v>
      </c>
      <c r="G2107" s="4">
        <v>326.95</v>
      </c>
      <c r="H2107">
        <v>1.2</v>
      </c>
      <c r="I2107" s="4">
        <v>392.34</v>
      </c>
      <c r="J2107">
        <v>4.2</v>
      </c>
      <c r="K2107" t="s">
        <v>18</v>
      </c>
      <c r="L2107" t="s">
        <v>26</v>
      </c>
      <c r="O2107"/>
    </row>
    <row r="2108" spans="1:15" x14ac:dyDescent="0.3">
      <c r="A2108" t="s">
        <v>2132</v>
      </c>
      <c r="B2108" s="1">
        <v>45840</v>
      </c>
      <c r="C2108" t="s">
        <v>13</v>
      </c>
      <c r="D2108" t="s">
        <v>22</v>
      </c>
      <c r="E2108" s="2">
        <v>21.93</v>
      </c>
      <c r="F2108" s="3">
        <v>50.02</v>
      </c>
      <c r="G2108" s="4">
        <v>304.69</v>
      </c>
      <c r="H2108">
        <v>1.5</v>
      </c>
      <c r="I2108" s="4">
        <v>457.04</v>
      </c>
      <c r="J2108">
        <v>3.5</v>
      </c>
      <c r="K2108" t="s">
        <v>15</v>
      </c>
      <c r="L2108" t="s">
        <v>26</v>
      </c>
      <c r="O2108"/>
    </row>
    <row r="2109" spans="1:15" x14ac:dyDescent="0.3">
      <c r="A2109" t="s">
        <v>2133</v>
      </c>
      <c r="B2109" s="1">
        <v>45753</v>
      </c>
      <c r="C2109" t="s">
        <v>13</v>
      </c>
      <c r="D2109" t="s">
        <v>21</v>
      </c>
      <c r="E2109" s="2">
        <v>1.08</v>
      </c>
      <c r="F2109" s="3">
        <v>4.09</v>
      </c>
      <c r="G2109" s="4">
        <v>20.350000000000001</v>
      </c>
      <c r="H2109">
        <v>2</v>
      </c>
      <c r="I2109" s="4">
        <v>40.700000000000003</v>
      </c>
      <c r="J2109">
        <v>3.9</v>
      </c>
      <c r="K2109" t="s">
        <v>15</v>
      </c>
      <c r="L2109" t="s">
        <v>19</v>
      </c>
      <c r="O2109"/>
    </row>
    <row r="2110" spans="1:15" x14ac:dyDescent="0.3">
      <c r="A2110" t="s">
        <v>2134</v>
      </c>
      <c r="B2110" s="1">
        <v>45983</v>
      </c>
      <c r="C2110" t="s">
        <v>21</v>
      </c>
      <c r="D2110" t="s">
        <v>13</v>
      </c>
      <c r="E2110" s="2">
        <v>23</v>
      </c>
      <c r="F2110" s="3">
        <v>71.81</v>
      </c>
      <c r="G2110" s="4">
        <v>299.05</v>
      </c>
      <c r="H2110">
        <v>1.2</v>
      </c>
      <c r="I2110" s="4">
        <v>358.86</v>
      </c>
      <c r="J2110">
        <v>3.6</v>
      </c>
      <c r="K2110" t="s">
        <v>36</v>
      </c>
      <c r="L2110" t="s">
        <v>19</v>
      </c>
      <c r="O2110"/>
    </row>
    <row r="2111" spans="1:15" x14ac:dyDescent="0.3">
      <c r="A2111" t="s">
        <v>2135</v>
      </c>
      <c r="B2111" s="1">
        <v>45953</v>
      </c>
      <c r="C2111" t="s">
        <v>14</v>
      </c>
      <c r="D2111" t="s">
        <v>25</v>
      </c>
      <c r="E2111" s="2">
        <v>27.28</v>
      </c>
      <c r="F2111" s="3">
        <v>61.69</v>
      </c>
      <c r="G2111" s="4">
        <v>428.67</v>
      </c>
      <c r="H2111">
        <v>1</v>
      </c>
      <c r="I2111" s="4">
        <v>428.67</v>
      </c>
      <c r="J2111">
        <v>4.4000000000000004</v>
      </c>
      <c r="K2111" t="s">
        <v>36</v>
      </c>
      <c r="L2111" t="s">
        <v>28</v>
      </c>
      <c r="O2111"/>
    </row>
    <row r="2112" spans="1:15" x14ac:dyDescent="0.3">
      <c r="A2112" t="s">
        <v>2136</v>
      </c>
      <c r="B2112" s="1">
        <v>45918</v>
      </c>
      <c r="C2112" t="s">
        <v>21</v>
      </c>
      <c r="D2112" t="s">
        <v>25</v>
      </c>
      <c r="E2112" s="2">
        <v>3.04</v>
      </c>
      <c r="F2112" s="3">
        <v>10.27</v>
      </c>
      <c r="G2112" s="4">
        <v>35.72</v>
      </c>
      <c r="H2112">
        <v>1</v>
      </c>
      <c r="I2112" s="4">
        <v>35.72</v>
      </c>
      <c r="J2112">
        <v>4.7</v>
      </c>
      <c r="K2112" t="s">
        <v>18</v>
      </c>
      <c r="L2112" t="s">
        <v>19</v>
      </c>
      <c r="O2112"/>
    </row>
    <row r="2113" spans="1:15" x14ac:dyDescent="0.3">
      <c r="A2113" t="s">
        <v>2137</v>
      </c>
      <c r="B2113" s="1">
        <v>45881</v>
      </c>
      <c r="C2113" t="s">
        <v>21</v>
      </c>
      <c r="D2113" t="s">
        <v>22</v>
      </c>
      <c r="E2113" s="2">
        <v>22.9</v>
      </c>
      <c r="F2113" s="3">
        <v>80.28</v>
      </c>
      <c r="G2113" s="4">
        <v>347.59</v>
      </c>
      <c r="H2113">
        <v>1.5</v>
      </c>
      <c r="I2113" s="4">
        <v>521.38</v>
      </c>
      <c r="J2113">
        <v>4.0999999999999996</v>
      </c>
      <c r="K2113" t="s">
        <v>36</v>
      </c>
      <c r="L2113" t="s">
        <v>19</v>
      </c>
      <c r="O2113"/>
    </row>
    <row r="2114" spans="1:15" x14ac:dyDescent="0.3">
      <c r="A2114" t="s">
        <v>2138</v>
      </c>
      <c r="B2114" s="1">
        <v>45868</v>
      </c>
      <c r="C2114" t="s">
        <v>21</v>
      </c>
      <c r="D2114" t="s">
        <v>13</v>
      </c>
      <c r="E2114" s="2">
        <v>27.61</v>
      </c>
      <c r="F2114" s="3">
        <v>85.4</v>
      </c>
      <c r="G2114" s="4">
        <v>415.8</v>
      </c>
      <c r="H2114">
        <v>1.5</v>
      </c>
      <c r="I2114" s="4">
        <v>623.70000000000005</v>
      </c>
      <c r="J2114">
        <v>3.1</v>
      </c>
      <c r="K2114" t="s">
        <v>33</v>
      </c>
      <c r="L2114" t="s">
        <v>26</v>
      </c>
      <c r="O2114"/>
    </row>
    <row r="2115" spans="1:15" x14ac:dyDescent="0.3">
      <c r="A2115" t="s">
        <v>2139</v>
      </c>
      <c r="B2115" s="1">
        <v>45992</v>
      </c>
      <c r="C2115" t="s">
        <v>13</v>
      </c>
      <c r="D2115" t="s">
        <v>21</v>
      </c>
      <c r="E2115" s="2">
        <v>5.08</v>
      </c>
      <c r="F2115" s="3">
        <v>19</v>
      </c>
      <c r="G2115" s="4">
        <v>85.14</v>
      </c>
      <c r="H2115">
        <v>1.2</v>
      </c>
      <c r="I2115" s="4">
        <v>102.17</v>
      </c>
      <c r="J2115">
        <v>3.7</v>
      </c>
      <c r="K2115" t="s">
        <v>15</v>
      </c>
      <c r="L2115" t="s">
        <v>26</v>
      </c>
      <c r="O2115"/>
    </row>
    <row r="2116" spans="1:15" x14ac:dyDescent="0.3">
      <c r="A2116" t="s">
        <v>2140</v>
      </c>
      <c r="B2116" s="1">
        <v>45805</v>
      </c>
      <c r="C2116" t="s">
        <v>22</v>
      </c>
      <c r="D2116" t="s">
        <v>25</v>
      </c>
      <c r="E2116" s="2">
        <v>7.98</v>
      </c>
      <c r="F2116" s="3">
        <v>29.96</v>
      </c>
      <c r="G2116" s="4">
        <v>111.34</v>
      </c>
      <c r="H2116">
        <v>1.5</v>
      </c>
      <c r="I2116" s="4">
        <v>167.01</v>
      </c>
      <c r="J2116">
        <v>4.7</v>
      </c>
      <c r="K2116" t="s">
        <v>33</v>
      </c>
      <c r="L2116" t="s">
        <v>28</v>
      </c>
      <c r="O2116"/>
    </row>
    <row r="2117" spans="1:15" x14ac:dyDescent="0.3">
      <c r="A2117" t="s">
        <v>2141</v>
      </c>
      <c r="B2117" s="1">
        <v>45904</v>
      </c>
      <c r="C2117" t="s">
        <v>25</v>
      </c>
      <c r="D2117" t="s">
        <v>25</v>
      </c>
      <c r="E2117" s="2">
        <v>16.13</v>
      </c>
      <c r="F2117" s="3">
        <v>38.5</v>
      </c>
      <c r="G2117" s="4">
        <v>305.18</v>
      </c>
      <c r="H2117">
        <v>1</v>
      </c>
      <c r="I2117" s="4">
        <v>305.18</v>
      </c>
      <c r="J2117">
        <v>4.9000000000000004</v>
      </c>
      <c r="K2117" t="s">
        <v>33</v>
      </c>
      <c r="L2117" t="s">
        <v>28</v>
      </c>
      <c r="O2117"/>
    </row>
    <row r="2118" spans="1:15" x14ac:dyDescent="0.3">
      <c r="A2118" t="s">
        <v>2142</v>
      </c>
      <c r="B2118" s="1">
        <v>45707</v>
      </c>
      <c r="C2118" t="s">
        <v>25</v>
      </c>
      <c r="D2118" t="s">
        <v>14</v>
      </c>
      <c r="E2118" s="2">
        <v>2.4700000000000002</v>
      </c>
      <c r="F2118" s="3">
        <v>8.23</v>
      </c>
      <c r="G2118" s="4">
        <v>26.47</v>
      </c>
      <c r="H2118">
        <v>1.5</v>
      </c>
      <c r="I2118" s="4">
        <v>39.700000000000003</v>
      </c>
      <c r="J2118">
        <v>3.9</v>
      </c>
      <c r="K2118" t="s">
        <v>30</v>
      </c>
      <c r="L2118" t="s">
        <v>19</v>
      </c>
      <c r="O2118"/>
    </row>
    <row r="2119" spans="1:15" x14ac:dyDescent="0.3">
      <c r="A2119" t="s">
        <v>2143</v>
      </c>
      <c r="B2119" s="1">
        <v>45787</v>
      </c>
      <c r="C2119" t="s">
        <v>25</v>
      </c>
      <c r="D2119" t="s">
        <v>14</v>
      </c>
      <c r="E2119" s="2">
        <v>25.43</v>
      </c>
      <c r="F2119" s="3">
        <v>74.56</v>
      </c>
      <c r="G2119" s="4">
        <v>278.07</v>
      </c>
      <c r="H2119">
        <v>1.5</v>
      </c>
      <c r="I2119" s="4">
        <v>417.1</v>
      </c>
      <c r="J2119">
        <v>3</v>
      </c>
      <c r="K2119" t="s">
        <v>15</v>
      </c>
      <c r="L2119" t="s">
        <v>28</v>
      </c>
      <c r="O2119"/>
    </row>
    <row r="2120" spans="1:15" x14ac:dyDescent="0.3">
      <c r="A2120" t="s">
        <v>2144</v>
      </c>
      <c r="B2120" s="1">
        <v>45720</v>
      </c>
      <c r="C2120" t="s">
        <v>22</v>
      </c>
      <c r="D2120" t="s">
        <v>21</v>
      </c>
      <c r="E2120" s="2">
        <v>6.54</v>
      </c>
      <c r="F2120" s="3">
        <v>13.28</v>
      </c>
      <c r="G2120" s="4">
        <v>92.74</v>
      </c>
      <c r="H2120">
        <v>2</v>
      </c>
      <c r="I2120" s="4">
        <v>185.48</v>
      </c>
      <c r="J2120">
        <v>4.5999999999999996</v>
      </c>
      <c r="K2120" t="s">
        <v>30</v>
      </c>
      <c r="L2120" t="s">
        <v>19</v>
      </c>
      <c r="O2120"/>
    </row>
    <row r="2121" spans="1:15" x14ac:dyDescent="0.3">
      <c r="A2121" t="s">
        <v>2145</v>
      </c>
      <c r="B2121" s="1">
        <v>45877</v>
      </c>
      <c r="C2121" t="s">
        <v>21</v>
      </c>
      <c r="D2121" t="s">
        <v>14</v>
      </c>
      <c r="E2121" s="2">
        <v>8.75</v>
      </c>
      <c r="F2121" s="3">
        <v>28.53</v>
      </c>
      <c r="G2121" s="4">
        <v>133.87</v>
      </c>
      <c r="H2121">
        <v>2</v>
      </c>
      <c r="I2121" s="4">
        <v>267.74</v>
      </c>
      <c r="J2121">
        <v>4.5999999999999996</v>
      </c>
      <c r="K2121" t="s">
        <v>36</v>
      </c>
      <c r="L2121" t="s">
        <v>26</v>
      </c>
      <c r="O2121"/>
    </row>
    <row r="2122" spans="1:15" x14ac:dyDescent="0.3">
      <c r="A2122" t="s">
        <v>2146</v>
      </c>
      <c r="B2122" s="1">
        <v>45844</v>
      </c>
      <c r="C2122" t="s">
        <v>14</v>
      </c>
      <c r="D2122" t="s">
        <v>21</v>
      </c>
      <c r="E2122" s="2">
        <v>26.73</v>
      </c>
      <c r="F2122" s="3">
        <v>67.319999999999993</v>
      </c>
      <c r="G2122" s="4">
        <v>300</v>
      </c>
      <c r="H2122">
        <v>1</v>
      </c>
      <c r="I2122" s="4">
        <v>300</v>
      </c>
      <c r="J2122">
        <v>3.7</v>
      </c>
      <c r="K2122" t="s">
        <v>30</v>
      </c>
      <c r="L2122" t="s">
        <v>16</v>
      </c>
      <c r="O2122"/>
    </row>
    <row r="2123" spans="1:15" x14ac:dyDescent="0.3">
      <c r="A2123" t="s">
        <v>2147</v>
      </c>
      <c r="B2123" s="1">
        <v>45698</v>
      </c>
      <c r="C2123" t="s">
        <v>21</v>
      </c>
      <c r="D2123" t="s">
        <v>21</v>
      </c>
      <c r="E2123" s="2">
        <v>10.02</v>
      </c>
      <c r="F2123" s="3">
        <v>29.87</v>
      </c>
      <c r="G2123" s="4">
        <v>177.63</v>
      </c>
      <c r="H2123">
        <v>2</v>
      </c>
      <c r="I2123" s="4">
        <v>355.26</v>
      </c>
      <c r="J2123">
        <v>3.3</v>
      </c>
      <c r="K2123" t="s">
        <v>33</v>
      </c>
      <c r="L2123" t="s">
        <v>26</v>
      </c>
      <c r="O2123"/>
    </row>
    <row r="2124" spans="1:15" x14ac:dyDescent="0.3">
      <c r="A2124" t="s">
        <v>2148</v>
      </c>
      <c r="B2124" s="1">
        <v>45675</v>
      </c>
      <c r="C2124" t="s">
        <v>14</v>
      </c>
      <c r="D2124" t="s">
        <v>25</v>
      </c>
      <c r="E2124" s="2">
        <v>22.73</v>
      </c>
      <c r="F2124" s="3">
        <v>69.98</v>
      </c>
      <c r="G2124" s="4">
        <v>424.11</v>
      </c>
      <c r="H2124">
        <v>2</v>
      </c>
      <c r="I2124" s="4">
        <v>848.22</v>
      </c>
      <c r="J2124">
        <v>5</v>
      </c>
      <c r="K2124" t="s">
        <v>36</v>
      </c>
      <c r="L2124" t="s">
        <v>28</v>
      </c>
      <c r="O2124"/>
    </row>
    <row r="2125" spans="1:15" x14ac:dyDescent="0.3">
      <c r="A2125" t="s">
        <v>2149</v>
      </c>
      <c r="B2125" s="1">
        <v>45987</v>
      </c>
      <c r="C2125" t="s">
        <v>25</v>
      </c>
      <c r="D2125" t="s">
        <v>22</v>
      </c>
      <c r="E2125" s="2">
        <v>14.03</v>
      </c>
      <c r="F2125" s="3">
        <v>39.909999999999997</v>
      </c>
      <c r="G2125" s="4">
        <v>175.73</v>
      </c>
      <c r="H2125">
        <v>1.2</v>
      </c>
      <c r="I2125" s="4">
        <v>210.88</v>
      </c>
      <c r="J2125">
        <v>4.4000000000000004</v>
      </c>
      <c r="K2125" t="s">
        <v>15</v>
      </c>
      <c r="L2125" t="s">
        <v>26</v>
      </c>
      <c r="O2125"/>
    </row>
    <row r="2126" spans="1:15" x14ac:dyDescent="0.3">
      <c r="A2126" t="s">
        <v>2150</v>
      </c>
      <c r="B2126" s="1">
        <v>46008</v>
      </c>
      <c r="C2126" t="s">
        <v>22</v>
      </c>
      <c r="D2126" t="s">
        <v>14</v>
      </c>
      <c r="E2126" s="2">
        <v>8.3000000000000007</v>
      </c>
      <c r="F2126" s="3">
        <v>21.11</v>
      </c>
      <c r="G2126" s="4">
        <v>142.82</v>
      </c>
      <c r="H2126">
        <v>1.5</v>
      </c>
      <c r="I2126" s="4">
        <v>214.23</v>
      </c>
      <c r="J2126">
        <v>3.1</v>
      </c>
      <c r="K2126" t="s">
        <v>33</v>
      </c>
      <c r="L2126" t="s">
        <v>16</v>
      </c>
      <c r="O2126"/>
    </row>
    <row r="2127" spans="1:15" x14ac:dyDescent="0.3">
      <c r="A2127" t="s">
        <v>2151</v>
      </c>
      <c r="B2127" s="1">
        <v>45899</v>
      </c>
      <c r="C2127" t="s">
        <v>21</v>
      </c>
      <c r="D2127" t="s">
        <v>13</v>
      </c>
      <c r="E2127" s="2">
        <v>7.42</v>
      </c>
      <c r="F2127" s="3">
        <v>16.05</v>
      </c>
      <c r="G2127" s="4">
        <v>96.52</v>
      </c>
      <c r="H2127">
        <v>1.2</v>
      </c>
      <c r="I2127" s="4">
        <v>115.82</v>
      </c>
      <c r="J2127">
        <v>4.0999999999999996</v>
      </c>
      <c r="K2127" t="s">
        <v>33</v>
      </c>
      <c r="L2127" t="s">
        <v>19</v>
      </c>
      <c r="O2127"/>
    </row>
    <row r="2128" spans="1:15" x14ac:dyDescent="0.3">
      <c r="A2128" t="s">
        <v>2152</v>
      </c>
      <c r="B2128" s="1">
        <v>45945</v>
      </c>
      <c r="C2128" t="s">
        <v>13</v>
      </c>
      <c r="D2128" t="s">
        <v>21</v>
      </c>
      <c r="E2128" s="2">
        <v>11.36</v>
      </c>
      <c r="F2128" s="3">
        <v>44.67</v>
      </c>
      <c r="G2128" s="4">
        <v>223.06</v>
      </c>
      <c r="H2128">
        <v>1.2</v>
      </c>
      <c r="I2128" s="4">
        <v>267.67</v>
      </c>
      <c r="J2128">
        <v>3.6</v>
      </c>
      <c r="K2128" t="s">
        <v>33</v>
      </c>
      <c r="L2128" t="s">
        <v>26</v>
      </c>
      <c r="O2128"/>
    </row>
    <row r="2129" spans="1:15" x14ac:dyDescent="0.3">
      <c r="A2129" t="s">
        <v>2153</v>
      </c>
      <c r="B2129" s="1">
        <v>45947</v>
      </c>
      <c r="C2129" t="s">
        <v>14</v>
      </c>
      <c r="D2129" t="s">
        <v>13</v>
      </c>
      <c r="E2129" s="2">
        <v>12.84</v>
      </c>
      <c r="F2129" s="3">
        <v>32.71</v>
      </c>
      <c r="G2129" s="4">
        <v>145.26</v>
      </c>
      <c r="H2129">
        <v>1.5</v>
      </c>
      <c r="I2129" s="4">
        <v>217.89</v>
      </c>
      <c r="J2129">
        <v>3.1</v>
      </c>
      <c r="K2129" t="s">
        <v>18</v>
      </c>
      <c r="L2129" t="s">
        <v>26</v>
      </c>
      <c r="O2129"/>
    </row>
    <row r="2130" spans="1:15" x14ac:dyDescent="0.3">
      <c r="A2130" t="s">
        <v>2154</v>
      </c>
      <c r="B2130" s="1">
        <v>45864</v>
      </c>
      <c r="C2130" t="s">
        <v>13</v>
      </c>
      <c r="D2130" t="s">
        <v>14</v>
      </c>
      <c r="E2130" s="2">
        <v>12.07</v>
      </c>
      <c r="F2130" s="3">
        <v>39.06</v>
      </c>
      <c r="G2130" s="4">
        <v>207.42</v>
      </c>
      <c r="H2130">
        <v>2</v>
      </c>
      <c r="I2130" s="4">
        <v>414.84</v>
      </c>
      <c r="J2130">
        <v>3.9</v>
      </c>
      <c r="K2130" t="s">
        <v>33</v>
      </c>
      <c r="L2130" t="s">
        <v>16</v>
      </c>
      <c r="O2130"/>
    </row>
    <row r="2131" spans="1:15" x14ac:dyDescent="0.3">
      <c r="A2131" t="s">
        <v>2155</v>
      </c>
      <c r="B2131" s="1">
        <v>45916</v>
      </c>
      <c r="C2131" t="s">
        <v>25</v>
      </c>
      <c r="D2131" t="s">
        <v>14</v>
      </c>
      <c r="E2131" s="2">
        <v>17.239999999999998</v>
      </c>
      <c r="F2131" s="3">
        <v>50.01</v>
      </c>
      <c r="G2131" s="4">
        <v>283.89</v>
      </c>
      <c r="H2131">
        <v>1</v>
      </c>
      <c r="I2131" s="4">
        <v>283.89</v>
      </c>
      <c r="J2131">
        <v>4.5</v>
      </c>
      <c r="K2131" t="s">
        <v>33</v>
      </c>
      <c r="L2131" t="s">
        <v>19</v>
      </c>
      <c r="O2131"/>
    </row>
    <row r="2132" spans="1:15" x14ac:dyDescent="0.3">
      <c r="A2132" t="s">
        <v>2156</v>
      </c>
      <c r="B2132" s="1">
        <v>45861</v>
      </c>
      <c r="C2132" t="s">
        <v>14</v>
      </c>
      <c r="D2132" t="s">
        <v>21</v>
      </c>
      <c r="E2132" s="2">
        <v>2.16</v>
      </c>
      <c r="F2132" s="3">
        <v>5.76</v>
      </c>
      <c r="G2132" s="4">
        <v>31.76</v>
      </c>
      <c r="H2132">
        <v>1.5</v>
      </c>
      <c r="I2132" s="4">
        <v>47.64</v>
      </c>
      <c r="J2132">
        <v>4.9000000000000004</v>
      </c>
      <c r="K2132" t="s">
        <v>33</v>
      </c>
      <c r="L2132" t="s">
        <v>19</v>
      </c>
      <c r="O2132"/>
    </row>
    <row r="2133" spans="1:15" x14ac:dyDescent="0.3">
      <c r="A2133" t="s">
        <v>2157</v>
      </c>
      <c r="B2133" s="1">
        <v>45767</v>
      </c>
      <c r="C2133" t="s">
        <v>14</v>
      </c>
      <c r="D2133" t="s">
        <v>25</v>
      </c>
      <c r="E2133" s="2">
        <v>24.96</v>
      </c>
      <c r="F2133" s="3">
        <v>86.43</v>
      </c>
      <c r="G2133" s="4">
        <v>496.54</v>
      </c>
      <c r="H2133">
        <v>1.2</v>
      </c>
      <c r="I2133" s="4">
        <v>595.85</v>
      </c>
      <c r="J2133">
        <v>3.1</v>
      </c>
      <c r="K2133" t="s">
        <v>36</v>
      </c>
      <c r="L2133" t="s">
        <v>26</v>
      </c>
      <c r="O2133"/>
    </row>
    <row r="2134" spans="1:15" x14ac:dyDescent="0.3">
      <c r="A2134" t="s">
        <v>2158</v>
      </c>
      <c r="B2134" s="1">
        <v>45663</v>
      </c>
      <c r="C2134" t="s">
        <v>21</v>
      </c>
      <c r="D2134" t="s">
        <v>22</v>
      </c>
      <c r="E2134" s="2">
        <v>11.24</v>
      </c>
      <c r="F2134" s="3">
        <v>44.27</v>
      </c>
      <c r="G2134" s="4">
        <v>148.22</v>
      </c>
      <c r="H2134">
        <v>1</v>
      </c>
      <c r="I2134" s="4">
        <v>148.22</v>
      </c>
      <c r="J2134">
        <v>4.5999999999999996</v>
      </c>
      <c r="K2134" t="s">
        <v>18</v>
      </c>
      <c r="L2134" t="s">
        <v>19</v>
      </c>
      <c r="O2134"/>
    </row>
    <row r="2135" spans="1:15" x14ac:dyDescent="0.3">
      <c r="A2135" t="s">
        <v>2159</v>
      </c>
      <c r="B2135" s="1">
        <v>45987</v>
      </c>
      <c r="C2135" t="s">
        <v>14</v>
      </c>
      <c r="D2135" t="s">
        <v>22</v>
      </c>
      <c r="E2135" s="2">
        <v>27.04</v>
      </c>
      <c r="F2135" s="3">
        <v>82.17</v>
      </c>
      <c r="G2135" s="4">
        <v>396.63</v>
      </c>
      <c r="H2135">
        <v>1</v>
      </c>
      <c r="I2135" s="4">
        <v>396.63</v>
      </c>
      <c r="J2135">
        <v>3.1</v>
      </c>
      <c r="K2135" t="s">
        <v>18</v>
      </c>
      <c r="L2135" t="s">
        <v>19</v>
      </c>
      <c r="O2135"/>
    </row>
    <row r="2136" spans="1:15" x14ac:dyDescent="0.3">
      <c r="A2136" t="s">
        <v>2160</v>
      </c>
      <c r="B2136" s="1">
        <v>45797</v>
      </c>
      <c r="C2136" t="s">
        <v>21</v>
      </c>
      <c r="D2136" t="s">
        <v>22</v>
      </c>
      <c r="E2136" s="2">
        <v>17.52</v>
      </c>
      <c r="F2136" s="3">
        <v>65.760000000000005</v>
      </c>
      <c r="G2136" s="4">
        <v>337.82</v>
      </c>
      <c r="H2136">
        <v>2</v>
      </c>
      <c r="I2136" s="4">
        <v>675.64</v>
      </c>
      <c r="J2136">
        <v>4.9000000000000004</v>
      </c>
      <c r="K2136" t="s">
        <v>30</v>
      </c>
      <c r="L2136" t="s">
        <v>19</v>
      </c>
      <c r="O2136"/>
    </row>
    <row r="2137" spans="1:15" x14ac:dyDescent="0.3">
      <c r="A2137" t="s">
        <v>2161</v>
      </c>
      <c r="B2137" s="1">
        <v>45766</v>
      </c>
      <c r="C2137" t="s">
        <v>21</v>
      </c>
      <c r="D2137" t="s">
        <v>14</v>
      </c>
      <c r="E2137" s="2">
        <v>13.74</v>
      </c>
      <c r="F2137" s="3">
        <v>47.98</v>
      </c>
      <c r="G2137" s="4">
        <v>165.54</v>
      </c>
      <c r="H2137">
        <v>1.5</v>
      </c>
      <c r="I2137" s="4">
        <v>248.31</v>
      </c>
      <c r="J2137">
        <v>4.3</v>
      </c>
      <c r="K2137" t="s">
        <v>30</v>
      </c>
      <c r="L2137" t="s">
        <v>19</v>
      </c>
      <c r="O2137"/>
    </row>
    <row r="2138" spans="1:15" x14ac:dyDescent="0.3">
      <c r="A2138" t="s">
        <v>2162</v>
      </c>
      <c r="B2138" s="1">
        <v>45678</v>
      </c>
      <c r="C2138" t="s">
        <v>13</v>
      </c>
      <c r="D2138" t="s">
        <v>25</v>
      </c>
      <c r="E2138" s="2">
        <v>26.78</v>
      </c>
      <c r="F2138" s="3">
        <v>87.92</v>
      </c>
      <c r="G2138" s="4">
        <v>440.14</v>
      </c>
      <c r="H2138">
        <v>2</v>
      </c>
      <c r="I2138" s="4">
        <v>880.28</v>
      </c>
      <c r="J2138">
        <v>3.9</v>
      </c>
      <c r="K2138" t="s">
        <v>33</v>
      </c>
      <c r="L2138" t="s">
        <v>26</v>
      </c>
      <c r="O2138"/>
    </row>
    <row r="2139" spans="1:15" x14ac:dyDescent="0.3">
      <c r="A2139" t="s">
        <v>2163</v>
      </c>
      <c r="B2139" s="1">
        <v>45722</v>
      </c>
      <c r="C2139" t="s">
        <v>13</v>
      </c>
      <c r="D2139" t="s">
        <v>22</v>
      </c>
      <c r="E2139" s="2">
        <v>23.49</v>
      </c>
      <c r="F2139" s="3">
        <v>60.52</v>
      </c>
      <c r="G2139" s="4">
        <v>311</v>
      </c>
      <c r="H2139">
        <v>1.2</v>
      </c>
      <c r="I2139" s="4">
        <v>373.2</v>
      </c>
      <c r="J2139">
        <v>4.9000000000000004</v>
      </c>
      <c r="K2139" t="s">
        <v>33</v>
      </c>
      <c r="L2139" t="s">
        <v>16</v>
      </c>
      <c r="O2139"/>
    </row>
    <row r="2140" spans="1:15" x14ac:dyDescent="0.3">
      <c r="A2140" t="s">
        <v>2164</v>
      </c>
      <c r="B2140" s="1">
        <v>45848</v>
      </c>
      <c r="C2140" t="s">
        <v>14</v>
      </c>
      <c r="D2140" t="s">
        <v>25</v>
      </c>
      <c r="E2140" s="2">
        <v>5.7</v>
      </c>
      <c r="F2140" s="3">
        <v>14.93</v>
      </c>
      <c r="G2140" s="4">
        <v>108.3</v>
      </c>
      <c r="H2140">
        <v>2</v>
      </c>
      <c r="I2140" s="4">
        <v>216.6</v>
      </c>
      <c r="J2140">
        <v>3.7</v>
      </c>
      <c r="K2140" t="s">
        <v>15</v>
      </c>
      <c r="L2140" t="s">
        <v>19</v>
      </c>
      <c r="O2140"/>
    </row>
    <row r="2141" spans="1:15" x14ac:dyDescent="0.3">
      <c r="A2141" t="s">
        <v>2165</v>
      </c>
      <c r="B2141" s="1">
        <v>45744</v>
      </c>
      <c r="C2141" t="s">
        <v>25</v>
      </c>
      <c r="D2141" t="s">
        <v>13</v>
      </c>
      <c r="E2141" s="2">
        <v>23.24</v>
      </c>
      <c r="F2141" s="3">
        <v>90.26</v>
      </c>
      <c r="G2141" s="4">
        <v>282.64</v>
      </c>
      <c r="H2141">
        <v>2</v>
      </c>
      <c r="I2141" s="4">
        <v>565.28</v>
      </c>
      <c r="J2141">
        <v>3.2</v>
      </c>
      <c r="K2141" t="s">
        <v>36</v>
      </c>
      <c r="L2141" t="s">
        <v>28</v>
      </c>
      <c r="O2141"/>
    </row>
    <row r="2142" spans="1:15" x14ac:dyDescent="0.3">
      <c r="A2142" t="s">
        <v>2166</v>
      </c>
      <c r="B2142" s="1">
        <v>45712</v>
      </c>
      <c r="C2142" t="s">
        <v>13</v>
      </c>
      <c r="D2142" t="s">
        <v>21</v>
      </c>
      <c r="E2142" s="2">
        <v>20.45</v>
      </c>
      <c r="F2142" s="3">
        <v>60.09</v>
      </c>
      <c r="G2142" s="4">
        <v>275.41000000000003</v>
      </c>
      <c r="H2142">
        <v>1.2</v>
      </c>
      <c r="I2142" s="4">
        <v>330.49</v>
      </c>
      <c r="J2142">
        <v>4.5999999999999996</v>
      </c>
      <c r="K2142" t="s">
        <v>30</v>
      </c>
      <c r="L2142" t="s">
        <v>28</v>
      </c>
      <c r="O2142"/>
    </row>
    <row r="2143" spans="1:15" x14ac:dyDescent="0.3">
      <c r="A2143" t="s">
        <v>2167</v>
      </c>
      <c r="B2143" s="1">
        <v>45762</v>
      </c>
      <c r="C2143" t="s">
        <v>21</v>
      </c>
      <c r="D2143" t="s">
        <v>25</v>
      </c>
      <c r="E2143" s="2">
        <v>1.65</v>
      </c>
      <c r="F2143" s="3">
        <v>5.31</v>
      </c>
      <c r="G2143" s="4">
        <v>22.57</v>
      </c>
      <c r="H2143">
        <v>1.2</v>
      </c>
      <c r="I2143" s="4">
        <v>27.08</v>
      </c>
      <c r="J2143">
        <v>3.5</v>
      </c>
      <c r="K2143" t="s">
        <v>18</v>
      </c>
      <c r="L2143" t="s">
        <v>16</v>
      </c>
      <c r="O2143"/>
    </row>
    <row r="2144" spans="1:15" x14ac:dyDescent="0.3">
      <c r="A2144" t="s">
        <v>2168</v>
      </c>
      <c r="B2144" s="1">
        <v>45864</v>
      </c>
      <c r="C2144" t="s">
        <v>22</v>
      </c>
      <c r="D2144" t="s">
        <v>22</v>
      </c>
      <c r="E2144" s="2">
        <v>6.18</v>
      </c>
      <c r="F2144" s="3">
        <v>21.72</v>
      </c>
      <c r="G2144" s="4">
        <v>64.739999999999995</v>
      </c>
      <c r="H2144">
        <v>2</v>
      </c>
      <c r="I2144" s="4">
        <v>129.47999999999999</v>
      </c>
      <c r="J2144">
        <v>4.3</v>
      </c>
      <c r="K2144" t="s">
        <v>15</v>
      </c>
      <c r="L2144" t="s">
        <v>19</v>
      </c>
      <c r="O2144"/>
    </row>
    <row r="2145" spans="1:15" x14ac:dyDescent="0.3">
      <c r="A2145" t="s">
        <v>2169</v>
      </c>
      <c r="B2145" s="1">
        <v>45833</v>
      </c>
      <c r="C2145" t="s">
        <v>21</v>
      </c>
      <c r="D2145" t="s">
        <v>13</v>
      </c>
      <c r="E2145" s="2">
        <v>17.8</v>
      </c>
      <c r="F2145" s="3">
        <v>67.72</v>
      </c>
      <c r="G2145" s="4">
        <v>180.12</v>
      </c>
      <c r="H2145">
        <v>1.2</v>
      </c>
      <c r="I2145" s="4">
        <v>216.14</v>
      </c>
      <c r="J2145">
        <v>3.7</v>
      </c>
      <c r="K2145" t="s">
        <v>33</v>
      </c>
      <c r="L2145" t="s">
        <v>28</v>
      </c>
      <c r="O2145"/>
    </row>
    <row r="2146" spans="1:15" x14ac:dyDescent="0.3">
      <c r="A2146" t="s">
        <v>2170</v>
      </c>
      <c r="B2146" s="1">
        <v>45743</v>
      </c>
      <c r="C2146" t="s">
        <v>13</v>
      </c>
      <c r="D2146" t="s">
        <v>22</v>
      </c>
      <c r="E2146" s="2">
        <v>17.829999999999998</v>
      </c>
      <c r="F2146" s="3">
        <v>43.7</v>
      </c>
      <c r="G2146" s="4">
        <v>189.87</v>
      </c>
      <c r="H2146">
        <v>1.5</v>
      </c>
      <c r="I2146" s="4">
        <v>284.8</v>
      </c>
      <c r="J2146">
        <v>3.2</v>
      </c>
      <c r="K2146" t="s">
        <v>30</v>
      </c>
      <c r="L2146" t="s">
        <v>16</v>
      </c>
      <c r="O2146"/>
    </row>
    <row r="2147" spans="1:15" x14ac:dyDescent="0.3">
      <c r="A2147" t="s">
        <v>2171</v>
      </c>
      <c r="B2147" s="1">
        <v>45928</v>
      </c>
      <c r="C2147" t="s">
        <v>25</v>
      </c>
      <c r="D2147" t="s">
        <v>13</v>
      </c>
      <c r="E2147" s="2">
        <v>19.05</v>
      </c>
      <c r="F2147" s="3">
        <v>46.12</v>
      </c>
      <c r="G2147" s="4">
        <v>255.03</v>
      </c>
      <c r="H2147">
        <v>1.2</v>
      </c>
      <c r="I2147" s="4">
        <v>306.04000000000002</v>
      </c>
      <c r="J2147">
        <v>4.9000000000000004</v>
      </c>
      <c r="K2147" t="s">
        <v>36</v>
      </c>
      <c r="L2147" t="s">
        <v>26</v>
      </c>
      <c r="O2147"/>
    </row>
    <row r="2148" spans="1:15" x14ac:dyDescent="0.3">
      <c r="A2148" t="s">
        <v>2172</v>
      </c>
      <c r="B2148" s="1">
        <v>45901</v>
      </c>
      <c r="C2148" t="s">
        <v>14</v>
      </c>
      <c r="D2148" t="s">
        <v>14</v>
      </c>
      <c r="E2148" s="2">
        <v>11.8</v>
      </c>
      <c r="F2148" s="3">
        <v>30.21</v>
      </c>
      <c r="G2148" s="4">
        <v>150.30000000000001</v>
      </c>
      <c r="H2148">
        <v>1</v>
      </c>
      <c r="I2148" s="4">
        <v>150.30000000000001</v>
      </c>
      <c r="J2148">
        <v>3.1</v>
      </c>
      <c r="K2148" t="s">
        <v>33</v>
      </c>
      <c r="L2148" t="s">
        <v>19</v>
      </c>
      <c r="O2148"/>
    </row>
    <row r="2149" spans="1:15" x14ac:dyDescent="0.3">
      <c r="A2149" t="s">
        <v>2173</v>
      </c>
      <c r="B2149" s="1">
        <v>45903</v>
      </c>
      <c r="C2149" t="s">
        <v>14</v>
      </c>
      <c r="D2149" t="s">
        <v>21</v>
      </c>
      <c r="E2149" s="2">
        <v>12.1</v>
      </c>
      <c r="F2149" s="3">
        <v>32.090000000000003</v>
      </c>
      <c r="G2149" s="4">
        <v>149.75</v>
      </c>
      <c r="H2149">
        <v>2</v>
      </c>
      <c r="I2149" s="4">
        <v>299.5</v>
      </c>
      <c r="J2149">
        <v>4.3</v>
      </c>
      <c r="K2149" t="s">
        <v>36</v>
      </c>
      <c r="L2149" t="s">
        <v>16</v>
      </c>
      <c r="O2149"/>
    </row>
    <row r="2150" spans="1:15" x14ac:dyDescent="0.3">
      <c r="A2150" t="s">
        <v>2174</v>
      </c>
      <c r="B2150" s="1">
        <v>45743</v>
      </c>
      <c r="C2150" t="s">
        <v>13</v>
      </c>
      <c r="D2150" t="s">
        <v>14</v>
      </c>
      <c r="E2150" s="2">
        <v>20.89</v>
      </c>
      <c r="F2150" s="3">
        <v>72.88</v>
      </c>
      <c r="G2150" s="4">
        <v>383.2</v>
      </c>
      <c r="H2150">
        <v>1.5</v>
      </c>
      <c r="I2150" s="4">
        <v>574.79999999999995</v>
      </c>
      <c r="J2150">
        <v>3.4</v>
      </c>
      <c r="K2150" t="s">
        <v>30</v>
      </c>
      <c r="L2150" t="s">
        <v>19</v>
      </c>
      <c r="O2150"/>
    </row>
    <row r="2151" spans="1:15" x14ac:dyDescent="0.3">
      <c r="A2151" t="s">
        <v>2175</v>
      </c>
      <c r="B2151" s="1">
        <v>45855</v>
      </c>
      <c r="C2151" t="s">
        <v>14</v>
      </c>
      <c r="D2151" t="s">
        <v>25</v>
      </c>
      <c r="E2151" s="2">
        <v>17.5</v>
      </c>
      <c r="F2151" s="3">
        <v>60.88</v>
      </c>
      <c r="G2151" s="4">
        <v>312.14</v>
      </c>
      <c r="H2151">
        <v>2</v>
      </c>
      <c r="I2151" s="4">
        <v>624.28</v>
      </c>
      <c r="J2151">
        <v>4.9000000000000004</v>
      </c>
      <c r="K2151" t="s">
        <v>18</v>
      </c>
      <c r="L2151" t="s">
        <v>28</v>
      </c>
      <c r="O2151"/>
    </row>
    <row r="2152" spans="1:15" x14ac:dyDescent="0.3">
      <c r="A2152" t="s">
        <v>2176</v>
      </c>
      <c r="B2152" s="1">
        <v>45997</v>
      </c>
      <c r="C2152" t="s">
        <v>21</v>
      </c>
      <c r="D2152" t="s">
        <v>21</v>
      </c>
      <c r="E2152" s="2">
        <v>19.010000000000002</v>
      </c>
      <c r="F2152" s="3">
        <v>69.180000000000007</v>
      </c>
      <c r="G2152" s="4">
        <v>334.84</v>
      </c>
      <c r="H2152">
        <v>1.2</v>
      </c>
      <c r="I2152" s="4">
        <v>401.81</v>
      </c>
      <c r="J2152">
        <v>4.8</v>
      </c>
      <c r="K2152" t="s">
        <v>30</v>
      </c>
      <c r="L2152" t="s">
        <v>16</v>
      </c>
      <c r="O2152"/>
    </row>
    <row r="2153" spans="1:15" x14ac:dyDescent="0.3">
      <c r="A2153" t="s">
        <v>2177</v>
      </c>
      <c r="B2153" s="1">
        <v>45688</v>
      </c>
      <c r="C2153" t="s">
        <v>22</v>
      </c>
      <c r="D2153" t="s">
        <v>13</v>
      </c>
      <c r="E2153" s="2">
        <v>13.69</v>
      </c>
      <c r="F2153" s="3">
        <v>34.39</v>
      </c>
      <c r="G2153" s="4">
        <v>153.31</v>
      </c>
      <c r="H2153">
        <v>2</v>
      </c>
      <c r="I2153" s="4">
        <v>306.62</v>
      </c>
      <c r="J2153">
        <v>3.8</v>
      </c>
      <c r="K2153" t="s">
        <v>36</v>
      </c>
      <c r="L2153" t="s">
        <v>26</v>
      </c>
      <c r="O2153"/>
    </row>
    <row r="2154" spans="1:15" x14ac:dyDescent="0.3">
      <c r="A2154" t="s">
        <v>2178</v>
      </c>
      <c r="B2154" s="1">
        <v>45933</v>
      </c>
      <c r="C2154" t="s">
        <v>21</v>
      </c>
      <c r="D2154" t="s">
        <v>13</v>
      </c>
      <c r="E2154" s="2">
        <v>2.11</v>
      </c>
      <c r="F2154" s="3">
        <v>5.38</v>
      </c>
      <c r="G2154" s="4">
        <v>38.72</v>
      </c>
      <c r="H2154">
        <v>1</v>
      </c>
      <c r="I2154" s="4">
        <v>38.72</v>
      </c>
      <c r="J2154">
        <v>3.5</v>
      </c>
      <c r="K2154" t="s">
        <v>36</v>
      </c>
      <c r="L2154" t="s">
        <v>19</v>
      </c>
      <c r="O2154"/>
    </row>
    <row r="2155" spans="1:15" x14ac:dyDescent="0.3">
      <c r="A2155" t="s">
        <v>2179</v>
      </c>
      <c r="B2155" s="1">
        <v>45930</v>
      </c>
      <c r="C2155" t="s">
        <v>21</v>
      </c>
      <c r="D2155" t="s">
        <v>14</v>
      </c>
      <c r="E2155" s="2">
        <v>2.52</v>
      </c>
      <c r="F2155" s="3">
        <v>7.19</v>
      </c>
      <c r="G2155" s="4">
        <v>48.68</v>
      </c>
      <c r="H2155">
        <v>1.5</v>
      </c>
      <c r="I2155" s="4">
        <v>73.02</v>
      </c>
      <c r="J2155">
        <v>3.1</v>
      </c>
      <c r="K2155" t="s">
        <v>33</v>
      </c>
      <c r="L2155" t="s">
        <v>26</v>
      </c>
      <c r="O2155"/>
    </row>
    <row r="2156" spans="1:15" x14ac:dyDescent="0.3">
      <c r="A2156" t="s">
        <v>2180</v>
      </c>
      <c r="B2156" s="1">
        <v>45963</v>
      </c>
      <c r="C2156" t="s">
        <v>22</v>
      </c>
      <c r="D2156" t="s">
        <v>25</v>
      </c>
      <c r="E2156" s="2">
        <v>3.96</v>
      </c>
      <c r="F2156" s="3">
        <v>11.83</v>
      </c>
      <c r="G2156" s="4">
        <v>67.180000000000007</v>
      </c>
      <c r="H2156">
        <v>1.5</v>
      </c>
      <c r="I2156" s="4">
        <v>100.77</v>
      </c>
      <c r="J2156">
        <v>3.8</v>
      </c>
      <c r="K2156" t="s">
        <v>36</v>
      </c>
      <c r="L2156" t="s">
        <v>19</v>
      </c>
      <c r="O2156"/>
    </row>
    <row r="2157" spans="1:15" x14ac:dyDescent="0.3">
      <c r="A2157" t="s">
        <v>2181</v>
      </c>
      <c r="B2157" s="1">
        <v>45830</v>
      </c>
      <c r="C2157" t="s">
        <v>25</v>
      </c>
      <c r="D2157" t="s">
        <v>14</v>
      </c>
      <c r="E2157" s="2">
        <v>25.42</v>
      </c>
      <c r="F2157" s="3">
        <v>51.37</v>
      </c>
      <c r="G2157" s="4">
        <v>415.99</v>
      </c>
      <c r="H2157">
        <v>2</v>
      </c>
      <c r="I2157" s="4">
        <v>831.98</v>
      </c>
      <c r="J2157">
        <v>4.5999999999999996</v>
      </c>
      <c r="K2157" t="s">
        <v>30</v>
      </c>
      <c r="L2157" t="s">
        <v>16</v>
      </c>
      <c r="O2157"/>
    </row>
    <row r="2158" spans="1:15" x14ac:dyDescent="0.3">
      <c r="A2158" t="s">
        <v>2182</v>
      </c>
      <c r="B2158" s="1">
        <v>45834</v>
      </c>
      <c r="C2158" t="s">
        <v>22</v>
      </c>
      <c r="D2158" t="s">
        <v>25</v>
      </c>
      <c r="E2158" s="2">
        <v>20.07</v>
      </c>
      <c r="F2158" s="3">
        <v>73.64</v>
      </c>
      <c r="G2158" s="4">
        <v>312.77</v>
      </c>
      <c r="H2158">
        <v>1.5</v>
      </c>
      <c r="I2158" s="4">
        <v>469.16</v>
      </c>
      <c r="J2158">
        <v>4</v>
      </c>
      <c r="K2158" t="s">
        <v>33</v>
      </c>
      <c r="L2158" t="s">
        <v>26</v>
      </c>
      <c r="O2158"/>
    </row>
    <row r="2159" spans="1:15" x14ac:dyDescent="0.3">
      <c r="A2159" t="s">
        <v>2183</v>
      </c>
      <c r="B2159" s="1">
        <v>45924</v>
      </c>
      <c r="C2159" t="s">
        <v>21</v>
      </c>
      <c r="D2159" t="s">
        <v>21</v>
      </c>
      <c r="E2159" s="2">
        <v>16.77</v>
      </c>
      <c r="F2159" s="3">
        <v>56.04</v>
      </c>
      <c r="G2159" s="4">
        <v>170.94</v>
      </c>
      <c r="H2159">
        <v>1.2</v>
      </c>
      <c r="I2159" s="4">
        <v>205.13</v>
      </c>
      <c r="J2159">
        <v>4.7</v>
      </c>
      <c r="K2159" t="s">
        <v>30</v>
      </c>
      <c r="L2159" t="s">
        <v>28</v>
      </c>
      <c r="O2159"/>
    </row>
    <row r="2160" spans="1:15" x14ac:dyDescent="0.3">
      <c r="A2160" t="s">
        <v>2184</v>
      </c>
      <c r="B2160" s="1">
        <v>45685</v>
      </c>
      <c r="C2160" t="s">
        <v>13</v>
      </c>
      <c r="D2160" t="s">
        <v>21</v>
      </c>
      <c r="E2160" s="2">
        <v>10.96</v>
      </c>
      <c r="F2160" s="3">
        <v>36.57</v>
      </c>
      <c r="G2160" s="4">
        <v>134.61000000000001</v>
      </c>
      <c r="H2160">
        <v>1.2</v>
      </c>
      <c r="I2160" s="4">
        <v>161.53</v>
      </c>
      <c r="J2160">
        <v>3.9</v>
      </c>
      <c r="K2160" t="s">
        <v>33</v>
      </c>
      <c r="L2160" t="s">
        <v>26</v>
      </c>
      <c r="O2160"/>
    </row>
    <row r="2161" spans="1:15" x14ac:dyDescent="0.3">
      <c r="A2161" t="s">
        <v>2185</v>
      </c>
      <c r="B2161" s="1">
        <v>45847</v>
      </c>
      <c r="C2161" t="s">
        <v>25</v>
      </c>
      <c r="D2161" t="s">
        <v>14</v>
      </c>
      <c r="E2161" s="2">
        <v>11.05</v>
      </c>
      <c r="F2161" s="3">
        <v>35.26</v>
      </c>
      <c r="G2161" s="4">
        <v>217.79</v>
      </c>
      <c r="H2161">
        <v>1</v>
      </c>
      <c r="I2161" s="4">
        <v>217.79</v>
      </c>
      <c r="J2161">
        <v>4.8</v>
      </c>
      <c r="K2161" t="s">
        <v>33</v>
      </c>
      <c r="L2161" t="s">
        <v>26</v>
      </c>
      <c r="O2161"/>
    </row>
    <row r="2162" spans="1:15" x14ac:dyDescent="0.3">
      <c r="A2162" t="s">
        <v>2186</v>
      </c>
      <c r="B2162" s="1">
        <v>45905</v>
      </c>
      <c r="C2162" t="s">
        <v>14</v>
      </c>
      <c r="D2162" t="s">
        <v>25</v>
      </c>
      <c r="E2162" s="2">
        <v>1.03</v>
      </c>
      <c r="F2162" s="3">
        <v>3.92</v>
      </c>
      <c r="G2162" s="4">
        <v>16.170000000000002</v>
      </c>
      <c r="H2162">
        <v>1</v>
      </c>
      <c r="I2162" s="4">
        <v>16.170000000000002</v>
      </c>
      <c r="J2162">
        <v>3.8</v>
      </c>
      <c r="K2162" t="s">
        <v>36</v>
      </c>
      <c r="L2162" t="s">
        <v>28</v>
      </c>
      <c r="O2162"/>
    </row>
    <row r="2163" spans="1:15" x14ac:dyDescent="0.3">
      <c r="A2163" t="s">
        <v>2187</v>
      </c>
      <c r="B2163" s="1">
        <v>45906</v>
      </c>
      <c r="C2163" t="s">
        <v>25</v>
      </c>
      <c r="D2163" t="s">
        <v>21</v>
      </c>
      <c r="E2163" s="2">
        <v>12.6</v>
      </c>
      <c r="F2163" s="3">
        <v>26.06</v>
      </c>
      <c r="G2163" s="4">
        <v>229.46</v>
      </c>
      <c r="H2163">
        <v>1.5</v>
      </c>
      <c r="I2163" s="4">
        <v>344.19</v>
      </c>
      <c r="J2163">
        <v>4.2</v>
      </c>
      <c r="K2163" t="s">
        <v>30</v>
      </c>
      <c r="L2163" t="s">
        <v>28</v>
      </c>
      <c r="O2163"/>
    </row>
    <row r="2164" spans="1:15" x14ac:dyDescent="0.3">
      <c r="A2164" t="s">
        <v>2188</v>
      </c>
      <c r="B2164" s="1">
        <v>45992</v>
      </c>
      <c r="C2164" t="s">
        <v>25</v>
      </c>
      <c r="D2164" t="s">
        <v>13</v>
      </c>
      <c r="E2164" s="2">
        <v>18.22</v>
      </c>
      <c r="F2164" s="3">
        <v>44.02</v>
      </c>
      <c r="G2164" s="4">
        <v>241.21</v>
      </c>
      <c r="H2164">
        <v>1</v>
      </c>
      <c r="I2164" s="4">
        <v>241.21</v>
      </c>
      <c r="J2164">
        <v>4.9000000000000004</v>
      </c>
      <c r="K2164" t="s">
        <v>33</v>
      </c>
      <c r="L2164" t="s">
        <v>19</v>
      </c>
      <c r="O2164"/>
    </row>
    <row r="2165" spans="1:15" x14ac:dyDescent="0.3">
      <c r="A2165" t="s">
        <v>2189</v>
      </c>
      <c r="B2165" s="1">
        <v>45687</v>
      </c>
      <c r="C2165" t="s">
        <v>14</v>
      </c>
      <c r="D2165" t="s">
        <v>25</v>
      </c>
      <c r="E2165" s="2">
        <v>16.45</v>
      </c>
      <c r="F2165" s="3">
        <v>57.87</v>
      </c>
      <c r="G2165" s="4">
        <v>290.02</v>
      </c>
      <c r="H2165">
        <v>1.5</v>
      </c>
      <c r="I2165" s="4">
        <v>435.03</v>
      </c>
      <c r="J2165">
        <v>3.2</v>
      </c>
      <c r="K2165" t="s">
        <v>18</v>
      </c>
      <c r="L2165" t="s">
        <v>26</v>
      </c>
      <c r="O2165"/>
    </row>
    <row r="2166" spans="1:15" x14ac:dyDescent="0.3">
      <c r="A2166" t="s">
        <v>2190</v>
      </c>
      <c r="B2166" s="1">
        <v>45904</v>
      </c>
      <c r="C2166" t="s">
        <v>13</v>
      </c>
      <c r="D2166" t="s">
        <v>14</v>
      </c>
      <c r="E2166" s="2">
        <v>26.14</v>
      </c>
      <c r="F2166" s="3">
        <v>75.09</v>
      </c>
      <c r="G2166" s="4">
        <v>272.95999999999998</v>
      </c>
      <c r="H2166">
        <v>2</v>
      </c>
      <c r="I2166" s="4">
        <v>545.91999999999996</v>
      </c>
      <c r="J2166">
        <v>4.5999999999999996</v>
      </c>
      <c r="K2166" t="s">
        <v>36</v>
      </c>
      <c r="L2166" t="s">
        <v>26</v>
      </c>
      <c r="O2166"/>
    </row>
    <row r="2167" spans="1:15" x14ac:dyDescent="0.3">
      <c r="A2167" t="s">
        <v>2191</v>
      </c>
      <c r="B2167" s="1">
        <v>45899</v>
      </c>
      <c r="C2167" t="s">
        <v>25</v>
      </c>
      <c r="D2167" t="s">
        <v>14</v>
      </c>
      <c r="E2167" s="2">
        <v>8.61</v>
      </c>
      <c r="F2167" s="3">
        <v>21.44</v>
      </c>
      <c r="G2167" s="4">
        <v>169.25</v>
      </c>
      <c r="H2167">
        <v>1.2</v>
      </c>
      <c r="I2167" s="4">
        <v>203.1</v>
      </c>
      <c r="J2167">
        <v>4.3</v>
      </c>
      <c r="K2167" t="s">
        <v>30</v>
      </c>
      <c r="L2167" t="s">
        <v>26</v>
      </c>
      <c r="O2167"/>
    </row>
    <row r="2168" spans="1:15" x14ac:dyDescent="0.3">
      <c r="A2168" t="s">
        <v>2192</v>
      </c>
      <c r="B2168" s="1">
        <v>45945</v>
      </c>
      <c r="C2168" t="s">
        <v>22</v>
      </c>
      <c r="D2168" t="s">
        <v>14</v>
      </c>
      <c r="E2168" s="2">
        <v>6.79</v>
      </c>
      <c r="F2168" s="3">
        <v>26.44</v>
      </c>
      <c r="G2168" s="4">
        <v>91.14</v>
      </c>
      <c r="H2168">
        <v>1.5</v>
      </c>
      <c r="I2168" s="4">
        <v>136.71</v>
      </c>
      <c r="J2168">
        <v>4.2</v>
      </c>
      <c r="K2168" t="s">
        <v>18</v>
      </c>
      <c r="L2168" t="s">
        <v>28</v>
      </c>
      <c r="O2168"/>
    </row>
    <row r="2169" spans="1:15" x14ac:dyDescent="0.3">
      <c r="A2169" t="s">
        <v>2193</v>
      </c>
      <c r="B2169" s="1">
        <v>45807</v>
      </c>
      <c r="C2169" t="s">
        <v>22</v>
      </c>
      <c r="D2169" t="s">
        <v>14</v>
      </c>
      <c r="E2169" s="2">
        <v>27.24</v>
      </c>
      <c r="F2169" s="3">
        <v>80.36</v>
      </c>
      <c r="G2169" s="4">
        <v>333.4</v>
      </c>
      <c r="H2169">
        <v>1.2</v>
      </c>
      <c r="I2169" s="4">
        <v>400.08</v>
      </c>
      <c r="J2169">
        <v>3.1</v>
      </c>
      <c r="K2169" t="s">
        <v>18</v>
      </c>
      <c r="L2169" t="s">
        <v>16</v>
      </c>
      <c r="O2169"/>
    </row>
    <row r="2170" spans="1:15" x14ac:dyDescent="0.3">
      <c r="A2170" t="s">
        <v>2194</v>
      </c>
      <c r="B2170" s="1">
        <v>45977</v>
      </c>
      <c r="C2170" t="s">
        <v>14</v>
      </c>
      <c r="D2170" t="s">
        <v>14</v>
      </c>
      <c r="E2170" s="2">
        <v>9.89</v>
      </c>
      <c r="F2170" s="3">
        <v>36.28</v>
      </c>
      <c r="G2170" s="4">
        <v>129.44</v>
      </c>
      <c r="H2170">
        <v>1.2</v>
      </c>
      <c r="I2170" s="4">
        <v>155.33000000000001</v>
      </c>
      <c r="J2170">
        <v>3.4</v>
      </c>
      <c r="K2170" t="s">
        <v>18</v>
      </c>
      <c r="L2170" t="s">
        <v>19</v>
      </c>
      <c r="O2170"/>
    </row>
    <row r="2171" spans="1:15" x14ac:dyDescent="0.3">
      <c r="A2171" t="s">
        <v>2195</v>
      </c>
      <c r="B2171" s="1">
        <v>45789</v>
      </c>
      <c r="C2171" t="s">
        <v>14</v>
      </c>
      <c r="D2171" t="s">
        <v>21</v>
      </c>
      <c r="E2171" s="2">
        <v>4.38</v>
      </c>
      <c r="F2171" s="3">
        <v>9.1</v>
      </c>
      <c r="G2171" s="4">
        <v>75.53</v>
      </c>
      <c r="H2171">
        <v>1.5</v>
      </c>
      <c r="I2171" s="4">
        <v>113.3</v>
      </c>
      <c r="J2171">
        <v>3</v>
      </c>
      <c r="K2171" t="s">
        <v>36</v>
      </c>
      <c r="L2171" t="s">
        <v>16</v>
      </c>
      <c r="O2171"/>
    </row>
    <row r="2172" spans="1:15" x14ac:dyDescent="0.3">
      <c r="A2172" t="s">
        <v>2196</v>
      </c>
      <c r="B2172" s="1">
        <v>45805</v>
      </c>
      <c r="C2172" t="s">
        <v>22</v>
      </c>
      <c r="D2172" t="s">
        <v>25</v>
      </c>
      <c r="E2172" s="2">
        <v>9.57</v>
      </c>
      <c r="F2172" s="3">
        <v>37.229999999999997</v>
      </c>
      <c r="G2172" s="4">
        <v>190.22</v>
      </c>
      <c r="H2172">
        <v>1.2</v>
      </c>
      <c r="I2172" s="4">
        <v>228.26</v>
      </c>
      <c r="J2172">
        <v>3.1</v>
      </c>
      <c r="K2172" t="s">
        <v>18</v>
      </c>
      <c r="L2172" t="s">
        <v>19</v>
      </c>
      <c r="O2172"/>
    </row>
    <row r="2173" spans="1:15" x14ac:dyDescent="0.3">
      <c r="A2173" t="s">
        <v>2197</v>
      </c>
      <c r="B2173" s="1">
        <v>45665</v>
      </c>
      <c r="C2173" t="s">
        <v>14</v>
      </c>
      <c r="D2173" t="s">
        <v>22</v>
      </c>
      <c r="E2173" s="2">
        <v>15.76</v>
      </c>
      <c r="F2173" s="3">
        <v>46.17</v>
      </c>
      <c r="G2173" s="4">
        <v>307.57</v>
      </c>
      <c r="H2173">
        <v>2</v>
      </c>
      <c r="I2173" s="4">
        <v>615.14</v>
      </c>
      <c r="J2173">
        <v>4.7</v>
      </c>
      <c r="K2173" t="s">
        <v>33</v>
      </c>
      <c r="L2173" t="s">
        <v>16</v>
      </c>
      <c r="O2173"/>
    </row>
    <row r="2174" spans="1:15" x14ac:dyDescent="0.3">
      <c r="A2174" t="s">
        <v>2198</v>
      </c>
      <c r="B2174" s="1">
        <v>45692</v>
      </c>
      <c r="C2174" t="s">
        <v>25</v>
      </c>
      <c r="D2174" t="s">
        <v>25</v>
      </c>
      <c r="E2174" s="2">
        <v>18.46</v>
      </c>
      <c r="F2174" s="3">
        <v>53.72</v>
      </c>
      <c r="G2174" s="4">
        <v>250.35</v>
      </c>
      <c r="H2174">
        <v>1</v>
      </c>
      <c r="I2174" s="4">
        <v>250.35</v>
      </c>
      <c r="J2174">
        <v>4.5</v>
      </c>
      <c r="K2174" t="s">
        <v>15</v>
      </c>
      <c r="L2174" t="s">
        <v>19</v>
      </c>
      <c r="O2174"/>
    </row>
    <row r="2175" spans="1:15" x14ac:dyDescent="0.3">
      <c r="A2175" t="s">
        <v>2199</v>
      </c>
      <c r="B2175" s="1">
        <v>45899</v>
      </c>
      <c r="C2175" t="s">
        <v>14</v>
      </c>
      <c r="D2175" t="s">
        <v>22</v>
      </c>
      <c r="E2175" s="2">
        <v>1.38</v>
      </c>
      <c r="F2175" s="3">
        <v>4.6500000000000004</v>
      </c>
      <c r="G2175" s="4">
        <v>14.06</v>
      </c>
      <c r="H2175">
        <v>1.2</v>
      </c>
      <c r="I2175" s="4">
        <v>16.87</v>
      </c>
      <c r="J2175">
        <v>3.6</v>
      </c>
      <c r="K2175" t="s">
        <v>33</v>
      </c>
      <c r="L2175" t="s">
        <v>16</v>
      </c>
      <c r="O2175"/>
    </row>
    <row r="2176" spans="1:15" x14ac:dyDescent="0.3">
      <c r="A2176" t="s">
        <v>2200</v>
      </c>
      <c r="B2176" s="1">
        <v>45716</v>
      </c>
      <c r="C2176" t="s">
        <v>21</v>
      </c>
      <c r="D2176" t="s">
        <v>21</v>
      </c>
      <c r="E2176" s="2">
        <v>4.32</v>
      </c>
      <c r="F2176" s="3">
        <v>15.87</v>
      </c>
      <c r="G2176" s="4">
        <v>44.39</v>
      </c>
      <c r="H2176">
        <v>1.5</v>
      </c>
      <c r="I2176" s="4">
        <v>66.59</v>
      </c>
      <c r="J2176">
        <v>3.5</v>
      </c>
      <c r="K2176" t="s">
        <v>36</v>
      </c>
      <c r="L2176" t="s">
        <v>19</v>
      </c>
      <c r="O2176"/>
    </row>
    <row r="2177" spans="1:15" x14ac:dyDescent="0.3">
      <c r="A2177" t="s">
        <v>2201</v>
      </c>
      <c r="B2177" s="1">
        <v>45769</v>
      </c>
      <c r="C2177" t="s">
        <v>21</v>
      </c>
      <c r="D2177" t="s">
        <v>14</v>
      </c>
      <c r="E2177" s="2">
        <v>26.71</v>
      </c>
      <c r="F2177" s="3">
        <v>92.4</v>
      </c>
      <c r="G2177" s="4">
        <v>311.08</v>
      </c>
      <c r="H2177">
        <v>1.2</v>
      </c>
      <c r="I2177" s="4">
        <v>373.3</v>
      </c>
      <c r="J2177">
        <v>3.9</v>
      </c>
      <c r="K2177" t="s">
        <v>36</v>
      </c>
      <c r="L2177" t="s">
        <v>19</v>
      </c>
      <c r="O2177"/>
    </row>
    <row r="2178" spans="1:15" x14ac:dyDescent="0.3">
      <c r="A2178" t="s">
        <v>2202</v>
      </c>
      <c r="B2178" s="1">
        <v>45972</v>
      </c>
      <c r="C2178" t="s">
        <v>21</v>
      </c>
      <c r="D2178" t="s">
        <v>14</v>
      </c>
      <c r="E2178" s="2">
        <v>18.12</v>
      </c>
      <c r="F2178" s="3">
        <v>63.17</v>
      </c>
      <c r="G2178" s="4">
        <v>347.34</v>
      </c>
      <c r="H2178">
        <v>1.2</v>
      </c>
      <c r="I2178" s="4">
        <v>416.81</v>
      </c>
      <c r="J2178">
        <v>3.3</v>
      </c>
      <c r="K2178" t="s">
        <v>15</v>
      </c>
      <c r="L2178" t="s">
        <v>28</v>
      </c>
      <c r="O2178"/>
    </row>
    <row r="2179" spans="1:15" x14ac:dyDescent="0.3">
      <c r="A2179" t="s">
        <v>2203</v>
      </c>
      <c r="B2179" s="1">
        <v>45673</v>
      </c>
      <c r="C2179" t="s">
        <v>22</v>
      </c>
      <c r="D2179" t="s">
        <v>14</v>
      </c>
      <c r="E2179" s="2">
        <v>26.28</v>
      </c>
      <c r="F2179" s="3">
        <v>71.650000000000006</v>
      </c>
      <c r="G2179" s="4">
        <v>512.88</v>
      </c>
      <c r="H2179">
        <v>1.5</v>
      </c>
      <c r="I2179" s="4">
        <v>769.32</v>
      </c>
      <c r="J2179">
        <v>3.9</v>
      </c>
      <c r="K2179" t="s">
        <v>36</v>
      </c>
      <c r="L2179" t="s">
        <v>19</v>
      </c>
      <c r="O2179"/>
    </row>
    <row r="2180" spans="1:15" x14ac:dyDescent="0.3">
      <c r="A2180" t="s">
        <v>2204</v>
      </c>
      <c r="B2180" s="1">
        <v>45666</v>
      </c>
      <c r="C2180" t="s">
        <v>13</v>
      </c>
      <c r="D2180" t="s">
        <v>25</v>
      </c>
      <c r="E2180" s="2">
        <v>6.14</v>
      </c>
      <c r="F2180" s="3">
        <v>22.87</v>
      </c>
      <c r="G2180" s="4">
        <v>85.52</v>
      </c>
      <c r="H2180">
        <v>1</v>
      </c>
      <c r="I2180" s="4">
        <v>85.52</v>
      </c>
      <c r="J2180">
        <v>4.9000000000000004</v>
      </c>
      <c r="K2180" t="s">
        <v>18</v>
      </c>
      <c r="L2180" t="s">
        <v>28</v>
      </c>
      <c r="O2180"/>
    </row>
    <row r="2181" spans="1:15" x14ac:dyDescent="0.3">
      <c r="A2181" t="s">
        <v>2205</v>
      </c>
      <c r="B2181" s="1">
        <v>45736</v>
      </c>
      <c r="C2181" t="s">
        <v>22</v>
      </c>
      <c r="D2181" t="s">
        <v>14</v>
      </c>
      <c r="E2181" s="2">
        <v>18.329999999999998</v>
      </c>
      <c r="F2181" s="3">
        <v>65.959999999999994</v>
      </c>
      <c r="G2181" s="4">
        <v>207.75</v>
      </c>
      <c r="H2181">
        <v>1.5</v>
      </c>
      <c r="I2181" s="4">
        <v>311.62</v>
      </c>
      <c r="J2181">
        <v>4.5999999999999996</v>
      </c>
      <c r="K2181" t="s">
        <v>36</v>
      </c>
      <c r="L2181" t="s">
        <v>16</v>
      </c>
      <c r="O2181"/>
    </row>
    <row r="2182" spans="1:15" x14ac:dyDescent="0.3">
      <c r="A2182" t="s">
        <v>2206</v>
      </c>
      <c r="B2182" s="1">
        <v>45760</v>
      </c>
      <c r="C2182" t="s">
        <v>22</v>
      </c>
      <c r="D2182" t="s">
        <v>13</v>
      </c>
      <c r="E2182" s="2">
        <v>22.78</v>
      </c>
      <c r="F2182" s="3">
        <v>72.430000000000007</v>
      </c>
      <c r="G2182" s="4">
        <v>403.02</v>
      </c>
      <c r="H2182">
        <v>1.2</v>
      </c>
      <c r="I2182" s="4">
        <v>483.62</v>
      </c>
      <c r="J2182">
        <v>3</v>
      </c>
      <c r="K2182" t="s">
        <v>36</v>
      </c>
      <c r="L2182" t="s">
        <v>19</v>
      </c>
      <c r="O2182"/>
    </row>
    <row r="2183" spans="1:15" x14ac:dyDescent="0.3">
      <c r="A2183" t="s">
        <v>2207</v>
      </c>
      <c r="B2183" s="1">
        <v>45892</v>
      </c>
      <c r="C2183" t="s">
        <v>14</v>
      </c>
      <c r="D2183" t="s">
        <v>22</v>
      </c>
      <c r="E2183" s="2">
        <v>11.78</v>
      </c>
      <c r="F2183" s="3">
        <v>29.31</v>
      </c>
      <c r="G2183" s="4">
        <v>203.68</v>
      </c>
      <c r="H2183">
        <v>1</v>
      </c>
      <c r="I2183" s="4">
        <v>203.68</v>
      </c>
      <c r="J2183">
        <v>4.0999999999999996</v>
      </c>
      <c r="K2183" t="s">
        <v>18</v>
      </c>
      <c r="L2183" t="s">
        <v>16</v>
      </c>
      <c r="O2183"/>
    </row>
    <row r="2184" spans="1:15" x14ac:dyDescent="0.3">
      <c r="A2184" t="s">
        <v>2208</v>
      </c>
      <c r="B2184" s="1">
        <v>45774</v>
      </c>
      <c r="C2184" t="s">
        <v>25</v>
      </c>
      <c r="D2184" t="s">
        <v>25</v>
      </c>
      <c r="E2184" s="2">
        <v>5.03</v>
      </c>
      <c r="F2184" s="3">
        <v>12.26</v>
      </c>
      <c r="G2184" s="4">
        <v>79.36</v>
      </c>
      <c r="H2184">
        <v>1.2</v>
      </c>
      <c r="I2184" s="4">
        <v>95.23</v>
      </c>
      <c r="J2184">
        <v>4.5999999999999996</v>
      </c>
      <c r="K2184" t="s">
        <v>36</v>
      </c>
      <c r="L2184" t="s">
        <v>16</v>
      </c>
      <c r="O2184"/>
    </row>
    <row r="2185" spans="1:15" x14ac:dyDescent="0.3">
      <c r="A2185" t="s">
        <v>2209</v>
      </c>
      <c r="B2185" s="1">
        <v>45811</v>
      </c>
      <c r="C2185" t="s">
        <v>14</v>
      </c>
      <c r="D2185" t="s">
        <v>14</v>
      </c>
      <c r="E2185" s="2">
        <v>4.92</v>
      </c>
      <c r="F2185" s="3">
        <v>12.52</v>
      </c>
      <c r="G2185" s="4">
        <v>58.59</v>
      </c>
      <c r="H2185">
        <v>1.5</v>
      </c>
      <c r="I2185" s="4">
        <v>87.88</v>
      </c>
      <c r="J2185">
        <v>3.9</v>
      </c>
      <c r="K2185" t="s">
        <v>15</v>
      </c>
      <c r="L2185" t="s">
        <v>19</v>
      </c>
      <c r="O2185"/>
    </row>
    <row r="2186" spans="1:15" x14ac:dyDescent="0.3">
      <c r="A2186" t="s">
        <v>2210</v>
      </c>
      <c r="B2186" s="1">
        <v>45773</v>
      </c>
      <c r="C2186" t="s">
        <v>25</v>
      </c>
      <c r="D2186" t="s">
        <v>21</v>
      </c>
      <c r="E2186" s="2">
        <v>26.19</v>
      </c>
      <c r="F2186" s="3">
        <v>72.47</v>
      </c>
      <c r="G2186" s="4">
        <v>343.98</v>
      </c>
      <c r="H2186">
        <v>1.2</v>
      </c>
      <c r="I2186" s="4">
        <v>412.78</v>
      </c>
      <c r="J2186">
        <v>4.2</v>
      </c>
      <c r="K2186" t="s">
        <v>30</v>
      </c>
      <c r="L2186" t="s">
        <v>28</v>
      </c>
      <c r="O2186"/>
    </row>
    <row r="2187" spans="1:15" x14ac:dyDescent="0.3">
      <c r="A2187" t="s">
        <v>2211</v>
      </c>
      <c r="B2187" s="1">
        <v>45740</v>
      </c>
      <c r="C2187" t="s">
        <v>21</v>
      </c>
      <c r="D2187" t="s">
        <v>14</v>
      </c>
      <c r="E2187" s="2">
        <v>22.02</v>
      </c>
      <c r="F2187" s="3">
        <v>59.44</v>
      </c>
      <c r="G2187" s="4">
        <v>289.19</v>
      </c>
      <c r="H2187">
        <v>1</v>
      </c>
      <c r="I2187" s="4">
        <v>289.19</v>
      </c>
      <c r="J2187">
        <v>4.5999999999999996</v>
      </c>
      <c r="K2187" t="s">
        <v>30</v>
      </c>
      <c r="L2187" t="s">
        <v>28</v>
      </c>
      <c r="O2187"/>
    </row>
    <row r="2188" spans="1:15" x14ac:dyDescent="0.3">
      <c r="A2188" t="s">
        <v>2212</v>
      </c>
      <c r="B2188" s="1">
        <v>45816</v>
      </c>
      <c r="C2188" t="s">
        <v>21</v>
      </c>
      <c r="D2188" t="s">
        <v>14</v>
      </c>
      <c r="E2188" s="2">
        <v>29.44</v>
      </c>
      <c r="F2188" s="3">
        <v>79.86</v>
      </c>
      <c r="G2188" s="4">
        <v>475.13</v>
      </c>
      <c r="H2188">
        <v>1.2</v>
      </c>
      <c r="I2188" s="4">
        <v>570.16</v>
      </c>
      <c r="J2188">
        <v>4.3</v>
      </c>
      <c r="K2188" t="s">
        <v>33</v>
      </c>
      <c r="L2188" t="s">
        <v>16</v>
      </c>
      <c r="O2188"/>
    </row>
    <row r="2189" spans="1:15" x14ac:dyDescent="0.3">
      <c r="A2189" t="s">
        <v>2213</v>
      </c>
      <c r="B2189" s="1">
        <v>45910</v>
      </c>
      <c r="C2189" t="s">
        <v>13</v>
      </c>
      <c r="D2189" t="s">
        <v>21</v>
      </c>
      <c r="E2189" s="2">
        <v>13.91</v>
      </c>
      <c r="F2189" s="3">
        <v>45.46</v>
      </c>
      <c r="G2189" s="4">
        <v>156.72999999999999</v>
      </c>
      <c r="H2189">
        <v>1.2</v>
      </c>
      <c r="I2189" s="4">
        <v>188.08</v>
      </c>
      <c r="J2189">
        <v>4.4000000000000004</v>
      </c>
      <c r="K2189" t="s">
        <v>36</v>
      </c>
      <c r="L2189" t="s">
        <v>26</v>
      </c>
      <c r="O2189"/>
    </row>
    <row r="2190" spans="1:15" x14ac:dyDescent="0.3">
      <c r="A2190" t="s">
        <v>2214</v>
      </c>
      <c r="B2190" s="1">
        <v>45805</v>
      </c>
      <c r="C2190" t="s">
        <v>14</v>
      </c>
      <c r="D2190" t="s">
        <v>13</v>
      </c>
      <c r="E2190" s="2">
        <v>14.01</v>
      </c>
      <c r="F2190" s="3">
        <v>52.77</v>
      </c>
      <c r="G2190" s="4">
        <v>276.07</v>
      </c>
      <c r="H2190">
        <v>2</v>
      </c>
      <c r="I2190" s="4">
        <v>552.14</v>
      </c>
      <c r="J2190">
        <v>4.8</v>
      </c>
      <c r="K2190" t="s">
        <v>30</v>
      </c>
      <c r="L2190" t="s">
        <v>26</v>
      </c>
      <c r="O2190"/>
    </row>
    <row r="2191" spans="1:15" x14ac:dyDescent="0.3">
      <c r="A2191" t="s">
        <v>2215</v>
      </c>
      <c r="B2191" s="1">
        <v>45855</v>
      </c>
      <c r="C2191" t="s">
        <v>25</v>
      </c>
      <c r="D2191" t="s">
        <v>13</v>
      </c>
      <c r="E2191" s="2">
        <v>2.5499999999999998</v>
      </c>
      <c r="F2191" s="3">
        <v>9.42</v>
      </c>
      <c r="G2191" s="4">
        <v>41.55</v>
      </c>
      <c r="H2191">
        <v>1.5</v>
      </c>
      <c r="I2191" s="4">
        <v>62.32</v>
      </c>
      <c r="J2191">
        <v>4.2</v>
      </c>
      <c r="K2191" t="s">
        <v>15</v>
      </c>
      <c r="L2191" t="s">
        <v>19</v>
      </c>
      <c r="O2191"/>
    </row>
    <row r="2192" spans="1:15" x14ac:dyDescent="0.3">
      <c r="A2192" t="s">
        <v>2216</v>
      </c>
      <c r="B2192" s="1">
        <v>45954</v>
      </c>
      <c r="C2192" t="s">
        <v>25</v>
      </c>
      <c r="D2192" t="s">
        <v>22</v>
      </c>
      <c r="E2192" s="2">
        <v>12.56</v>
      </c>
      <c r="F2192" s="3">
        <v>28.13</v>
      </c>
      <c r="G2192" s="4">
        <v>177.94</v>
      </c>
      <c r="H2192">
        <v>2</v>
      </c>
      <c r="I2192" s="4">
        <v>355.88</v>
      </c>
      <c r="J2192">
        <v>4.5999999999999996</v>
      </c>
      <c r="K2192" t="s">
        <v>15</v>
      </c>
      <c r="L2192" t="s">
        <v>16</v>
      </c>
      <c r="O2192"/>
    </row>
    <row r="2193" spans="1:15" x14ac:dyDescent="0.3">
      <c r="A2193" t="s">
        <v>2217</v>
      </c>
      <c r="B2193" s="1">
        <v>45850</v>
      </c>
      <c r="C2193" t="s">
        <v>13</v>
      </c>
      <c r="D2193" t="s">
        <v>25</v>
      </c>
      <c r="E2193" s="2">
        <v>13.06</v>
      </c>
      <c r="F2193" s="3">
        <v>34.1</v>
      </c>
      <c r="G2193" s="4">
        <v>251.48</v>
      </c>
      <c r="H2193">
        <v>1.5</v>
      </c>
      <c r="I2193" s="4">
        <v>377.22</v>
      </c>
      <c r="J2193">
        <v>4.2</v>
      </c>
      <c r="K2193" t="s">
        <v>30</v>
      </c>
      <c r="L2193" t="s">
        <v>19</v>
      </c>
      <c r="O2193"/>
    </row>
    <row r="2194" spans="1:15" x14ac:dyDescent="0.3">
      <c r="A2194" t="s">
        <v>2218</v>
      </c>
      <c r="B2194" s="1">
        <v>45925</v>
      </c>
      <c r="C2194" t="s">
        <v>14</v>
      </c>
      <c r="D2194" t="s">
        <v>21</v>
      </c>
      <c r="E2194" s="2">
        <v>16.38</v>
      </c>
      <c r="F2194" s="3">
        <v>55.83</v>
      </c>
      <c r="G2194" s="4">
        <v>206.41</v>
      </c>
      <c r="H2194">
        <v>1.2</v>
      </c>
      <c r="I2194" s="4">
        <v>247.69</v>
      </c>
      <c r="J2194">
        <v>3.9</v>
      </c>
      <c r="K2194" t="s">
        <v>30</v>
      </c>
      <c r="L2194" t="s">
        <v>16</v>
      </c>
      <c r="O2194"/>
    </row>
    <row r="2195" spans="1:15" x14ac:dyDescent="0.3">
      <c r="A2195" t="s">
        <v>2219</v>
      </c>
      <c r="B2195" s="1">
        <v>45919</v>
      </c>
      <c r="C2195" t="s">
        <v>14</v>
      </c>
      <c r="D2195" t="s">
        <v>13</v>
      </c>
      <c r="E2195" s="2">
        <v>25.11</v>
      </c>
      <c r="F2195" s="3">
        <v>68.55</v>
      </c>
      <c r="G2195" s="4">
        <v>276.26</v>
      </c>
      <c r="H2195">
        <v>2</v>
      </c>
      <c r="I2195" s="4">
        <v>552.52</v>
      </c>
      <c r="J2195">
        <v>4.4000000000000004</v>
      </c>
      <c r="K2195" t="s">
        <v>18</v>
      </c>
      <c r="L2195" t="s">
        <v>28</v>
      </c>
      <c r="O2195"/>
    </row>
    <row r="2196" spans="1:15" x14ac:dyDescent="0.3">
      <c r="A2196" t="s">
        <v>2220</v>
      </c>
      <c r="B2196" s="1">
        <v>45886</v>
      </c>
      <c r="C2196" t="s">
        <v>14</v>
      </c>
      <c r="D2196" t="s">
        <v>21</v>
      </c>
      <c r="E2196" s="2">
        <v>14.02</v>
      </c>
      <c r="F2196" s="3">
        <v>37.29</v>
      </c>
      <c r="G2196" s="4">
        <v>253.51</v>
      </c>
      <c r="H2196">
        <v>1</v>
      </c>
      <c r="I2196" s="4">
        <v>253.51</v>
      </c>
      <c r="J2196">
        <v>3.9</v>
      </c>
      <c r="K2196" t="s">
        <v>36</v>
      </c>
      <c r="L2196" t="s">
        <v>28</v>
      </c>
      <c r="O2196"/>
    </row>
    <row r="2197" spans="1:15" x14ac:dyDescent="0.3">
      <c r="A2197" t="s">
        <v>2221</v>
      </c>
      <c r="B2197" s="1">
        <v>45874</v>
      </c>
      <c r="C2197" t="s">
        <v>13</v>
      </c>
      <c r="D2197" t="s">
        <v>25</v>
      </c>
      <c r="E2197" s="2">
        <v>19.41</v>
      </c>
      <c r="F2197" s="3">
        <v>73.25</v>
      </c>
      <c r="G2197" s="4">
        <v>276.83</v>
      </c>
      <c r="H2197">
        <v>2</v>
      </c>
      <c r="I2197" s="4">
        <v>553.66</v>
      </c>
      <c r="J2197">
        <v>4.8</v>
      </c>
      <c r="K2197" t="s">
        <v>36</v>
      </c>
      <c r="L2197" t="s">
        <v>16</v>
      </c>
      <c r="O2197"/>
    </row>
    <row r="2198" spans="1:15" x14ac:dyDescent="0.3">
      <c r="A2198" t="s">
        <v>2222</v>
      </c>
      <c r="B2198" s="1">
        <v>45694</v>
      </c>
      <c r="C2198" t="s">
        <v>25</v>
      </c>
      <c r="D2198" t="s">
        <v>21</v>
      </c>
      <c r="E2198" s="2">
        <v>3.87</v>
      </c>
      <c r="F2198" s="3">
        <v>8.65</v>
      </c>
      <c r="G2198" s="4">
        <v>50.28</v>
      </c>
      <c r="H2198">
        <v>1.5</v>
      </c>
      <c r="I2198" s="4">
        <v>75.42</v>
      </c>
      <c r="J2198">
        <v>3.9</v>
      </c>
      <c r="K2198" t="s">
        <v>30</v>
      </c>
      <c r="L2198" t="s">
        <v>28</v>
      </c>
      <c r="O2198"/>
    </row>
    <row r="2199" spans="1:15" x14ac:dyDescent="0.3">
      <c r="A2199" t="s">
        <v>2223</v>
      </c>
      <c r="B2199" s="1">
        <v>45975</v>
      </c>
      <c r="C2199" t="s">
        <v>21</v>
      </c>
      <c r="D2199" t="s">
        <v>14</v>
      </c>
      <c r="E2199" s="2">
        <v>17.07</v>
      </c>
      <c r="F2199" s="3">
        <v>58.22</v>
      </c>
      <c r="G2199" s="4">
        <v>241.96</v>
      </c>
      <c r="H2199">
        <v>2</v>
      </c>
      <c r="I2199" s="4">
        <v>483.92</v>
      </c>
      <c r="J2199">
        <v>3</v>
      </c>
      <c r="K2199" t="s">
        <v>36</v>
      </c>
      <c r="L2199" t="s">
        <v>19</v>
      </c>
      <c r="O2199"/>
    </row>
    <row r="2200" spans="1:15" x14ac:dyDescent="0.3">
      <c r="A2200" t="s">
        <v>2224</v>
      </c>
      <c r="B2200" s="1">
        <v>45942</v>
      </c>
      <c r="C2200" t="s">
        <v>13</v>
      </c>
      <c r="D2200" t="s">
        <v>14</v>
      </c>
      <c r="E2200" s="2">
        <v>8.75</v>
      </c>
      <c r="F2200" s="3">
        <v>22.36</v>
      </c>
      <c r="G2200" s="4">
        <v>133.21</v>
      </c>
      <c r="H2200">
        <v>2</v>
      </c>
      <c r="I2200" s="4">
        <v>266.42</v>
      </c>
      <c r="J2200">
        <v>5</v>
      </c>
      <c r="K2200" t="s">
        <v>33</v>
      </c>
      <c r="L2200" t="s">
        <v>16</v>
      </c>
      <c r="O2200"/>
    </row>
    <row r="2201" spans="1:15" x14ac:dyDescent="0.3">
      <c r="A2201" t="s">
        <v>2225</v>
      </c>
      <c r="B2201" s="1">
        <v>45725</v>
      </c>
      <c r="C2201" t="s">
        <v>14</v>
      </c>
      <c r="D2201" t="s">
        <v>13</v>
      </c>
      <c r="E2201" s="2">
        <v>11.56</v>
      </c>
      <c r="F2201" s="3">
        <v>28.45</v>
      </c>
      <c r="G2201" s="4">
        <v>169.91</v>
      </c>
      <c r="H2201">
        <v>1</v>
      </c>
      <c r="I2201" s="4">
        <v>169.91</v>
      </c>
      <c r="J2201">
        <v>4.7</v>
      </c>
      <c r="K2201" t="s">
        <v>30</v>
      </c>
      <c r="L2201" t="s">
        <v>26</v>
      </c>
      <c r="O2201"/>
    </row>
    <row r="2202" spans="1:15" x14ac:dyDescent="0.3">
      <c r="A2202" t="s">
        <v>2226</v>
      </c>
      <c r="B2202" s="1">
        <v>45824</v>
      </c>
      <c r="C2202" t="s">
        <v>13</v>
      </c>
      <c r="D2202" t="s">
        <v>14</v>
      </c>
      <c r="E2202" s="2">
        <v>3.35</v>
      </c>
      <c r="F2202" s="3">
        <v>10.9</v>
      </c>
      <c r="G2202" s="4">
        <v>44.77</v>
      </c>
      <c r="H2202">
        <v>1.2</v>
      </c>
      <c r="I2202" s="4">
        <v>53.72</v>
      </c>
      <c r="J2202">
        <v>4.9000000000000004</v>
      </c>
      <c r="K2202" t="s">
        <v>30</v>
      </c>
      <c r="L2202" t="s">
        <v>16</v>
      </c>
      <c r="O2202"/>
    </row>
    <row r="2203" spans="1:15" x14ac:dyDescent="0.3">
      <c r="A2203" t="s">
        <v>2227</v>
      </c>
      <c r="B2203" s="1">
        <v>45774</v>
      </c>
      <c r="C2203" t="s">
        <v>22</v>
      </c>
      <c r="D2203" t="s">
        <v>25</v>
      </c>
      <c r="E2203" s="2">
        <v>4.87</v>
      </c>
      <c r="F2203" s="3">
        <v>16.43</v>
      </c>
      <c r="G2203" s="4">
        <v>59.04</v>
      </c>
      <c r="H2203">
        <v>2</v>
      </c>
      <c r="I2203" s="4">
        <v>118.08</v>
      </c>
      <c r="J2203">
        <v>3.8</v>
      </c>
      <c r="K2203" t="s">
        <v>15</v>
      </c>
      <c r="L2203" t="s">
        <v>19</v>
      </c>
      <c r="O2203"/>
    </row>
    <row r="2204" spans="1:15" x14ac:dyDescent="0.3">
      <c r="A2204" t="s">
        <v>2228</v>
      </c>
      <c r="B2204" s="1">
        <v>45773</v>
      </c>
      <c r="C2204" t="s">
        <v>22</v>
      </c>
      <c r="D2204" t="s">
        <v>14</v>
      </c>
      <c r="E2204" s="2">
        <v>7.25</v>
      </c>
      <c r="F2204" s="3">
        <v>28.98</v>
      </c>
      <c r="G2204" s="4">
        <v>103.9</v>
      </c>
      <c r="H2204">
        <v>1</v>
      </c>
      <c r="I2204" s="4">
        <v>103.9</v>
      </c>
      <c r="J2204">
        <v>3.4</v>
      </c>
      <c r="K2204" t="s">
        <v>15</v>
      </c>
      <c r="L2204" t="s">
        <v>16</v>
      </c>
      <c r="O2204"/>
    </row>
    <row r="2205" spans="1:15" x14ac:dyDescent="0.3">
      <c r="A2205" t="s">
        <v>2229</v>
      </c>
      <c r="B2205" s="1">
        <v>45905</v>
      </c>
      <c r="C2205" t="s">
        <v>13</v>
      </c>
      <c r="D2205" t="s">
        <v>14</v>
      </c>
      <c r="E2205" s="2">
        <v>18.690000000000001</v>
      </c>
      <c r="F2205" s="3">
        <v>64.52</v>
      </c>
      <c r="G2205" s="4">
        <v>245.68</v>
      </c>
      <c r="H2205">
        <v>2</v>
      </c>
      <c r="I2205" s="4">
        <v>491.36</v>
      </c>
      <c r="J2205">
        <v>3.2</v>
      </c>
      <c r="K2205" t="s">
        <v>33</v>
      </c>
      <c r="L2205" t="s">
        <v>26</v>
      </c>
      <c r="O2205"/>
    </row>
    <row r="2206" spans="1:15" x14ac:dyDescent="0.3">
      <c r="A2206" t="s">
        <v>2230</v>
      </c>
      <c r="B2206" s="1">
        <v>45949</v>
      </c>
      <c r="C2206" t="s">
        <v>21</v>
      </c>
      <c r="D2206" t="s">
        <v>25</v>
      </c>
      <c r="E2206" s="2">
        <v>12.28</v>
      </c>
      <c r="F2206" s="3">
        <v>38.26</v>
      </c>
      <c r="G2206" s="4">
        <v>193.63</v>
      </c>
      <c r="H2206">
        <v>1.5</v>
      </c>
      <c r="I2206" s="4">
        <v>290.44</v>
      </c>
      <c r="J2206">
        <v>4.8</v>
      </c>
      <c r="K2206" t="s">
        <v>33</v>
      </c>
      <c r="L2206" t="s">
        <v>26</v>
      </c>
      <c r="O2206"/>
    </row>
    <row r="2207" spans="1:15" x14ac:dyDescent="0.3">
      <c r="A2207" t="s">
        <v>2231</v>
      </c>
      <c r="B2207" s="1">
        <v>45883</v>
      </c>
      <c r="C2207" t="s">
        <v>22</v>
      </c>
      <c r="D2207" t="s">
        <v>22</v>
      </c>
      <c r="E2207" s="2">
        <v>10.96</v>
      </c>
      <c r="F2207" s="3">
        <v>30.71</v>
      </c>
      <c r="G2207" s="4">
        <v>193.02</v>
      </c>
      <c r="H2207">
        <v>1</v>
      </c>
      <c r="I2207" s="4">
        <v>193.02</v>
      </c>
      <c r="J2207">
        <v>4.4000000000000004</v>
      </c>
      <c r="K2207" t="s">
        <v>18</v>
      </c>
      <c r="L2207" t="s">
        <v>19</v>
      </c>
      <c r="O2207"/>
    </row>
    <row r="2208" spans="1:15" x14ac:dyDescent="0.3">
      <c r="A2208" t="s">
        <v>2232</v>
      </c>
      <c r="B2208" s="1">
        <v>45814</v>
      </c>
      <c r="C2208" t="s">
        <v>25</v>
      </c>
      <c r="D2208" t="s">
        <v>22</v>
      </c>
      <c r="E2208" s="2">
        <v>9.52</v>
      </c>
      <c r="F2208" s="3">
        <v>26.95</v>
      </c>
      <c r="G2208" s="4">
        <v>170.12</v>
      </c>
      <c r="H2208">
        <v>1.2</v>
      </c>
      <c r="I2208" s="4">
        <v>204.14</v>
      </c>
      <c r="J2208">
        <v>3.7</v>
      </c>
      <c r="K2208" t="s">
        <v>18</v>
      </c>
      <c r="L2208" t="s">
        <v>28</v>
      </c>
      <c r="O2208"/>
    </row>
    <row r="2209" spans="1:15" x14ac:dyDescent="0.3">
      <c r="A2209" t="s">
        <v>2233</v>
      </c>
      <c r="B2209" s="1">
        <v>45687</v>
      </c>
      <c r="C2209" t="s">
        <v>14</v>
      </c>
      <c r="D2209" t="s">
        <v>22</v>
      </c>
      <c r="E2209" s="2">
        <v>2.5499999999999998</v>
      </c>
      <c r="F2209" s="3">
        <v>7.13</v>
      </c>
      <c r="G2209" s="4">
        <v>32.4</v>
      </c>
      <c r="H2209">
        <v>2</v>
      </c>
      <c r="I2209" s="4">
        <v>64.8</v>
      </c>
      <c r="J2209">
        <v>4.4000000000000004</v>
      </c>
      <c r="K2209" t="s">
        <v>36</v>
      </c>
      <c r="L2209" t="s">
        <v>26</v>
      </c>
      <c r="O2209"/>
    </row>
    <row r="2210" spans="1:15" x14ac:dyDescent="0.3">
      <c r="A2210" t="s">
        <v>2234</v>
      </c>
      <c r="B2210" s="1">
        <v>46020</v>
      </c>
      <c r="C2210" t="s">
        <v>21</v>
      </c>
      <c r="D2210" t="s">
        <v>14</v>
      </c>
      <c r="E2210" s="2">
        <v>10.39</v>
      </c>
      <c r="F2210" s="3">
        <v>31.46</v>
      </c>
      <c r="G2210" s="4">
        <v>195.3</v>
      </c>
      <c r="H2210">
        <v>1.2</v>
      </c>
      <c r="I2210" s="4">
        <v>234.36</v>
      </c>
      <c r="J2210">
        <v>4.7</v>
      </c>
      <c r="K2210" t="s">
        <v>36</v>
      </c>
      <c r="L2210" t="s">
        <v>26</v>
      </c>
      <c r="O2210"/>
    </row>
    <row r="2211" spans="1:15" x14ac:dyDescent="0.3">
      <c r="A2211" t="s">
        <v>2235</v>
      </c>
      <c r="B2211" s="1">
        <v>45831</v>
      </c>
      <c r="C2211" t="s">
        <v>25</v>
      </c>
      <c r="D2211" t="s">
        <v>22</v>
      </c>
      <c r="E2211" s="2">
        <v>28.52</v>
      </c>
      <c r="F2211" s="3">
        <v>84.9</v>
      </c>
      <c r="G2211" s="4">
        <v>428.59</v>
      </c>
      <c r="H2211">
        <v>1.5</v>
      </c>
      <c r="I2211" s="4">
        <v>642.88</v>
      </c>
      <c r="J2211">
        <v>3.1</v>
      </c>
      <c r="K2211" t="s">
        <v>15</v>
      </c>
      <c r="L2211" t="s">
        <v>26</v>
      </c>
      <c r="O2211"/>
    </row>
    <row r="2212" spans="1:15" x14ac:dyDescent="0.3">
      <c r="A2212" t="s">
        <v>2236</v>
      </c>
      <c r="B2212" s="1">
        <v>45659</v>
      </c>
      <c r="C2212" t="s">
        <v>13</v>
      </c>
      <c r="D2212" t="s">
        <v>25</v>
      </c>
      <c r="E2212" s="2">
        <v>28</v>
      </c>
      <c r="F2212" s="3">
        <v>76.239999999999995</v>
      </c>
      <c r="G2212" s="4">
        <v>391.14</v>
      </c>
      <c r="H2212">
        <v>1.2</v>
      </c>
      <c r="I2212" s="4">
        <v>469.37</v>
      </c>
      <c r="J2212">
        <v>4.3</v>
      </c>
      <c r="K2212" t="s">
        <v>18</v>
      </c>
      <c r="L2212" t="s">
        <v>28</v>
      </c>
      <c r="O2212"/>
    </row>
    <row r="2213" spans="1:15" x14ac:dyDescent="0.3">
      <c r="A2213" t="s">
        <v>2237</v>
      </c>
      <c r="B2213" s="1">
        <v>45728</v>
      </c>
      <c r="C2213" t="s">
        <v>13</v>
      </c>
      <c r="D2213" t="s">
        <v>25</v>
      </c>
      <c r="E2213" s="2">
        <v>5.09</v>
      </c>
      <c r="F2213" s="3">
        <v>17.399999999999999</v>
      </c>
      <c r="G2213" s="4">
        <v>94.4</v>
      </c>
      <c r="H2213">
        <v>2</v>
      </c>
      <c r="I2213" s="4">
        <v>188.8</v>
      </c>
      <c r="J2213">
        <v>4.4000000000000004</v>
      </c>
      <c r="K2213" t="s">
        <v>36</v>
      </c>
      <c r="L2213" t="s">
        <v>28</v>
      </c>
      <c r="O2213"/>
    </row>
    <row r="2214" spans="1:15" x14ac:dyDescent="0.3">
      <c r="A2214" t="s">
        <v>2238</v>
      </c>
      <c r="B2214" s="1">
        <v>45673</v>
      </c>
      <c r="C2214" t="s">
        <v>25</v>
      </c>
      <c r="D2214" t="s">
        <v>21</v>
      </c>
      <c r="E2214" s="2">
        <v>7.27</v>
      </c>
      <c r="F2214" s="3">
        <v>15.55</v>
      </c>
      <c r="G2214" s="4">
        <v>114.17</v>
      </c>
      <c r="H2214">
        <v>1.2</v>
      </c>
      <c r="I2214" s="4">
        <v>137</v>
      </c>
      <c r="J2214">
        <v>3.7</v>
      </c>
      <c r="K2214" t="s">
        <v>36</v>
      </c>
      <c r="L2214" t="s">
        <v>19</v>
      </c>
      <c r="O2214"/>
    </row>
    <row r="2215" spans="1:15" x14ac:dyDescent="0.3">
      <c r="A2215" t="s">
        <v>2239</v>
      </c>
      <c r="B2215" s="1">
        <v>45841</v>
      </c>
      <c r="C2215" t="s">
        <v>14</v>
      </c>
      <c r="D2215" t="s">
        <v>14</v>
      </c>
      <c r="E2215" s="2">
        <v>17.72</v>
      </c>
      <c r="F2215" s="3">
        <v>69.599999999999994</v>
      </c>
      <c r="G2215" s="4">
        <v>212.65</v>
      </c>
      <c r="H2215">
        <v>1.2</v>
      </c>
      <c r="I2215" s="4">
        <v>255.18</v>
      </c>
      <c r="J2215">
        <v>3.2</v>
      </c>
      <c r="K2215" t="s">
        <v>30</v>
      </c>
      <c r="L2215" t="s">
        <v>28</v>
      </c>
      <c r="O2215"/>
    </row>
    <row r="2216" spans="1:15" x14ac:dyDescent="0.3">
      <c r="A2216" t="s">
        <v>2240</v>
      </c>
      <c r="B2216" s="1">
        <v>45665</v>
      </c>
      <c r="C2216" t="s">
        <v>22</v>
      </c>
      <c r="D2216" t="s">
        <v>14</v>
      </c>
      <c r="E2216" s="2">
        <v>23.71</v>
      </c>
      <c r="F2216" s="3">
        <v>64.02</v>
      </c>
      <c r="G2216" s="4">
        <v>290.3</v>
      </c>
      <c r="H2216">
        <v>1.2</v>
      </c>
      <c r="I2216" s="4">
        <v>348.36</v>
      </c>
      <c r="J2216">
        <v>4.8</v>
      </c>
      <c r="K2216" t="s">
        <v>33</v>
      </c>
      <c r="L2216" t="s">
        <v>28</v>
      </c>
      <c r="O2216"/>
    </row>
    <row r="2217" spans="1:15" x14ac:dyDescent="0.3">
      <c r="A2217" t="s">
        <v>2241</v>
      </c>
      <c r="B2217" s="1">
        <v>45899</v>
      </c>
      <c r="C2217" t="s">
        <v>22</v>
      </c>
      <c r="D2217" t="s">
        <v>13</v>
      </c>
      <c r="E2217" s="2">
        <v>16.86</v>
      </c>
      <c r="F2217" s="3">
        <v>58.79</v>
      </c>
      <c r="G2217" s="4">
        <v>225.77</v>
      </c>
      <c r="H2217">
        <v>1</v>
      </c>
      <c r="I2217" s="4">
        <v>225.77</v>
      </c>
      <c r="J2217">
        <v>3.2</v>
      </c>
      <c r="K2217" t="s">
        <v>36</v>
      </c>
      <c r="L2217" t="s">
        <v>28</v>
      </c>
      <c r="O2217"/>
    </row>
    <row r="2218" spans="1:15" x14ac:dyDescent="0.3">
      <c r="A2218" t="s">
        <v>2242</v>
      </c>
      <c r="B2218" s="1">
        <v>45843</v>
      </c>
      <c r="C2218" t="s">
        <v>13</v>
      </c>
      <c r="D2218" t="s">
        <v>13</v>
      </c>
      <c r="E2218" s="2">
        <v>14.96</v>
      </c>
      <c r="F2218" s="3">
        <v>43.4</v>
      </c>
      <c r="G2218" s="4">
        <v>213.02</v>
      </c>
      <c r="H2218">
        <v>2</v>
      </c>
      <c r="I2218" s="4">
        <v>426.04</v>
      </c>
      <c r="J2218">
        <v>3.1</v>
      </c>
      <c r="K2218" t="s">
        <v>30</v>
      </c>
      <c r="L2218" t="s">
        <v>19</v>
      </c>
      <c r="O2218"/>
    </row>
    <row r="2219" spans="1:15" x14ac:dyDescent="0.3">
      <c r="A2219" t="s">
        <v>2243</v>
      </c>
      <c r="B2219" s="1">
        <v>45853</v>
      </c>
      <c r="C2219" t="s">
        <v>21</v>
      </c>
      <c r="D2219" t="s">
        <v>13</v>
      </c>
      <c r="E2219" s="2">
        <v>16.899999999999999</v>
      </c>
      <c r="F2219" s="3">
        <v>66.02</v>
      </c>
      <c r="G2219" s="4">
        <v>199.47</v>
      </c>
      <c r="H2219">
        <v>1.5</v>
      </c>
      <c r="I2219" s="4">
        <v>299.2</v>
      </c>
      <c r="J2219">
        <v>4.7</v>
      </c>
      <c r="K2219" t="s">
        <v>30</v>
      </c>
      <c r="L2219" t="s">
        <v>26</v>
      </c>
      <c r="O2219"/>
    </row>
    <row r="2220" spans="1:15" x14ac:dyDescent="0.3">
      <c r="A2220" t="s">
        <v>2244</v>
      </c>
      <c r="B2220" s="1">
        <v>45901</v>
      </c>
      <c r="C2220" t="s">
        <v>13</v>
      </c>
      <c r="D2220" t="s">
        <v>14</v>
      </c>
      <c r="E2220" s="2">
        <v>20.69</v>
      </c>
      <c r="F2220" s="3">
        <v>66.489999999999995</v>
      </c>
      <c r="G2220" s="4">
        <v>323.76</v>
      </c>
      <c r="H2220">
        <v>1.2</v>
      </c>
      <c r="I2220" s="4">
        <v>388.51</v>
      </c>
      <c r="J2220">
        <v>3.7</v>
      </c>
      <c r="K2220" t="s">
        <v>33</v>
      </c>
      <c r="L2220" t="s">
        <v>26</v>
      </c>
      <c r="O2220"/>
    </row>
    <row r="2221" spans="1:15" x14ac:dyDescent="0.3">
      <c r="A2221" t="s">
        <v>2245</v>
      </c>
      <c r="B2221" s="1">
        <v>45997</v>
      </c>
      <c r="C2221" t="s">
        <v>14</v>
      </c>
      <c r="D2221" t="s">
        <v>21</v>
      </c>
      <c r="E2221" s="2">
        <v>4.55</v>
      </c>
      <c r="F2221" s="3">
        <v>16.82</v>
      </c>
      <c r="G2221" s="4">
        <v>64.34</v>
      </c>
      <c r="H2221">
        <v>1.5</v>
      </c>
      <c r="I2221" s="4">
        <v>96.51</v>
      </c>
      <c r="J2221">
        <v>3.2</v>
      </c>
      <c r="K2221" t="s">
        <v>33</v>
      </c>
      <c r="L2221" t="s">
        <v>16</v>
      </c>
      <c r="O2221"/>
    </row>
    <row r="2222" spans="1:15" x14ac:dyDescent="0.3">
      <c r="A2222" t="s">
        <v>2246</v>
      </c>
      <c r="B2222" s="1">
        <v>46008</v>
      </c>
      <c r="C2222" t="s">
        <v>21</v>
      </c>
      <c r="D2222" t="s">
        <v>21</v>
      </c>
      <c r="E2222" s="2">
        <v>13.53</v>
      </c>
      <c r="F2222" s="3">
        <v>48.93</v>
      </c>
      <c r="G2222" s="4">
        <v>170.94</v>
      </c>
      <c r="H2222">
        <v>1.5</v>
      </c>
      <c r="I2222" s="4">
        <v>256.41000000000003</v>
      </c>
      <c r="J2222">
        <v>4.2</v>
      </c>
      <c r="K2222" t="s">
        <v>36</v>
      </c>
      <c r="L2222" t="s">
        <v>19</v>
      </c>
      <c r="O2222"/>
    </row>
    <row r="2223" spans="1:15" x14ac:dyDescent="0.3">
      <c r="A2223" t="s">
        <v>2247</v>
      </c>
      <c r="B2223" s="1">
        <v>45928</v>
      </c>
      <c r="C2223" t="s">
        <v>22</v>
      </c>
      <c r="D2223" t="s">
        <v>25</v>
      </c>
      <c r="E2223" s="2">
        <v>26.75</v>
      </c>
      <c r="F2223" s="3">
        <v>96.75</v>
      </c>
      <c r="G2223" s="4">
        <v>406.74</v>
      </c>
      <c r="H2223">
        <v>1</v>
      </c>
      <c r="I2223" s="4">
        <v>406.74</v>
      </c>
      <c r="J2223">
        <v>3.2</v>
      </c>
      <c r="K2223" t="s">
        <v>30</v>
      </c>
      <c r="L2223" t="s">
        <v>28</v>
      </c>
      <c r="O2223"/>
    </row>
    <row r="2224" spans="1:15" x14ac:dyDescent="0.3">
      <c r="A2224" t="s">
        <v>2248</v>
      </c>
      <c r="B2224" s="1">
        <v>45696</v>
      </c>
      <c r="C2224" t="s">
        <v>13</v>
      </c>
      <c r="D2224" t="s">
        <v>22</v>
      </c>
      <c r="E2224" s="2">
        <v>2.0699999999999998</v>
      </c>
      <c r="F2224" s="3">
        <v>7.88</v>
      </c>
      <c r="G2224" s="4">
        <v>23.35</v>
      </c>
      <c r="H2224">
        <v>1</v>
      </c>
      <c r="I2224" s="4">
        <v>23.35</v>
      </c>
      <c r="J2224">
        <v>4.8</v>
      </c>
      <c r="K2224" t="s">
        <v>33</v>
      </c>
      <c r="L2224" t="s">
        <v>28</v>
      </c>
      <c r="O2224"/>
    </row>
    <row r="2225" spans="1:15" x14ac:dyDescent="0.3">
      <c r="A2225" t="s">
        <v>2249</v>
      </c>
      <c r="B2225" s="1">
        <v>45709</v>
      </c>
      <c r="C2225" t="s">
        <v>22</v>
      </c>
      <c r="D2225" t="s">
        <v>22</v>
      </c>
      <c r="E2225" s="2">
        <v>9.86</v>
      </c>
      <c r="F2225" s="3">
        <v>29.49</v>
      </c>
      <c r="G2225" s="4">
        <v>148.06</v>
      </c>
      <c r="H2225">
        <v>1.2</v>
      </c>
      <c r="I2225" s="4">
        <v>177.67</v>
      </c>
      <c r="J2225">
        <v>4.8</v>
      </c>
      <c r="K2225" t="s">
        <v>36</v>
      </c>
      <c r="L2225" t="s">
        <v>19</v>
      </c>
      <c r="O2225"/>
    </row>
    <row r="2226" spans="1:15" x14ac:dyDescent="0.3">
      <c r="A2226" t="s">
        <v>2250</v>
      </c>
      <c r="B2226" s="1">
        <v>46008</v>
      </c>
      <c r="C2226" t="s">
        <v>25</v>
      </c>
      <c r="D2226" t="s">
        <v>14</v>
      </c>
      <c r="E2226" s="2">
        <v>22.46</v>
      </c>
      <c r="F2226" s="3">
        <v>67.83</v>
      </c>
      <c r="G2226" s="4">
        <v>279.45</v>
      </c>
      <c r="H2226">
        <v>1.2</v>
      </c>
      <c r="I2226" s="4">
        <v>335.34</v>
      </c>
      <c r="J2226">
        <v>3.1</v>
      </c>
      <c r="K2226" t="s">
        <v>33</v>
      </c>
      <c r="L2226" t="s">
        <v>26</v>
      </c>
      <c r="O2226"/>
    </row>
    <row r="2227" spans="1:15" x14ac:dyDescent="0.3">
      <c r="A2227" t="s">
        <v>2251</v>
      </c>
      <c r="B2227" s="1">
        <v>45949</v>
      </c>
      <c r="C2227" t="s">
        <v>21</v>
      </c>
      <c r="D2227" t="s">
        <v>22</v>
      </c>
      <c r="E2227" s="2">
        <v>16.239999999999998</v>
      </c>
      <c r="F2227" s="3">
        <v>49.64</v>
      </c>
      <c r="G2227" s="4">
        <v>318.54000000000002</v>
      </c>
      <c r="H2227">
        <v>1.2</v>
      </c>
      <c r="I2227" s="4">
        <v>382.25</v>
      </c>
      <c r="J2227">
        <v>3.7</v>
      </c>
      <c r="K2227" t="s">
        <v>30</v>
      </c>
      <c r="L2227" t="s">
        <v>28</v>
      </c>
      <c r="O2227"/>
    </row>
    <row r="2228" spans="1:15" x14ac:dyDescent="0.3">
      <c r="A2228" t="s">
        <v>2252</v>
      </c>
      <c r="B2228" s="1">
        <v>45726</v>
      </c>
      <c r="C2228" t="s">
        <v>13</v>
      </c>
      <c r="D2228" t="s">
        <v>21</v>
      </c>
      <c r="E2228" s="2">
        <v>26.31</v>
      </c>
      <c r="F2228" s="3">
        <v>94.56</v>
      </c>
      <c r="G2228" s="4">
        <v>398.59</v>
      </c>
      <c r="H2228">
        <v>1</v>
      </c>
      <c r="I2228" s="4">
        <v>398.59</v>
      </c>
      <c r="J2228">
        <v>4.4000000000000004</v>
      </c>
      <c r="K2228" t="s">
        <v>15</v>
      </c>
      <c r="L2228" t="s">
        <v>28</v>
      </c>
      <c r="O2228"/>
    </row>
    <row r="2229" spans="1:15" x14ac:dyDescent="0.3">
      <c r="A2229" t="s">
        <v>2253</v>
      </c>
      <c r="B2229" s="1">
        <v>45983</v>
      </c>
      <c r="C2229" t="s">
        <v>22</v>
      </c>
      <c r="D2229" t="s">
        <v>25</v>
      </c>
      <c r="E2229" s="2">
        <v>20.03</v>
      </c>
      <c r="F2229" s="3">
        <v>55.48</v>
      </c>
      <c r="G2229" s="4">
        <v>367.85</v>
      </c>
      <c r="H2229">
        <v>1.5</v>
      </c>
      <c r="I2229" s="4">
        <v>551.78</v>
      </c>
      <c r="J2229">
        <v>3.1</v>
      </c>
      <c r="K2229" t="s">
        <v>30</v>
      </c>
      <c r="L2229" t="s">
        <v>16</v>
      </c>
      <c r="O2229"/>
    </row>
    <row r="2230" spans="1:15" x14ac:dyDescent="0.3">
      <c r="A2230" t="s">
        <v>2254</v>
      </c>
      <c r="B2230" s="1">
        <v>45940</v>
      </c>
      <c r="C2230" t="s">
        <v>21</v>
      </c>
      <c r="D2230" t="s">
        <v>21</v>
      </c>
      <c r="E2230" s="2">
        <v>11.95</v>
      </c>
      <c r="F2230" s="3">
        <v>42.75</v>
      </c>
      <c r="G2230" s="4">
        <v>161.5</v>
      </c>
      <c r="H2230">
        <v>1.2</v>
      </c>
      <c r="I2230" s="4">
        <v>193.8</v>
      </c>
      <c r="J2230">
        <v>3.3</v>
      </c>
      <c r="K2230" t="s">
        <v>36</v>
      </c>
      <c r="L2230" t="s">
        <v>16</v>
      </c>
      <c r="O2230"/>
    </row>
    <row r="2231" spans="1:15" x14ac:dyDescent="0.3">
      <c r="A2231" t="s">
        <v>2255</v>
      </c>
      <c r="B2231" s="1">
        <v>45943</v>
      </c>
      <c r="C2231" t="s">
        <v>14</v>
      </c>
      <c r="D2231" t="s">
        <v>14</v>
      </c>
      <c r="E2231" s="2">
        <v>12.19</v>
      </c>
      <c r="F2231" s="3">
        <v>46.41</v>
      </c>
      <c r="G2231" s="4">
        <v>151.03</v>
      </c>
      <c r="H2231">
        <v>1</v>
      </c>
      <c r="I2231" s="4">
        <v>151.03</v>
      </c>
      <c r="J2231">
        <v>4.5999999999999996</v>
      </c>
      <c r="K2231" t="s">
        <v>18</v>
      </c>
      <c r="L2231" t="s">
        <v>26</v>
      </c>
      <c r="O2231"/>
    </row>
    <row r="2232" spans="1:15" x14ac:dyDescent="0.3">
      <c r="A2232" t="s">
        <v>2256</v>
      </c>
      <c r="B2232" s="1">
        <v>46012</v>
      </c>
      <c r="C2232" t="s">
        <v>21</v>
      </c>
      <c r="D2232" t="s">
        <v>25</v>
      </c>
      <c r="E2232" s="2">
        <v>7.31</v>
      </c>
      <c r="F2232" s="3">
        <v>28.2</v>
      </c>
      <c r="G2232" s="4">
        <v>95.54</v>
      </c>
      <c r="H2232">
        <v>1.5</v>
      </c>
      <c r="I2232" s="4">
        <v>143.31</v>
      </c>
      <c r="J2232">
        <v>4.8</v>
      </c>
      <c r="K2232" t="s">
        <v>30</v>
      </c>
      <c r="L2232" t="s">
        <v>16</v>
      </c>
      <c r="O2232"/>
    </row>
    <row r="2233" spans="1:15" x14ac:dyDescent="0.3">
      <c r="A2233" t="s">
        <v>2257</v>
      </c>
      <c r="B2233" s="1">
        <v>45744</v>
      </c>
      <c r="C2233" t="s">
        <v>14</v>
      </c>
      <c r="D2233" t="s">
        <v>25</v>
      </c>
      <c r="E2233" s="2">
        <v>17</v>
      </c>
      <c r="F2233" s="3">
        <v>43.32</v>
      </c>
      <c r="G2233" s="4">
        <v>181.08</v>
      </c>
      <c r="H2233">
        <v>1.5</v>
      </c>
      <c r="I2233" s="4">
        <v>271.62</v>
      </c>
      <c r="J2233">
        <v>4.2</v>
      </c>
      <c r="K2233" t="s">
        <v>18</v>
      </c>
      <c r="L2233" t="s">
        <v>16</v>
      </c>
      <c r="O2233"/>
    </row>
    <row r="2234" spans="1:15" x14ac:dyDescent="0.3">
      <c r="A2234" t="s">
        <v>2258</v>
      </c>
      <c r="B2234" s="1">
        <v>45703</v>
      </c>
      <c r="C2234" t="s">
        <v>21</v>
      </c>
      <c r="D2234" t="s">
        <v>13</v>
      </c>
      <c r="E2234" s="2">
        <v>3.07</v>
      </c>
      <c r="F2234" s="3">
        <v>10.81</v>
      </c>
      <c r="G2234" s="4">
        <v>45.61</v>
      </c>
      <c r="H2234">
        <v>2</v>
      </c>
      <c r="I2234" s="4">
        <v>91.22</v>
      </c>
      <c r="J2234">
        <v>3.9</v>
      </c>
      <c r="K2234" t="s">
        <v>33</v>
      </c>
      <c r="L2234" t="s">
        <v>19</v>
      </c>
      <c r="O2234"/>
    </row>
    <row r="2235" spans="1:15" x14ac:dyDescent="0.3">
      <c r="A2235" t="s">
        <v>2259</v>
      </c>
      <c r="B2235" s="1">
        <v>45673</v>
      </c>
      <c r="C2235" t="s">
        <v>14</v>
      </c>
      <c r="D2235" t="s">
        <v>13</v>
      </c>
      <c r="E2235" s="2">
        <v>27.94</v>
      </c>
      <c r="F2235" s="3">
        <v>106.77</v>
      </c>
      <c r="G2235" s="4">
        <v>479.36</v>
      </c>
      <c r="H2235">
        <v>1.5</v>
      </c>
      <c r="I2235" s="4">
        <v>719.04</v>
      </c>
      <c r="J2235">
        <v>4.4000000000000004</v>
      </c>
      <c r="K2235" t="s">
        <v>18</v>
      </c>
      <c r="L2235" t="s">
        <v>16</v>
      </c>
      <c r="O2235"/>
    </row>
    <row r="2236" spans="1:15" x14ac:dyDescent="0.3">
      <c r="A2236" t="s">
        <v>2260</v>
      </c>
      <c r="B2236" s="1">
        <v>45847</v>
      </c>
      <c r="C2236" t="s">
        <v>21</v>
      </c>
      <c r="D2236" t="s">
        <v>21</v>
      </c>
      <c r="E2236" s="2">
        <v>12.05</v>
      </c>
      <c r="F2236" s="3">
        <v>38.89</v>
      </c>
      <c r="G2236" s="4">
        <v>195.65</v>
      </c>
      <c r="H2236">
        <v>1</v>
      </c>
      <c r="I2236" s="4">
        <v>195.65</v>
      </c>
      <c r="J2236">
        <v>4.7</v>
      </c>
      <c r="K2236" t="s">
        <v>33</v>
      </c>
      <c r="L2236" t="s">
        <v>19</v>
      </c>
      <c r="O2236"/>
    </row>
    <row r="2237" spans="1:15" x14ac:dyDescent="0.3">
      <c r="A2237" t="s">
        <v>2261</v>
      </c>
      <c r="B2237" s="1">
        <v>45689</v>
      </c>
      <c r="C2237" t="s">
        <v>14</v>
      </c>
      <c r="D2237" t="s">
        <v>14</v>
      </c>
      <c r="E2237" s="2">
        <v>24.85</v>
      </c>
      <c r="F2237" s="3">
        <v>74.78</v>
      </c>
      <c r="G2237" s="4">
        <v>468.55</v>
      </c>
      <c r="H2237">
        <v>1.2</v>
      </c>
      <c r="I2237" s="4">
        <v>562.26</v>
      </c>
      <c r="J2237">
        <v>3.5</v>
      </c>
      <c r="K2237" t="s">
        <v>33</v>
      </c>
      <c r="L2237" t="s">
        <v>28</v>
      </c>
      <c r="O2237"/>
    </row>
    <row r="2238" spans="1:15" x14ac:dyDescent="0.3">
      <c r="A2238" t="s">
        <v>2262</v>
      </c>
      <c r="B2238" s="1">
        <v>45768</v>
      </c>
      <c r="C2238" t="s">
        <v>22</v>
      </c>
      <c r="D2238" t="s">
        <v>22</v>
      </c>
      <c r="E2238" s="2">
        <v>12.1</v>
      </c>
      <c r="F2238" s="3">
        <v>36.94</v>
      </c>
      <c r="G2238" s="4">
        <v>203.08</v>
      </c>
      <c r="H2238">
        <v>1.2</v>
      </c>
      <c r="I2238" s="4">
        <v>243.7</v>
      </c>
      <c r="J2238">
        <v>4.5999999999999996</v>
      </c>
      <c r="K2238" t="s">
        <v>18</v>
      </c>
      <c r="L2238" t="s">
        <v>16</v>
      </c>
      <c r="O2238"/>
    </row>
    <row r="2239" spans="1:15" x14ac:dyDescent="0.3">
      <c r="A2239" t="s">
        <v>2263</v>
      </c>
      <c r="B2239" s="1">
        <v>45987</v>
      </c>
      <c r="C2239" t="s">
        <v>21</v>
      </c>
      <c r="D2239" t="s">
        <v>22</v>
      </c>
      <c r="E2239" s="2">
        <v>12.06</v>
      </c>
      <c r="F2239" s="3">
        <v>36.200000000000003</v>
      </c>
      <c r="G2239" s="4">
        <v>235.31</v>
      </c>
      <c r="H2239">
        <v>1</v>
      </c>
      <c r="I2239" s="4">
        <v>235.31</v>
      </c>
      <c r="J2239">
        <v>4.8</v>
      </c>
      <c r="K2239" t="s">
        <v>15</v>
      </c>
      <c r="L2239" t="s">
        <v>26</v>
      </c>
      <c r="O2239"/>
    </row>
    <row r="2240" spans="1:15" x14ac:dyDescent="0.3">
      <c r="A2240" t="s">
        <v>2264</v>
      </c>
      <c r="B2240" s="1">
        <v>45707</v>
      </c>
      <c r="C2240" t="s">
        <v>14</v>
      </c>
      <c r="D2240" t="s">
        <v>22</v>
      </c>
      <c r="E2240" s="2">
        <v>2.58</v>
      </c>
      <c r="F2240" s="3">
        <v>6.03</v>
      </c>
      <c r="G2240" s="4">
        <v>37.56</v>
      </c>
      <c r="H2240">
        <v>1</v>
      </c>
      <c r="I2240" s="4">
        <v>37.56</v>
      </c>
      <c r="J2240">
        <v>3.6</v>
      </c>
      <c r="K2240" t="s">
        <v>18</v>
      </c>
      <c r="L2240" t="s">
        <v>16</v>
      </c>
      <c r="O2240"/>
    </row>
    <row r="2241" spans="1:15" x14ac:dyDescent="0.3">
      <c r="A2241" t="s">
        <v>2265</v>
      </c>
      <c r="B2241" s="1">
        <v>45893</v>
      </c>
      <c r="C2241" t="s">
        <v>13</v>
      </c>
      <c r="D2241" t="s">
        <v>22</v>
      </c>
      <c r="E2241" s="2">
        <v>16.62</v>
      </c>
      <c r="F2241" s="3">
        <v>62.88</v>
      </c>
      <c r="G2241" s="4">
        <v>318.07</v>
      </c>
      <c r="H2241">
        <v>1.2</v>
      </c>
      <c r="I2241" s="4">
        <v>381.68</v>
      </c>
      <c r="J2241">
        <v>4.5999999999999996</v>
      </c>
      <c r="K2241" t="s">
        <v>36</v>
      </c>
      <c r="L2241" t="s">
        <v>16</v>
      </c>
      <c r="O2241"/>
    </row>
    <row r="2242" spans="1:15" x14ac:dyDescent="0.3">
      <c r="A2242" t="s">
        <v>2266</v>
      </c>
      <c r="B2242" s="1">
        <v>45939</v>
      </c>
      <c r="C2242" t="s">
        <v>25</v>
      </c>
      <c r="D2242" t="s">
        <v>25</v>
      </c>
      <c r="E2242" s="2">
        <v>9.86</v>
      </c>
      <c r="F2242" s="3">
        <v>33.44</v>
      </c>
      <c r="G2242" s="4">
        <v>192.38</v>
      </c>
      <c r="H2242">
        <v>1.5</v>
      </c>
      <c r="I2242" s="4">
        <v>288.57</v>
      </c>
      <c r="J2242">
        <v>3</v>
      </c>
      <c r="K2242" t="s">
        <v>18</v>
      </c>
      <c r="L2242" t="s">
        <v>26</v>
      </c>
      <c r="O2242"/>
    </row>
    <row r="2243" spans="1:15" x14ac:dyDescent="0.3">
      <c r="A2243" t="s">
        <v>2267</v>
      </c>
      <c r="B2243" s="1">
        <v>45862</v>
      </c>
      <c r="C2243" t="s">
        <v>14</v>
      </c>
      <c r="D2243" t="s">
        <v>13</v>
      </c>
      <c r="E2243" s="2">
        <v>5.19</v>
      </c>
      <c r="F2243" s="3">
        <v>12.8</v>
      </c>
      <c r="G2243" s="4">
        <v>98.89</v>
      </c>
      <c r="H2243">
        <v>1.2</v>
      </c>
      <c r="I2243" s="4">
        <v>118.67</v>
      </c>
      <c r="J2243">
        <v>3.8</v>
      </c>
      <c r="K2243" t="s">
        <v>15</v>
      </c>
      <c r="L2243" t="s">
        <v>26</v>
      </c>
      <c r="O2243"/>
    </row>
    <row r="2244" spans="1:15" x14ac:dyDescent="0.3">
      <c r="A2244" t="s">
        <v>2268</v>
      </c>
      <c r="B2244" s="1">
        <v>45903</v>
      </c>
      <c r="C2244" t="s">
        <v>13</v>
      </c>
      <c r="D2244" t="s">
        <v>25</v>
      </c>
      <c r="E2244" s="2">
        <v>9.98</v>
      </c>
      <c r="F2244" s="3">
        <v>32.270000000000003</v>
      </c>
      <c r="G2244" s="4">
        <v>153.1</v>
      </c>
      <c r="H2244">
        <v>1</v>
      </c>
      <c r="I2244" s="4">
        <v>153.1</v>
      </c>
      <c r="J2244">
        <v>3.2</v>
      </c>
      <c r="K2244" t="s">
        <v>18</v>
      </c>
      <c r="L2244" t="s">
        <v>19</v>
      </c>
      <c r="O2244"/>
    </row>
    <row r="2245" spans="1:15" x14ac:dyDescent="0.3">
      <c r="A2245" t="s">
        <v>2269</v>
      </c>
      <c r="B2245" s="1">
        <v>46008</v>
      </c>
      <c r="C2245" t="s">
        <v>25</v>
      </c>
      <c r="D2245" t="s">
        <v>22</v>
      </c>
      <c r="E2245" s="2">
        <v>15.57</v>
      </c>
      <c r="F2245" s="3">
        <v>39.58</v>
      </c>
      <c r="G2245" s="4">
        <v>303.24</v>
      </c>
      <c r="H2245">
        <v>1</v>
      </c>
      <c r="I2245" s="4">
        <v>303.24</v>
      </c>
      <c r="J2245">
        <v>3.2</v>
      </c>
      <c r="K2245" t="s">
        <v>30</v>
      </c>
      <c r="L2245" t="s">
        <v>16</v>
      </c>
      <c r="O2245"/>
    </row>
    <row r="2246" spans="1:15" x14ac:dyDescent="0.3">
      <c r="A2246" t="s">
        <v>2270</v>
      </c>
      <c r="B2246" s="1">
        <v>45829</v>
      </c>
      <c r="C2246" t="s">
        <v>14</v>
      </c>
      <c r="D2246" t="s">
        <v>14</v>
      </c>
      <c r="E2246" s="2">
        <v>22.15</v>
      </c>
      <c r="F2246" s="3">
        <v>58.87</v>
      </c>
      <c r="G2246" s="4">
        <v>366.25</v>
      </c>
      <c r="H2246">
        <v>1</v>
      </c>
      <c r="I2246" s="4">
        <v>366.25</v>
      </c>
      <c r="J2246">
        <v>3.3</v>
      </c>
      <c r="K2246" t="s">
        <v>30</v>
      </c>
      <c r="L2246" t="s">
        <v>19</v>
      </c>
      <c r="O2246"/>
    </row>
    <row r="2247" spans="1:15" x14ac:dyDescent="0.3">
      <c r="A2247" t="s">
        <v>2271</v>
      </c>
      <c r="B2247" s="1">
        <v>45950</v>
      </c>
      <c r="C2247" t="s">
        <v>13</v>
      </c>
      <c r="D2247" t="s">
        <v>13</v>
      </c>
      <c r="E2247" s="2">
        <v>23.39</v>
      </c>
      <c r="F2247" s="3">
        <v>90.19</v>
      </c>
      <c r="G2247" s="4">
        <v>294.98</v>
      </c>
      <c r="H2247">
        <v>1.5</v>
      </c>
      <c r="I2247" s="4">
        <v>442.47</v>
      </c>
      <c r="J2247">
        <v>3.3</v>
      </c>
      <c r="K2247" t="s">
        <v>30</v>
      </c>
      <c r="L2247" t="s">
        <v>28</v>
      </c>
      <c r="O2247"/>
    </row>
    <row r="2248" spans="1:15" x14ac:dyDescent="0.3">
      <c r="A2248" t="s">
        <v>2272</v>
      </c>
      <c r="B2248" s="1">
        <v>45676</v>
      </c>
      <c r="C2248" t="s">
        <v>22</v>
      </c>
      <c r="D2248" t="s">
        <v>14</v>
      </c>
      <c r="E2248" s="2">
        <v>27.89</v>
      </c>
      <c r="F2248" s="3">
        <v>106.06</v>
      </c>
      <c r="G2248" s="4">
        <v>303.97000000000003</v>
      </c>
      <c r="H2248">
        <v>2</v>
      </c>
      <c r="I2248" s="4">
        <v>607.94000000000005</v>
      </c>
      <c r="J2248">
        <v>3.9</v>
      </c>
      <c r="K2248" t="s">
        <v>15</v>
      </c>
      <c r="L2248" t="s">
        <v>26</v>
      </c>
      <c r="O2248"/>
    </row>
    <row r="2249" spans="1:15" x14ac:dyDescent="0.3">
      <c r="A2249" t="s">
        <v>2273</v>
      </c>
      <c r="B2249" s="1">
        <v>45807</v>
      </c>
      <c r="C2249" t="s">
        <v>21</v>
      </c>
      <c r="D2249" t="s">
        <v>13</v>
      </c>
      <c r="E2249" s="2">
        <v>17.149999999999999</v>
      </c>
      <c r="F2249" s="3">
        <v>56.98</v>
      </c>
      <c r="G2249" s="4">
        <v>228.57</v>
      </c>
      <c r="H2249">
        <v>1</v>
      </c>
      <c r="I2249" s="4">
        <v>228.57</v>
      </c>
      <c r="J2249">
        <v>4.9000000000000004</v>
      </c>
      <c r="K2249" t="s">
        <v>15</v>
      </c>
      <c r="L2249" t="s">
        <v>16</v>
      </c>
      <c r="O2249"/>
    </row>
    <row r="2250" spans="1:15" x14ac:dyDescent="0.3">
      <c r="A2250" t="s">
        <v>2274</v>
      </c>
      <c r="B2250" s="1">
        <v>45969</v>
      </c>
      <c r="C2250" t="s">
        <v>22</v>
      </c>
      <c r="D2250" t="s">
        <v>14</v>
      </c>
      <c r="E2250" s="2">
        <v>11.88</v>
      </c>
      <c r="F2250" s="3">
        <v>37.99</v>
      </c>
      <c r="G2250" s="4">
        <v>220.52</v>
      </c>
      <c r="H2250">
        <v>1</v>
      </c>
      <c r="I2250" s="4">
        <v>220.52</v>
      </c>
      <c r="J2250">
        <v>4.0999999999999996</v>
      </c>
      <c r="K2250" t="s">
        <v>33</v>
      </c>
      <c r="L2250" t="s">
        <v>19</v>
      </c>
      <c r="O2250"/>
    </row>
    <row r="2251" spans="1:15" x14ac:dyDescent="0.3">
      <c r="A2251" t="s">
        <v>2275</v>
      </c>
      <c r="B2251" s="1">
        <v>45819</v>
      </c>
      <c r="C2251" t="s">
        <v>22</v>
      </c>
      <c r="D2251" t="s">
        <v>14</v>
      </c>
      <c r="E2251" s="2">
        <v>12.86</v>
      </c>
      <c r="F2251" s="3">
        <v>31.02</v>
      </c>
      <c r="G2251" s="4">
        <v>180.39</v>
      </c>
      <c r="H2251">
        <v>1.5</v>
      </c>
      <c r="I2251" s="4">
        <v>270.58</v>
      </c>
      <c r="J2251">
        <v>3.3</v>
      </c>
      <c r="K2251" t="s">
        <v>18</v>
      </c>
      <c r="L2251" t="s">
        <v>16</v>
      </c>
      <c r="O2251"/>
    </row>
    <row r="2252" spans="1:15" x14ac:dyDescent="0.3">
      <c r="A2252" t="s">
        <v>2276</v>
      </c>
      <c r="B2252" s="1">
        <v>45774</v>
      </c>
      <c r="C2252" t="s">
        <v>25</v>
      </c>
      <c r="D2252" t="s">
        <v>21</v>
      </c>
      <c r="E2252" s="2">
        <v>8.33</v>
      </c>
      <c r="F2252" s="3">
        <v>21.85</v>
      </c>
      <c r="G2252" s="4">
        <v>93.39</v>
      </c>
      <c r="H2252">
        <v>1</v>
      </c>
      <c r="I2252" s="4">
        <v>93.39</v>
      </c>
      <c r="J2252">
        <v>4.5</v>
      </c>
      <c r="K2252" t="s">
        <v>33</v>
      </c>
      <c r="L2252" t="s">
        <v>28</v>
      </c>
      <c r="O2252"/>
    </row>
    <row r="2253" spans="1:15" x14ac:dyDescent="0.3">
      <c r="A2253" t="s">
        <v>2277</v>
      </c>
      <c r="B2253" s="1">
        <v>45741</v>
      </c>
      <c r="C2253" t="s">
        <v>14</v>
      </c>
      <c r="D2253" t="s">
        <v>13</v>
      </c>
      <c r="E2253" s="2">
        <v>17.59</v>
      </c>
      <c r="F2253" s="3">
        <v>55.21</v>
      </c>
      <c r="G2253" s="4">
        <v>248.11</v>
      </c>
      <c r="H2253">
        <v>1</v>
      </c>
      <c r="I2253" s="4">
        <v>248.11</v>
      </c>
      <c r="J2253">
        <v>4.5999999999999996</v>
      </c>
      <c r="K2253" t="s">
        <v>15</v>
      </c>
      <c r="L2253" t="s">
        <v>19</v>
      </c>
      <c r="O2253"/>
    </row>
    <row r="2254" spans="1:15" x14ac:dyDescent="0.3">
      <c r="A2254" t="s">
        <v>2278</v>
      </c>
      <c r="B2254" s="1">
        <v>45763</v>
      </c>
      <c r="C2254" t="s">
        <v>22</v>
      </c>
      <c r="D2254" t="s">
        <v>22</v>
      </c>
      <c r="E2254" s="2">
        <v>8.67</v>
      </c>
      <c r="F2254" s="3">
        <v>19.59</v>
      </c>
      <c r="G2254" s="4">
        <v>129.76</v>
      </c>
      <c r="H2254">
        <v>1.5</v>
      </c>
      <c r="I2254" s="4">
        <v>194.64</v>
      </c>
      <c r="J2254">
        <v>3.6</v>
      </c>
      <c r="K2254" t="s">
        <v>33</v>
      </c>
      <c r="L2254" t="s">
        <v>19</v>
      </c>
      <c r="O2254"/>
    </row>
    <row r="2255" spans="1:15" x14ac:dyDescent="0.3">
      <c r="A2255" t="s">
        <v>2279</v>
      </c>
      <c r="B2255" s="1">
        <v>45931</v>
      </c>
      <c r="C2255" t="s">
        <v>21</v>
      </c>
      <c r="D2255" t="s">
        <v>22</v>
      </c>
      <c r="E2255" s="2">
        <v>14.03</v>
      </c>
      <c r="F2255" s="3">
        <v>47.94</v>
      </c>
      <c r="G2255" s="4">
        <v>227.77</v>
      </c>
      <c r="H2255">
        <v>1</v>
      </c>
      <c r="I2255" s="4">
        <v>227.77</v>
      </c>
      <c r="J2255">
        <v>4.7</v>
      </c>
      <c r="K2255" t="s">
        <v>33</v>
      </c>
      <c r="L2255" t="s">
        <v>28</v>
      </c>
      <c r="O2255"/>
    </row>
    <row r="2256" spans="1:15" x14ac:dyDescent="0.3">
      <c r="A2256" t="s">
        <v>2280</v>
      </c>
      <c r="B2256" s="1">
        <v>45990</v>
      </c>
      <c r="C2256" t="s">
        <v>21</v>
      </c>
      <c r="D2256" t="s">
        <v>21</v>
      </c>
      <c r="E2256" s="2">
        <v>9.49</v>
      </c>
      <c r="F2256" s="3">
        <v>25.1</v>
      </c>
      <c r="G2256" s="4">
        <v>136.47</v>
      </c>
      <c r="H2256">
        <v>1</v>
      </c>
      <c r="I2256" s="4">
        <v>136.47</v>
      </c>
      <c r="J2256">
        <v>3.6</v>
      </c>
      <c r="K2256" t="s">
        <v>36</v>
      </c>
      <c r="L2256" t="s">
        <v>28</v>
      </c>
      <c r="O2256"/>
    </row>
    <row r="2257" spans="1:15" x14ac:dyDescent="0.3">
      <c r="A2257" t="s">
        <v>2281</v>
      </c>
      <c r="B2257" s="1">
        <v>45914</v>
      </c>
      <c r="C2257" t="s">
        <v>13</v>
      </c>
      <c r="D2257" t="s">
        <v>21</v>
      </c>
      <c r="E2257" s="2">
        <v>2.11</v>
      </c>
      <c r="F2257" s="3">
        <v>4.9000000000000004</v>
      </c>
      <c r="G2257" s="4">
        <v>39.93</v>
      </c>
      <c r="H2257">
        <v>1.5</v>
      </c>
      <c r="I2257" s="4">
        <v>59.9</v>
      </c>
      <c r="J2257">
        <v>3.5</v>
      </c>
      <c r="K2257" t="s">
        <v>30</v>
      </c>
      <c r="L2257" t="s">
        <v>28</v>
      </c>
      <c r="O2257"/>
    </row>
    <row r="2258" spans="1:15" x14ac:dyDescent="0.3">
      <c r="A2258" t="s">
        <v>2282</v>
      </c>
      <c r="B2258" s="1">
        <v>45962</v>
      </c>
      <c r="C2258" t="s">
        <v>22</v>
      </c>
      <c r="D2258" t="s">
        <v>22</v>
      </c>
      <c r="E2258" s="2">
        <v>16.47</v>
      </c>
      <c r="F2258" s="3">
        <v>61.2</v>
      </c>
      <c r="G2258" s="4">
        <v>286.04000000000002</v>
      </c>
      <c r="H2258">
        <v>1</v>
      </c>
      <c r="I2258" s="4">
        <v>286.04000000000002</v>
      </c>
      <c r="J2258">
        <v>4.2</v>
      </c>
      <c r="K2258" t="s">
        <v>33</v>
      </c>
      <c r="L2258" t="s">
        <v>26</v>
      </c>
      <c r="O2258"/>
    </row>
    <row r="2259" spans="1:15" x14ac:dyDescent="0.3">
      <c r="A2259" t="s">
        <v>2283</v>
      </c>
      <c r="B2259" s="1">
        <v>45858</v>
      </c>
      <c r="C2259" t="s">
        <v>22</v>
      </c>
      <c r="D2259" t="s">
        <v>22</v>
      </c>
      <c r="E2259" s="2">
        <v>15.73</v>
      </c>
      <c r="F2259" s="3">
        <v>56.95</v>
      </c>
      <c r="G2259" s="4">
        <v>289.29000000000002</v>
      </c>
      <c r="H2259">
        <v>1.2</v>
      </c>
      <c r="I2259" s="4">
        <v>347.15</v>
      </c>
      <c r="J2259">
        <v>4.9000000000000004</v>
      </c>
      <c r="K2259" t="s">
        <v>36</v>
      </c>
      <c r="L2259" t="s">
        <v>28</v>
      </c>
      <c r="O2259"/>
    </row>
    <row r="2260" spans="1:15" x14ac:dyDescent="0.3">
      <c r="A2260" t="s">
        <v>2284</v>
      </c>
      <c r="B2260" s="1">
        <v>46022</v>
      </c>
      <c r="C2260" t="s">
        <v>21</v>
      </c>
      <c r="D2260" t="s">
        <v>25</v>
      </c>
      <c r="E2260" s="2">
        <v>3.16</v>
      </c>
      <c r="F2260" s="3">
        <v>11.48</v>
      </c>
      <c r="G2260" s="4">
        <v>59.04</v>
      </c>
      <c r="H2260">
        <v>2</v>
      </c>
      <c r="I2260" s="4">
        <v>118.08</v>
      </c>
      <c r="J2260">
        <v>3.9</v>
      </c>
      <c r="K2260" t="s">
        <v>18</v>
      </c>
      <c r="L2260" t="s">
        <v>16</v>
      </c>
      <c r="O2260"/>
    </row>
    <row r="2261" spans="1:15" x14ac:dyDescent="0.3">
      <c r="A2261" t="s">
        <v>2285</v>
      </c>
      <c r="B2261" s="1">
        <v>45737</v>
      </c>
      <c r="C2261" t="s">
        <v>13</v>
      </c>
      <c r="D2261" t="s">
        <v>21</v>
      </c>
      <c r="E2261" s="2">
        <v>20.2</v>
      </c>
      <c r="F2261" s="3">
        <v>68.95</v>
      </c>
      <c r="G2261" s="4">
        <v>382.39</v>
      </c>
      <c r="H2261">
        <v>2</v>
      </c>
      <c r="I2261" s="4">
        <v>764.78</v>
      </c>
      <c r="J2261">
        <v>3</v>
      </c>
      <c r="K2261" t="s">
        <v>33</v>
      </c>
      <c r="L2261" t="s">
        <v>28</v>
      </c>
      <c r="O2261"/>
    </row>
    <row r="2262" spans="1:15" x14ac:dyDescent="0.3">
      <c r="A2262" t="s">
        <v>2286</v>
      </c>
      <c r="B2262" s="1">
        <v>45982</v>
      </c>
      <c r="C2262" t="s">
        <v>14</v>
      </c>
      <c r="D2262" t="s">
        <v>25</v>
      </c>
      <c r="E2262" s="2">
        <v>24.16</v>
      </c>
      <c r="F2262" s="3">
        <v>94.93</v>
      </c>
      <c r="G2262" s="4">
        <v>278.14</v>
      </c>
      <c r="H2262">
        <v>1.5</v>
      </c>
      <c r="I2262" s="4">
        <v>417.21</v>
      </c>
      <c r="J2262">
        <v>5</v>
      </c>
      <c r="K2262" t="s">
        <v>30</v>
      </c>
      <c r="L2262" t="s">
        <v>26</v>
      </c>
      <c r="O2262"/>
    </row>
    <row r="2263" spans="1:15" x14ac:dyDescent="0.3">
      <c r="A2263" t="s">
        <v>2287</v>
      </c>
      <c r="B2263" s="1">
        <v>45795</v>
      </c>
      <c r="C2263" t="s">
        <v>25</v>
      </c>
      <c r="D2263" t="s">
        <v>14</v>
      </c>
      <c r="E2263" s="2">
        <v>6.66</v>
      </c>
      <c r="F2263" s="3">
        <v>13.89</v>
      </c>
      <c r="G2263" s="4">
        <v>77.260000000000005</v>
      </c>
      <c r="H2263">
        <v>1.2</v>
      </c>
      <c r="I2263" s="4">
        <v>92.71</v>
      </c>
      <c r="J2263">
        <v>4.4000000000000004</v>
      </c>
      <c r="K2263" t="s">
        <v>33</v>
      </c>
      <c r="L2263" t="s">
        <v>16</v>
      </c>
      <c r="O2263"/>
    </row>
    <row r="2264" spans="1:15" x14ac:dyDescent="0.3">
      <c r="A2264" t="s">
        <v>2288</v>
      </c>
      <c r="B2264" s="1">
        <v>45975</v>
      </c>
      <c r="C2264" t="s">
        <v>25</v>
      </c>
      <c r="D2264" t="s">
        <v>25</v>
      </c>
      <c r="E2264" s="2">
        <v>9.85</v>
      </c>
      <c r="F2264" s="3">
        <v>38.909999999999997</v>
      </c>
      <c r="G2264" s="4">
        <v>167.88</v>
      </c>
      <c r="H2264">
        <v>2</v>
      </c>
      <c r="I2264" s="4">
        <v>335.76</v>
      </c>
      <c r="J2264">
        <v>4.3</v>
      </c>
      <c r="K2264" t="s">
        <v>15</v>
      </c>
      <c r="L2264" t="s">
        <v>28</v>
      </c>
      <c r="O2264"/>
    </row>
    <row r="2265" spans="1:15" x14ac:dyDescent="0.3">
      <c r="A2265" t="s">
        <v>2289</v>
      </c>
      <c r="B2265" s="1">
        <v>45809</v>
      </c>
      <c r="C2265" t="s">
        <v>22</v>
      </c>
      <c r="D2265" t="s">
        <v>13</v>
      </c>
      <c r="E2265" s="2">
        <v>22.23</v>
      </c>
      <c r="F2265" s="3">
        <v>77.33</v>
      </c>
      <c r="G2265" s="4">
        <v>368.96</v>
      </c>
      <c r="H2265">
        <v>1.2</v>
      </c>
      <c r="I2265" s="4">
        <v>442.75</v>
      </c>
      <c r="J2265">
        <v>4.3</v>
      </c>
      <c r="K2265" t="s">
        <v>15</v>
      </c>
      <c r="L2265" t="s">
        <v>16</v>
      </c>
      <c r="O2265"/>
    </row>
    <row r="2266" spans="1:15" x14ac:dyDescent="0.3">
      <c r="A2266" t="s">
        <v>2290</v>
      </c>
      <c r="B2266" s="1">
        <v>46022</v>
      </c>
      <c r="C2266" t="s">
        <v>25</v>
      </c>
      <c r="D2266" t="s">
        <v>13</v>
      </c>
      <c r="E2266" s="2">
        <v>25.54</v>
      </c>
      <c r="F2266" s="3">
        <v>85.31</v>
      </c>
      <c r="G2266" s="4">
        <v>442.55</v>
      </c>
      <c r="H2266">
        <v>1.5</v>
      </c>
      <c r="I2266" s="4">
        <v>663.82</v>
      </c>
      <c r="J2266">
        <v>3.9</v>
      </c>
      <c r="K2266" t="s">
        <v>18</v>
      </c>
      <c r="L2266" t="s">
        <v>28</v>
      </c>
      <c r="O2266"/>
    </row>
    <row r="2267" spans="1:15" x14ac:dyDescent="0.3">
      <c r="A2267" t="s">
        <v>2291</v>
      </c>
      <c r="B2267" s="1">
        <v>45957</v>
      </c>
      <c r="C2267" t="s">
        <v>13</v>
      </c>
      <c r="D2267" t="s">
        <v>14</v>
      </c>
      <c r="E2267" s="2">
        <v>23.01</v>
      </c>
      <c r="F2267" s="3">
        <v>49.15</v>
      </c>
      <c r="G2267" s="4">
        <v>384.99</v>
      </c>
      <c r="H2267">
        <v>1</v>
      </c>
      <c r="I2267" s="4">
        <v>384.99</v>
      </c>
      <c r="J2267">
        <v>3.8</v>
      </c>
      <c r="K2267" t="s">
        <v>15</v>
      </c>
      <c r="L2267" t="s">
        <v>16</v>
      </c>
      <c r="O2267"/>
    </row>
    <row r="2268" spans="1:15" x14ac:dyDescent="0.3">
      <c r="A2268" t="s">
        <v>2292</v>
      </c>
      <c r="B2268" s="1">
        <v>45877</v>
      </c>
      <c r="C2268" t="s">
        <v>21</v>
      </c>
      <c r="D2268" t="s">
        <v>25</v>
      </c>
      <c r="E2268" s="2">
        <v>11.55</v>
      </c>
      <c r="F2268" s="3">
        <v>31.73</v>
      </c>
      <c r="G2268" s="4">
        <v>230.21</v>
      </c>
      <c r="H2268">
        <v>2</v>
      </c>
      <c r="I2268" s="4">
        <v>460.42</v>
      </c>
      <c r="J2268">
        <v>4.2</v>
      </c>
      <c r="K2268" t="s">
        <v>15</v>
      </c>
      <c r="L2268" t="s">
        <v>28</v>
      </c>
      <c r="O2268"/>
    </row>
    <row r="2269" spans="1:15" x14ac:dyDescent="0.3">
      <c r="A2269" t="s">
        <v>2293</v>
      </c>
      <c r="B2269" s="1">
        <v>45686</v>
      </c>
      <c r="C2269" t="s">
        <v>22</v>
      </c>
      <c r="D2269" t="s">
        <v>13</v>
      </c>
      <c r="E2269" s="2">
        <v>22.05</v>
      </c>
      <c r="F2269" s="3">
        <v>46.38</v>
      </c>
      <c r="G2269" s="4">
        <v>227.16</v>
      </c>
      <c r="H2269">
        <v>2</v>
      </c>
      <c r="I2269" s="4">
        <v>454.32</v>
      </c>
      <c r="J2269">
        <v>4.9000000000000004</v>
      </c>
      <c r="K2269" t="s">
        <v>18</v>
      </c>
      <c r="L2269" t="s">
        <v>19</v>
      </c>
      <c r="O2269"/>
    </row>
    <row r="2270" spans="1:15" x14ac:dyDescent="0.3">
      <c r="A2270" t="s">
        <v>2294</v>
      </c>
      <c r="B2270" s="1">
        <v>45936</v>
      </c>
      <c r="C2270" t="s">
        <v>14</v>
      </c>
      <c r="D2270" t="s">
        <v>13</v>
      </c>
      <c r="E2270" s="2">
        <v>28.29</v>
      </c>
      <c r="F2270" s="3">
        <v>67.55</v>
      </c>
      <c r="G2270" s="4">
        <v>328.64</v>
      </c>
      <c r="H2270">
        <v>2</v>
      </c>
      <c r="I2270" s="4">
        <v>657.28</v>
      </c>
      <c r="J2270">
        <v>4.5999999999999996</v>
      </c>
      <c r="K2270" t="s">
        <v>30</v>
      </c>
      <c r="L2270" t="s">
        <v>28</v>
      </c>
      <c r="O2270"/>
    </row>
    <row r="2271" spans="1:15" x14ac:dyDescent="0.3">
      <c r="A2271" t="s">
        <v>2295</v>
      </c>
      <c r="B2271" s="1">
        <v>45862</v>
      </c>
      <c r="C2271" t="s">
        <v>25</v>
      </c>
      <c r="D2271" t="s">
        <v>22</v>
      </c>
      <c r="E2271" s="2">
        <v>17.52</v>
      </c>
      <c r="F2271" s="3">
        <v>42.8</v>
      </c>
      <c r="G2271" s="4">
        <v>307.76</v>
      </c>
      <c r="H2271">
        <v>2</v>
      </c>
      <c r="I2271" s="4">
        <v>615.52</v>
      </c>
      <c r="J2271">
        <v>3.2</v>
      </c>
      <c r="K2271" t="s">
        <v>30</v>
      </c>
      <c r="L2271" t="s">
        <v>26</v>
      </c>
      <c r="O2271"/>
    </row>
    <row r="2272" spans="1:15" x14ac:dyDescent="0.3">
      <c r="A2272" t="s">
        <v>2296</v>
      </c>
      <c r="B2272" s="1">
        <v>45965</v>
      </c>
      <c r="C2272" t="s">
        <v>21</v>
      </c>
      <c r="D2272" t="s">
        <v>13</v>
      </c>
      <c r="E2272" s="2">
        <v>20.04</v>
      </c>
      <c r="F2272" s="3">
        <v>57.57</v>
      </c>
      <c r="G2272" s="4">
        <v>358.7</v>
      </c>
      <c r="H2272">
        <v>1</v>
      </c>
      <c r="I2272" s="4">
        <v>358.7</v>
      </c>
      <c r="J2272">
        <v>4.5999999999999996</v>
      </c>
      <c r="K2272" t="s">
        <v>30</v>
      </c>
      <c r="L2272" t="s">
        <v>19</v>
      </c>
      <c r="O2272"/>
    </row>
    <row r="2273" spans="1:15" x14ac:dyDescent="0.3">
      <c r="A2273" t="s">
        <v>2297</v>
      </c>
      <c r="B2273" s="1">
        <v>45960</v>
      </c>
      <c r="C2273" t="s">
        <v>13</v>
      </c>
      <c r="D2273" t="s">
        <v>13</v>
      </c>
      <c r="E2273" s="2">
        <v>10.85</v>
      </c>
      <c r="F2273" s="3">
        <v>42.01</v>
      </c>
      <c r="G2273" s="4">
        <v>126.37</v>
      </c>
      <c r="H2273">
        <v>1.5</v>
      </c>
      <c r="I2273" s="4">
        <v>189.56</v>
      </c>
      <c r="J2273">
        <v>3.4</v>
      </c>
      <c r="K2273" t="s">
        <v>36</v>
      </c>
      <c r="L2273" t="s">
        <v>16</v>
      </c>
      <c r="O2273"/>
    </row>
    <row r="2274" spans="1:15" x14ac:dyDescent="0.3">
      <c r="A2274" t="s">
        <v>2298</v>
      </c>
      <c r="B2274" s="1">
        <v>45687</v>
      </c>
      <c r="C2274" t="s">
        <v>22</v>
      </c>
      <c r="D2274" t="s">
        <v>21</v>
      </c>
      <c r="E2274" s="2">
        <v>24.24</v>
      </c>
      <c r="F2274" s="3">
        <v>85.89</v>
      </c>
      <c r="G2274" s="4">
        <v>465.29</v>
      </c>
      <c r="H2274">
        <v>1.5</v>
      </c>
      <c r="I2274" s="4">
        <v>697.94</v>
      </c>
      <c r="J2274">
        <v>4.5</v>
      </c>
      <c r="K2274" t="s">
        <v>15</v>
      </c>
      <c r="L2274" t="s">
        <v>26</v>
      </c>
      <c r="O2274"/>
    </row>
    <row r="2275" spans="1:15" x14ac:dyDescent="0.3">
      <c r="A2275" t="s">
        <v>2299</v>
      </c>
      <c r="B2275" s="1">
        <v>45984</v>
      </c>
      <c r="C2275" t="s">
        <v>22</v>
      </c>
      <c r="D2275" t="s">
        <v>22</v>
      </c>
      <c r="E2275" s="2">
        <v>18.07</v>
      </c>
      <c r="F2275" s="3">
        <v>64.27</v>
      </c>
      <c r="G2275" s="4">
        <v>197.56</v>
      </c>
      <c r="H2275">
        <v>1</v>
      </c>
      <c r="I2275" s="4">
        <v>197.56</v>
      </c>
      <c r="J2275">
        <v>3.2</v>
      </c>
      <c r="K2275" t="s">
        <v>18</v>
      </c>
      <c r="L2275" t="s">
        <v>28</v>
      </c>
      <c r="O2275"/>
    </row>
    <row r="2276" spans="1:15" x14ac:dyDescent="0.3">
      <c r="A2276" t="s">
        <v>2300</v>
      </c>
      <c r="B2276" s="1">
        <v>45731</v>
      </c>
      <c r="C2276" t="s">
        <v>21</v>
      </c>
      <c r="D2276" t="s">
        <v>13</v>
      </c>
      <c r="E2276" s="2">
        <v>18.22</v>
      </c>
      <c r="F2276" s="3">
        <v>68.75</v>
      </c>
      <c r="G2276" s="4">
        <v>304.39</v>
      </c>
      <c r="H2276">
        <v>2</v>
      </c>
      <c r="I2276" s="4">
        <v>608.78</v>
      </c>
      <c r="J2276">
        <v>3.7</v>
      </c>
      <c r="K2276" t="s">
        <v>18</v>
      </c>
      <c r="L2276" t="s">
        <v>26</v>
      </c>
      <c r="O2276"/>
    </row>
    <row r="2277" spans="1:15" x14ac:dyDescent="0.3">
      <c r="A2277" t="s">
        <v>2301</v>
      </c>
      <c r="B2277" s="1">
        <v>45741</v>
      </c>
      <c r="C2277" t="s">
        <v>21</v>
      </c>
      <c r="D2277" t="s">
        <v>22</v>
      </c>
      <c r="E2277" s="2">
        <v>1.89</v>
      </c>
      <c r="F2277" s="3">
        <v>7.45</v>
      </c>
      <c r="G2277" s="4">
        <v>36.380000000000003</v>
      </c>
      <c r="H2277">
        <v>2</v>
      </c>
      <c r="I2277" s="4">
        <v>72.760000000000005</v>
      </c>
      <c r="J2277">
        <v>3.6</v>
      </c>
      <c r="K2277" t="s">
        <v>36</v>
      </c>
      <c r="L2277" t="s">
        <v>28</v>
      </c>
      <c r="O2277"/>
    </row>
    <row r="2278" spans="1:15" x14ac:dyDescent="0.3">
      <c r="A2278" t="s">
        <v>2302</v>
      </c>
      <c r="B2278" s="1">
        <v>45945</v>
      </c>
      <c r="C2278" t="s">
        <v>22</v>
      </c>
      <c r="D2278" t="s">
        <v>14</v>
      </c>
      <c r="E2278" s="2">
        <v>28.67</v>
      </c>
      <c r="F2278" s="3">
        <v>109.08</v>
      </c>
      <c r="G2278" s="4">
        <v>513.26</v>
      </c>
      <c r="H2278">
        <v>2</v>
      </c>
      <c r="I2278" s="4">
        <v>1026.52</v>
      </c>
      <c r="J2278">
        <v>4.0999999999999996</v>
      </c>
      <c r="K2278" t="s">
        <v>15</v>
      </c>
      <c r="L2278" t="s">
        <v>26</v>
      </c>
      <c r="O2278"/>
    </row>
    <row r="2279" spans="1:15" x14ac:dyDescent="0.3">
      <c r="A2279" t="s">
        <v>2303</v>
      </c>
      <c r="B2279" s="1">
        <v>45727</v>
      </c>
      <c r="C2279" t="s">
        <v>14</v>
      </c>
      <c r="D2279" t="s">
        <v>14</v>
      </c>
      <c r="E2279" s="2">
        <v>8.92</v>
      </c>
      <c r="F2279" s="3">
        <v>29.02</v>
      </c>
      <c r="G2279" s="4">
        <v>163.05000000000001</v>
      </c>
      <c r="H2279">
        <v>1.2</v>
      </c>
      <c r="I2279" s="4">
        <v>195.66</v>
      </c>
      <c r="J2279">
        <v>4.5999999999999996</v>
      </c>
      <c r="K2279" t="s">
        <v>30</v>
      </c>
      <c r="L2279" t="s">
        <v>28</v>
      </c>
      <c r="O2279"/>
    </row>
    <row r="2280" spans="1:15" x14ac:dyDescent="0.3">
      <c r="A2280" t="s">
        <v>2304</v>
      </c>
      <c r="B2280" s="1">
        <v>45798</v>
      </c>
      <c r="C2280" t="s">
        <v>21</v>
      </c>
      <c r="D2280" t="s">
        <v>21</v>
      </c>
      <c r="E2280" s="2">
        <v>17.95</v>
      </c>
      <c r="F2280" s="3">
        <v>71.39</v>
      </c>
      <c r="G2280" s="4">
        <v>287.56</v>
      </c>
      <c r="H2280">
        <v>2</v>
      </c>
      <c r="I2280" s="4">
        <v>575.12</v>
      </c>
      <c r="J2280">
        <v>3</v>
      </c>
      <c r="K2280" t="s">
        <v>15</v>
      </c>
      <c r="L2280" t="s">
        <v>19</v>
      </c>
      <c r="O2280"/>
    </row>
    <row r="2281" spans="1:15" x14ac:dyDescent="0.3">
      <c r="A2281" t="s">
        <v>2305</v>
      </c>
      <c r="B2281" s="1">
        <v>45755</v>
      </c>
      <c r="C2281" t="s">
        <v>21</v>
      </c>
      <c r="D2281" t="s">
        <v>25</v>
      </c>
      <c r="E2281" s="2">
        <v>21.34</v>
      </c>
      <c r="F2281" s="3">
        <v>73.25</v>
      </c>
      <c r="G2281" s="4">
        <v>310.37</v>
      </c>
      <c r="H2281">
        <v>1</v>
      </c>
      <c r="I2281" s="4">
        <v>310.37</v>
      </c>
      <c r="J2281">
        <v>3.7</v>
      </c>
      <c r="K2281" t="s">
        <v>18</v>
      </c>
      <c r="L2281" t="s">
        <v>19</v>
      </c>
      <c r="O2281"/>
    </row>
    <row r="2282" spans="1:15" x14ac:dyDescent="0.3">
      <c r="A2282" t="s">
        <v>2306</v>
      </c>
      <c r="B2282" s="1">
        <v>45938</v>
      </c>
      <c r="C2282" t="s">
        <v>25</v>
      </c>
      <c r="D2282" t="s">
        <v>22</v>
      </c>
      <c r="E2282" s="2">
        <v>7.99</v>
      </c>
      <c r="F2282" s="3">
        <v>18.45</v>
      </c>
      <c r="G2282" s="4">
        <v>150.72999999999999</v>
      </c>
      <c r="H2282">
        <v>2</v>
      </c>
      <c r="I2282" s="4">
        <v>301.45999999999998</v>
      </c>
      <c r="J2282">
        <v>4.3</v>
      </c>
      <c r="K2282" t="s">
        <v>33</v>
      </c>
      <c r="L2282" t="s">
        <v>19</v>
      </c>
      <c r="O2282"/>
    </row>
    <row r="2283" spans="1:15" x14ac:dyDescent="0.3">
      <c r="A2283" t="s">
        <v>2307</v>
      </c>
      <c r="B2283" s="1">
        <v>45866</v>
      </c>
      <c r="C2283" t="s">
        <v>25</v>
      </c>
      <c r="D2283" t="s">
        <v>13</v>
      </c>
      <c r="E2283" s="2">
        <v>4.47</v>
      </c>
      <c r="F2283" s="3">
        <v>15.2</v>
      </c>
      <c r="G2283" s="4">
        <v>44.97</v>
      </c>
      <c r="H2283">
        <v>2</v>
      </c>
      <c r="I2283" s="4">
        <v>89.94</v>
      </c>
      <c r="J2283">
        <v>3</v>
      </c>
      <c r="K2283" t="s">
        <v>18</v>
      </c>
      <c r="L2283" t="s">
        <v>19</v>
      </c>
      <c r="O2283"/>
    </row>
    <row r="2284" spans="1:15" x14ac:dyDescent="0.3">
      <c r="A2284" t="s">
        <v>2308</v>
      </c>
      <c r="B2284" s="1">
        <v>45666</v>
      </c>
      <c r="C2284" t="s">
        <v>21</v>
      </c>
      <c r="D2284" t="s">
        <v>13</v>
      </c>
      <c r="E2284" s="2">
        <v>4.22</v>
      </c>
      <c r="F2284" s="3">
        <v>10.5</v>
      </c>
      <c r="G2284" s="4">
        <v>54.77</v>
      </c>
      <c r="H2284">
        <v>1.2</v>
      </c>
      <c r="I2284" s="4">
        <v>65.72</v>
      </c>
      <c r="J2284">
        <v>4.3</v>
      </c>
      <c r="K2284" t="s">
        <v>33</v>
      </c>
      <c r="L2284" t="s">
        <v>26</v>
      </c>
      <c r="O2284"/>
    </row>
    <row r="2285" spans="1:15" x14ac:dyDescent="0.3">
      <c r="A2285" t="s">
        <v>2309</v>
      </c>
      <c r="B2285" s="1">
        <v>45998</v>
      </c>
      <c r="C2285" t="s">
        <v>13</v>
      </c>
      <c r="D2285" t="s">
        <v>14</v>
      </c>
      <c r="E2285" s="2">
        <v>11.15</v>
      </c>
      <c r="F2285" s="3">
        <v>32.200000000000003</v>
      </c>
      <c r="G2285" s="4">
        <v>118.67</v>
      </c>
      <c r="H2285">
        <v>1</v>
      </c>
      <c r="I2285" s="4">
        <v>118.67</v>
      </c>
      <c r="J2285">
        <v>3.7</v>
      </c>
      <c r="K2285" t="s">
        <v>36</v>
      </c>
      <c r="L2285" t="s">
        <v>26</v>
      </c>
      <c r="O2285"/>
    </row>
    <row r="2286" spans="1:15" x14ac:dyDescent="0.3">
      <c r="A2286" t="s">
        <v>2310</v>
      </c>
      <c r="B2286" s="1">
        <v>45845</v>
      </c>
      <c r="C2286" t="s">
        <v>13</v>
      </c>
      <c r="D2286" t="s">
        <v>21</v>
      </c>
      <c r="E2286" s="2">
        <v>14.36</v>
      </c>
      <c r="F2286" s="3">
        <v>42.52</v>
      </c>
      <c r="G2286" s="4">
        <v>224.12</v>
      </c>
      <c r="H2286">
        <v>1.5</v>
      </c>
      <c r="I2286" s="4">
        <v>336.18</v>
      </c>
      <c r="J2286">
        <v>3.2</v>
      </c>
      <c r="K2286" t="s">
        <v>15</v>
      </c>
      <c r="L2286" t="s">
        <v>19</v>
      </c>
      <c r="O2286"/>
    </row>
    <row r="2287" spans="1:15" x14ac:dyDescent="0.3">
      <c r="A2287" t="s">
        <v>2311</v>
      </c>
      <c r="B2287" s="1">
        <v>45681</v>
      </c>
      <c r="C2287" t="s">
        <v>13</v>
      </c>
      <c r="D2287" t="s">
        <v>22</v>
      </c>
      <c r="E2287" s="2">
        <v>20.23</v>
      </c>
      <c r="F2287" s="3">
        <v>61.77</v>
      </c>
      <c r="G2287" s="4">
        <v>221.71</v>
      </c>
      <c r="H2287">
        <v>1.2</v>
      </c>
      <c r="I2287" s="4">
        <v>266.05</v>
      </c>
      <c r="J2287">
        <v>4.4000000000000004</v>
      </c>
      <c r="K2287" t="s">
        <v>30</v>
      </c>
      <c r="L2287" t="s">
        <v>26</v>
      </c>
      <c r="O2287"/>
    </row>
    <row r="2288" spans="1:15" x14ac:dyDescent="0.3">
      <c r="A2288" t="s">
        <v>2312</v>
      </c>
      <c r="B2288" s="1">
        <v>45932</v>
      </c>
      <c r="C2288" t="s">
        <v>22</v>
      </c>
      <c r="D2288" t="s">
        <v>21</v>
      </c>
      <c r="E2288" s="2">
        <v>23.62</v>
      </c>
      <c r="F2288" s="3">
        <v>69.81</v>
      </c>
      <c r="G2288" s="4">
        <v>337.74</v>
      </c>
      <c r="H2288">
        <v>1.2</v>
      </c>
      <c r="I2288" s="4">
        <v>405.29</v>
      </c>
      <c r="J2288">
        <v>3.8</v>
      </c>
      <c r="K2288" t="s">
        <v>36</v>
      </c>
      <c r="L2288" t="s">
        <v>19</v>
      </c>
      <c r="O2288"/>
    </row>
    <row r="2289" spans="1:15" x14ac:dyDescent="0.3">
      <c r="A2289" t="s">
        <v>2313</v>
      </c>
      <c r="B2289" s="1">
        <v>45806</v>
      </c>
      <c r="C2289" t="s">
        <v>14</v>
      </c>
      <c r="D2289" t="s">
        <v>25</v>
      </c>
      <c r="E2289" s="2">
        <v>21.93</v>
      </c>
      <c r="F2289" s="3">
        <v>82.63</v>
      </c>
      <c r="G2289" s="4">
        <v>354.34</v>
      </c>
      <c r="H2289">
        <v>1.2</v>
      </c>
      <c r="I2289" s="4">
        <v>425.21</v>
      </c>
      <c r="J2289">
        <v>5</v>
      </c>
      <c r="K2289" t="s">
        <v>15</v>
      </c>
      <c r="L2289" t="s">
        <v>16</v>
      </c>
      <c r="O2289"/>
    </row>
    <row r="2290" spans="1:15" x14ac:dyDescent="0.3">
      <c r="A2290" t="s">
        <v>2314</v>
      </c>
      <c r="B2290" s="1">
        <v>45886</v>
      </c>
      <c r="C2290" t="s">
        <v>25</v>
      </c>
      <c r="D2290" t="s">
        <v>14</v>
      </c>
      <c r="E2290" s="2">
        <v>29.94</v>
      </c>
      <c r="F2290" s="3">
        <v>74.53</v>
      </c>
      <c r="G2290" s="4">
        <v>551.57000000000005</v>
      </c>
      <c r="H2290">
        <v>1</v>
      </c>
      <c r="I2290" s="4">
        <v>551.57000000000005</v>
      </c>
      <c r="J2290">
        <v>4.4000000000000004</v>
      </c>
      <c r="K2290" t="s">
        <v>30</v>
      </c>
      <c r="L2290" t="s">
        <v>26</v>
      </c>
      <c r="O2290"/>
    </row>
    <row r="2291" spans="1:15" x14ac:dyDescent="0.3">
      <c r="A2291" t="s">
        <v>2315</v>
      </c>
      <c r="B2291" s="1">
        <v>45838</v>
      </c>
      <c r="C2291" t="s">
        <v>14</v>
      </c>
      <c r="D2291" t="s">
        <v>22</v>
      </c>
      <c r="E2291" s="2">
        <v>3.85</v>
      </c>
      <c r="F2291" s="3">
        <v>15.24</v>
      </c>
      <c r="G2291" s="4">
        <v>49.9</v>
      </c>
      <c r="H2291">
        <v>1.2</v>
      </c>
      <c r="I2291" s="4">
        <v>59.88</v>
      </c>
      <c r="J2291">
        <v>3.9</v>
      </c>
      <c r="K2291" t="s">
        <v>18</v>
      </c>
      <c r="L2291" t="s">
        <v>28</v>
      </c>
      <c r="O2291"/>
    </row>
    <row r="2292" spans="1:15" x14ac:dyDescent="0.3">
      <c r="A2292" t="s">
        <v>2316</v>
      </c>
      <c r="B2292" s="1">
        <v>45991</v>
      </c>
      <c r="C2292" t="s">
        <v>25</v>
      </c>
      <c r="D2292" t="s">
        <v>22</v>
      </c>
      <c r="E2292" s="2">
        <v>1.61</v>
      </c>
      <c r="F2292" s="3">
        <v>4.72</v>
      </c>
      <c r="G2292" s="4">
        <v>19.940000000000001</v>
      </c>
      <c r="H2292">
        <v>1.5</v>
      </c>
      <c r="I2292" s="4">
        <v>29.91</v>
      </c>
      <c r="J2292">
        <v>4.5</v>
      </c>
      <c r="K2292" t="s">
        <v>15</v>
      </c>
      <c r="L2292" t="s">
        <v>26</v>
      </c>
      <c r="O2292"/>
    </row>
    <row r="2293" spans="1:15" x14ac:dyDescent="0.3">
      <c r="A2293" t="s">
        <v>2317</v>
      </c>
      <c r="B2293" s="1">
        <v>45817</v>
      </c>
      <c r="C2293" t="s">
        <v>14</v>
      </c>
      <c r="D2293" t="s">
        <v>22</v>
      </c>
      <c r="E2293" s="2">
        <v>3.25</v>
      </c>
      <c r="F2293" s="3">
        <v>7.56</v>
      </c>
      <c r="G2293" s="4">
        <v>45.11</v>
      </c>
      <c r="H2293">
        <v>2</v>
      </c>
      <c r="I2293" s="4">
        <v>90.22</v>
      </c>
      <c r="J2293">
        <v>4.5</v>
      </c>
      <c r="K2293" t="s">
        <v>18</v>
      </c>
      <c r="L2293" t="s">
        <v>26</v>
      </c>
      <c r="O2293"/>
    </row>
    <row r="2294" spans="1:15" x14ac:dyDescent="0.3">
      <c r="A2294" t="s">
        <v>2318</v>
      </c>
      <c r="B2294" s="1">
        <v>45747</v>
      </c>
      <c r="C2294" t="s">
        <v>13</v>
      </c>
      <c r="D2294" t="s">
        <v>14</v>
      </c>
      <c r="E2294" s="2">
        <v>13.07</v>
      </c>
      <c r="F2294" s="3">
        <v>28.58</v>
      </c>
      <c r="G2294" s="4">
        <v>194</v>
      </c>
      <c r="H2294">
        <v>1.2</v>
      </c>
      <c r="I2294" s="4">
        <v>232.8</v>
      </c>
      <c r="J2294">
        <v>3.6</v>
      </c>
      <c r="K2294" t="s">
        <v>18</v>
      </c>
      <c r="L2294" t="s">
        <v>26</v>
      </c>
      <c r="O2294"/>
    </row>
    <row r="2295" spans="1:15" x14ac:dyDescent="0.3">
      <c r="A2295" t="s">
        <v>2319</v>
      </c>
      <c r="B2295" s="1">
        <v>45748</v>
      </c>
      <c r="C2295" t="s">
        <v>22</v>
      </c>
      <c r="D2295" t="s">
        <v>25</v>
      </c>
      <c r="E2295" s="2">
        <v>7.95</v>
      </c>
      <c r="F2295" s="3">
        <v>29.57</v>
      </c>
      <c r="G2295" s="4">
        <v>153.01</v>
      </c>
      <c r="H2295">
        <v>1.5</v>
      </c>
      <c r="I2295" s="4">
        <v>229.52</v>
      </c>
      <c r="J2295">
        <v>3.3</v>
      </c>
      <c r="K2295" t="s">
        <v>36</v>
      </c>
      <c r="L2295" t="s">
        <v>19</v>
      </c>
      <c r="O2295"/>
    </row>
    <row r="2296" spans="1:15" x14ac:dyDescent="0.3">
      <c r="A2296" t="s">
        <v>2320</v>
      </c>
      <c r="B2296" s="1">
        <v>45844</v>
      </c>
      <c r="C2296" t="s">
        <v>22</v>
      </c>
      <c r="D2296" t="s">
        <v>14</v>
      </c>
      <c r="E2296" s="2">
        <v>8.9</v>
      </c>
      <c r="F2296" s="3">
        <v>27.57</v>
      </c>
      <c r="G2296" s="4">
        <v>153.24</v>
      </c>
      <c r="H2296">
        <v>1.2</v>
      </c>
      <c r="I2296" s="4">
        <v>183.89</v>
      </c>
      <c r="J2296">
        <v>4.4000000000000004</v>
      </c>
      <c r="K2296" t="s">
        <v>30</v>
      </c>
      <c r="L2296" t="s">
        <v>28</v>
      </c>
      <c r="O2296"/>
    </row>
    <row r="2297" spans="1:15" x14ac:dyDescent="0.3">
      <c r="A2297" t="s">
        <v>2321</v>
      </c>
      <c r="B2297" s="1">
        <v>45801</v>
      </c>
      <c r="C2297" t="s">
        <v>22</v>
      </c>
      <c r="D2297" t="s">
        <v>21</v>
      </c>
      <c r="E2297" s="2">
        <v>4.41</v>
      </c>
      <c r="F2297" s="3">
        <v>16.27</v>
      </c>
      <c r="G2297" s="4">
        <v>81.36</v>
      </c>
      <c r="H2297">
        <v>1.2</v>
      </c>
      <c r="I2297" s="4">
        <v>97.63</v>
      </c>
      <c r="J2297">
        <v>4.4000000000000004</v>
      </c>
      <c r="K2297" t="s">
        <v>30</v>
      </c>
      <c r="L2297" t="s">
        <v>19</v>
      </c>
      <c r="O2297"/>
    </row>
    <row r="2298" spans="1:15" x14ac:dyDescent="0.3">
      <c r="A2298" t="s">
        <v>2322</v>
      </c>
      <c r="B2298" s="1">
        <v>45965</v>
      </c>
      <c r="C2298" t="s">
        <v>22</v>
      </c>
      <c r="D2298" t="s">
        <v>13</v>
      </c>
      <c r="E2298" s="2">
        <v>21.44</v>
      </c>
      <c r="F2298" s="3">
        <v>58.32</v>
      </c>
      <c r="G2298" s="4">
        <v>224.15</v>
      </c>
      <c r="H2298">
        <v>1</v>
      </c>
      <c r="I2298" s="4">
        <v>224.15</v>
      </c>
      <c r="J2298">
        <v>4.7</v>
      </c>
      <c r="K2298" t="s">
        <v>18</v>
      </c>
      <c r="L2298" t="s">
        <v>26</v>
      </c>
      <c r="O2298"/>
    </row>
    <row r="2299" spans="1:15" x14ac:dyDescent="0.3">
      <c r="A2299" t="s">
        <v>2323</v>
      </c>
      <c r="B2299" s="1">
        <v>45744</v>
      </c>
      <c r="C2299" t="s">
        <v>14</v>
      </c>
      <c r="D2299" t="s">
        <v>14</v>
      </c>
      <c r="E2299" s="2">
        <v>18.079999999999998</v>
      </c>
      <c r="F2299" s="3">
        <v>68.64</v>
      </c>
      <c r="G2299" s="4">
        <v>324.19</v>
      </c>
      <c r="H2299">
        <v>2</v>
      </c>
      <c r="I2299" s="4">
        <v>648.38</v>
      </c>
      <c r="J2299">
        <v>4.8</v>
      </c>
      <c r="K2299" t="s">
        <v>36</v>
      </c>
      <c r="L2299" t="s">
        <v>19</v>
      </c>
      <c r="O2299"/>
    </row>
    <row r="2300" spans="1:15" x14ac:dyDescent="0.3">
      <c r="A2300" t="s">
        <v>2324</v>
      </c>
      <c r="B2300" s="1">
        <v>45897</v>
      </c>
      <c r="C2300" t="s">
        <v>14</v>
      </c>
      <c r="D2300" t="s">
        <v>14</v>
      </c>
      <c r="E2300" s="2">
        <v>18.940000000000001</v>
      </c>
      <c r="F2300" s="3">
        <v>54.69</v>
      </c>
      <c r="G2300" s="4">
        <v>236.01</v>
      </c>
      <c r="H2300">
        <v>1.2</v>
      </c>
      <c r="I2300" s="4">
        <v>283.20999999999998</v>
      </c>
      <c r="J2300">
        <v>3.6</v>
      </c>
      <c r="K2300" t="s">
        <v>15</v>
      </c>
      <c r="L2300" t="s">
        <v>26</v>
      </c>
      <c r="O2300"/>
    </row>
    <row r="2301" spans="1:15" x14ac:dyDescent="0.3">
      <c r="A2301" t="s">
        <v>2325</v>
      </c>
      <c r="B2301" s="1">
        <v>45682</v>
      </c>
      <c r="C2301" t="s">
        <v>22</v>
      </c>
      <c r="D2301" t="s">
        <v>13</v>
      </c>
      <c r="E2301" s="2">
        <v>19.059999999999999</v>
      </c>
      <c r="F2301" s="3">
        <v>44.15</v>
      </c>
      <c r="G2301" s="4">
        <v>354.63</v>
      </c>
      <c r="H2301">
        <v>1.2</v>
      </c>
      <c r="I2301" s="4">
        <v>425.56</v>
      </c>
      <c r="J2301">
        <v>3.1</v>
      </c>
      <c r="K2301" t="s">
        <v>15</v>
      </c>
      <c r="L2301" t="s">
        <v>19</v>
      </c>
      <c r="O2301"/>
    </row>
    <row r="2302" spans="1:15" x14ac:dyDescent="0.3">
      <c r="A2302" t="s">
        <v>2326</v>
      </c>
      <c r="B2302" s="1">
        <v>45741</v>
      </c>
      <c r="C2302" t="s">
        <v>14</v>
      </c>
      <c r="D2302" t="s">
        <v>13</v>
      </c>
      <c r="E2302" s="2">
        <v>14.57</v>
      </c>
      <c r="F2302" s="3">
        <v>37.15</v>
      </c>
      <c r="G2302" s="4">
        <v>166.36</v>
      </c>
      <c r="H2302">
        <v>2</v>
      </c>
      <c r="I2302" s="4">
        <v>332.72</v>
      </c>
      <c r="J2302">
        <v>3.2</v>
      </c>
      <c r="K2302" t="s">
        <v>18</v>
      </c>
      <c r="L2302" t="s">
        <v>19</v>
      </c>
      <c r="O2302"/>
    </row>
    <row r="2303" spans="1:15" x14ac:dyDescent="0.3">
      <c r="A2303" t="s">
        <v>2327</v>
      </c>
      <c r="B2303" s="1">
        <v>45940</v>
      </c>
      <c r="C2303" t="s">
        <v>22</v>
      </c>
      <c r="D2303" t="s">
        <v>14</v>
      </c>
      <c r="E2303" s="2">
        <v>4.1100000000000003</v>
      </c>
      <c r="F2303" s="3">
        <v>11.44</v>
      </c>
      <c r="G2303" s="4">
        <v>65.319999999999993</v>
      </c>
      <c r="H2303">
        <v>1.2</v>
      </c>
      <c r="I2303" s="4">
        <v>78.38</v>
      </c>
      <c r="J2303">
        <v>4.4000000000000004</v>
      </c>
      <c r="K2303" t="s">
        <v>15</v>
      </c>
      <c r="L2303" t="s">
        <v>16</v>
      </c>
      <c r="O2303"/>
    </row>
    <row r="2304" spans="1:15" x14ac:dyDescent="0.3">
      <c r="A2304" t="s">
        <v>2328</v>
      </c>
      <c r="B2304" s="1">
        <v>45664</v>
      </c>
      <c r="C2304" t="s">
        <v>21</v>
      </c>
      <c r="D2304" t="s">
        <v>25</v>
      </c>
      <c r="E2304" s="2">
        <v>1.55</v>
      </c>
      <c r="F2304" s="3">
        <v>3.21</v>
      </c>
      <c r="G2304" s="4">
        <v>26.11</v>
      </c>
      <c r="H2304">
        <v>1.5</v>
      </c>
      <c r="I2304" s="4">
        <v>39.159999999999997</v>
      </c>
      <c r="J2304">
        <v>4.9000000000000004</v>
      </c>
      <c r="K2304" t="s">
        <v>33</v>
      </c>
      <c r="L2304" t="s">
        <v>26</v>
      </c>
      <c r="O2304"/>
    </row>
    <row r="2305" spans="1:15" x14ac:dyDescent="0.3">
      <c r="A2305" t="s">
        <v>2329</v>
      </c>
      <c r="B2305" s="1">
        <v>45670</v>
      </c>
      <c r="C2305" t="s">
        <v>21</v>
      </c>
      <c r="D2305" t="s">
        <v>22</v>
      </c>
      <c r="E2305" s="2">
        <v>12.77</v>
      </c>
      <c r="F2305" s="3">
        <v>26.34</v>
      </c>
      <c r="G2305" s="4">
        <v>251.24</v>
      </c>
      <c r="H2305">
        <v>2</v>
      </c>
      <c r="I2305" s="4">
        <v>502.48</v>
      </c>
      <c r="J2305">
        <v>3.6</v>
      </c>
      <c r="K2305" t="s">
        <v>30</v>
      </c>
      <c r="L2305" t="s">
        <v>19</v>
      </c>
      <c r="O2305"/>
    </row>
    <row r="2306" spans="1:15" x14ac:dyDescent="0.3">
      <c r="A2306" t="s">
        <v>2330</v>
      </c>
      <c r="B2306" s="1">
        <v>45687</v>
      </c>
      <c r="C2306" t="s">
        <v>14</v>
      </c>
      <c r="D2306" t="s">
        <v>22</v>
      </c>
      <c r="E2306" s="2">
        <v>3.05</v>
      </c>
      <c r="F2306" s="3">
        <v>9.4</v>
      </c>
      <c r="G2306" s="4">
        <v>57.72</v>
      </c>
      <c r="H2306">
        <v>1.5</v>
      </c>
      <c r="I2306" s="4">
        <v>86.58</v>
      </c>
      <c r="J2306">
        <v>3.5</v>
      </c>
      <c r="K2306" t="s">
        <v>30</v>
      </c>
      <c r="L2306" t="s">
        <v>26</v>
      </c>
      <c r="O2306"/>
    </row>
    <row r="2307" spans="1:15" x14ac:dyDescent="0.3">
      <c r="A2307" t="s">
        <v>2331</v>
      </c>
      <c r="B2307" s="1">
        <v>46003</v>
      </c>
      <c r="C2307" t="s">
        <v>22</v>
      </c>
      <c r="D2307" t="s">
        <v>13</v>
      </c>
      <c r="E2307" s="2">
        <v>16.329999999999998</v>
      </c>
      <c r="F2307" s="3">
        <v>62.97</v>
      </c>
      <c r="G2307" s="4">
        <v>233.32</v>
      </c>
      <c r="H2307">
        <v>1.2</v>
      </c>
      <c r="I2307" s="4">
        <v>279.98</v>
      </c>
      <c r="J2307">
        <v>4.0999999999999996</v>
      </c>
      <c r="K2307" t="s">
        <v>18</v>
      </c>
      <c r="L2307" t="s">
        <v>28</v>
      </c>
      <c r="O2307"/>
    </row>
    <row r="2308" spans="1:15" x14ac:dyDescent="0.3">
      <c r="A2308" t="s">
        <v>2332</v>
      </c>
      <c r="B2308" s="1">
        <v>45752</v>
      </c>
      <c r="C2308" t="s">
        <v>21</v>
      </c>
      <c r="D2308" t="s">
        <v>22</v>
      </c>
      <c r="E2308" s="2">
        <v>29.4</v>
      </c>
      <c r="F2308" s="3">
        <v>115.24</v>
      </c>
      <c r="G2308" s="4">
        <v>390.77</v>
      </c>
      <c r="H2308">
        <v>1.5</v>
      </c>
      <c r="I2308" s="4">
        <v>586.16</v>
      </c>
      <c r="J2308">
        <v>3.4</v>
      </c>
      <c r="K2308" t="s">
        <v>15</v>
      </c>
      <c r="L2308" t="s">
        <v>26</v>
      </c>
      <c r="O2308"/>
    </row>
    <row r="2309" spans="1:15" x14ac:dyDescent="0.3">
      <c r="A2309" t="s">
        <v>2333</v>
      </c>
      <c r="B2309" s="1">
        <v>45705</v>
      </c>
      <c r="C2309" t="s">
        <v>13</v>
      </c>
      <c r="D2309" t="s">
        <v>25</v>
      </c>
      <c r="E2309" s="2">
        <v>7.11</v>
      </c>
      <c r="F2309" s="3">
        <v>23.1</v>
      </c>
      <c r="G2309" s="4">
        <v>76.27</v>
      </c>
      <c r="H2309">
        <v>1.5</v>
      </c>
      <c r="I2309" s="4">
        <v>114.4</v>
      </c>
      <c r="J2309">
        <v>4.8</v>
      </c>
      <c r="K2309" t="s">
        <v>33</v>
      </c>
      <c r="L2309" t="s">
        <v>26</v>
      </c>
      <c r="O2309"/>
    </row>
    <row r="2310" spans="1:15" x14ac:dyDescent="0.3">
      <c r="A2310" t="s">
        <v>2334</v>
      </c>
      <c r="B2310" s="1">
        <v>45787</v>
      </c>
      <c r="C2310" t="s">
        <v>25</v>
      </c>
      <c r="D2310" t="s">
        <v>14</v>
      </c>
      <c r="E2310" s="2">
        <v>3.05</v>
      </c>
      <c r="F2310" s="3">
        <v>8.5399999999999991</v>
      </c>
      <c r="G2310" s="4">
        <v>48.1</v>
      </c>
      <c r="H2310">
        <v>1.5</v>
      </c>
      <c r="I2310" s="4">
        <v>72.150000000000006</v>
      </c>
      <c r="J2310">
        <v>4.5999999999999996</v>
      </c>
      <c r="K2310" t="s">
        <v>18</v>
      </c>
      <c r="L2310" t="s">
        <v>16</v>
      </c>
      <c r="O2310"/>
    </row>
    <row r="2311" spans="1:15" x14ac:dyDescent="0.3">
      <c r="A2311" t="s">
        <v>2335</v>
      </c>
      <c r="B2311" s="1">
        <v>45860</v>
      </c>
      <c r="C2311" t="s">
        <v>21</v>
      </c>
      <c r="D2311" t="s">
        <v>14</v>
      </c>
      <c r="E2311" s="2">
        <v>15.79</v>
      </c>
      <c r="F2311" s="3">
        <v>52.67</v>
      </c>
      <c r="G2311" s="4">
        <v>162.05000000000001</v>
      </c>
      <c r="H2311">
        <v>1.5</v>
      </c>
      <c r="I2311" s="4">
        <v>243.08</v>
      </c>
      <c r="J2311">
        <v>3.9</v>
      </c>
      <c r="K2311" t="s">
        <v>18</v>
      </c>
      <c r="L2311" t="s">
        <v>19</v>
      </c>
      <c r="O2311"/>
    </row>
    <row r="2312" spans="1:15" x14ac:dyDescent="0.3">
      <c r="A2312" t="s">
        <v>2336</v>
      </c>
      <c r="B2312" s="1">
        <v>45852</v>
      </c>
      <c r="C2312" t="s">
        <v>13</v>
      </c>
      <c r="D2312" t="s">
        <v>21</v>
      </c>
      <c r="E2312" s="2">
        <v>8.33</v>
      </c>
      <c r="F2312" s="3">
        <v>32.619999999999997</v>
      </c>
      <c r="G2312" s="4">
        <v>85.81</v>
      </c>
      <c r="H2312">
        <v>2</v>
      </c>
      <c r="I2312" s="4">
        <v>171.62</v>
      </c>
      <c r="J2312">
        <v>4.0999999999999996</v>
      </c>
      <c r="K2312" t="s">
        <v>18</v>
      </c>
      <c r="L2312" t="s">
        <v>28</v>
      </c>
      <c r="O2312"/>
    </row>
    <row r="2313" spans="1:15" x14ac:dyDescent="0.3">
      <c r="A2313" t="s">
        <v>2337</v>
      </c>
      <c r="B2313" s="1">
        <v>45812</v>
      </c>
      <c r="C2313" t="s">
        <v>21</v>
      </c>
      <c r="D2313" t="s">
        <v>22</v>
      </c>
      <c r="E2313" s="2">
        <v>2.42</v>
      </c>
      <c r="F2313" s="3">
        <v>6.26</v>
      </c>
      <c r="G2313" s="4">
        <v>43.23</v>
      </c>
      <c r="H2313">
        <v>1.2</v>
      </c>
      <c r="I2313" s="4">
        <v>51.88</v>
      </c>
      <c r="J2313">
        <v>4.0999999999999996</v>
      </c>
      <c r="K2313" t="s">
        <v>33</v>
      </c>
      <c r="L2313" t="s">
        <v>26</v>
      </c>
      <c r="O2313"/>
    </row>
    <row r="2314" spans="1:15" x14ac:dyDescent="0.3">
      <c r="A2314" t="s">
        <v>2338</v>
      </c>
      <c r="B2314" s="1">
        <v>45851</v>
      </c>
      <c r="C2314" t="s">
        <v>21</v>
      </c>
      <c r="D2314" t="s">
        <v>21</v>
      </c>
      <c r="E2314" s="2">
        <v>6.71</v>
      </c>
      <c r="F2314" s="3">
        <v>22.04</v>
      </c>
      <c r="G2314" s="4">
        <v>97.84</v>
      </c>
      <c r="H2314">
        <v>1.5</v>
      </c>
      <c r="I2314" s="4">
        <v>146.76</v>
      </c>
      <c r="J2314">
        <v>3.9</v>
      </c>
      <c r="K2314" t="s">
        <v>36</v>
      </c>
      <c r="L2314" t="s">
        <v>19</v>
      </c>
      <c r="O2314"/>
    </row>
    <row r="2315" spans="1:15" x14ac:dyDescent="0.3">
      <c r="A2315" t="s">
        <v>2339</v>
      </c>
      <c r="B2315" s="1">
        <v>45700</v>
      </c>
      <c r="C2315" t="s">
        <v>25</v>
      </c>
      <c r="D2315" t="s">
        <v>13</v>
      </c>
      <c r="E2315" s="2">
        <v>12.48</v>
      </c>
      <c r="F2315" s="3">
        <v>49.5</v>
      </c>
      <c r="G2315" s="4">
        <v>225.7</v>
      </c>
      <c r="H2315">
        <v>1</v>
      </c>
      <c r="I2315" s="4">
        <v>225.7</v>
      </c>
      <c r="J2315">
        <v>3.2</v>
      </c>
      <c r="K2315" t="s">
        <v>36</v>
      </c>
      <c r="L2315" t="s">
        <v>28</v>
      </c>
      <c r="O2315"/>
    </row>
    <row r="2316" spans="1:15" x14ac:dyDescent="0.3">
      <c r="A2316" t="s">
        <v>2340</v>
      </c>
      <c r="B2316" s="1">
        <v>45953</v>
      </c>
      <c r="C2316" t="s">
        <v>25</v>
      </c>
      <c r="D2316" t="s">
        <v>21</v>
      </c>
      <c r="E2316" s="2">
        <v>10.56</v>
      </c>
      <c r="F2316" s="3">
        <v>34.86</v>
      </c>
      <c r="G2316" s="4">
        <v>185.54</v>
      </c>
      <c r="H2316">
        <v>1</v>
      </c>
      <c r="I2316" s="4">
        <v>185.54</v>
      </c>
      <c r="J2316">
        <v>4</v>
      </c>
      <c r="K2316" t="s">
        <v>30</v>
      </c>
      <c r="L2316" t="s">
        <v>28</v>
      </c>
      <c r="O2316"/>
    </row>
    <row r="2317" spans="1:15" x14ac:dyDescent="0.3">
      <c r="A2317" t="s">
        <v>2341</v>
      </c>
      <c r="B2317" s="1">
        <v>45988</v>
      </c>
      <c r="C2317" t="s">
        <v>25</v>
      </c>
      <c r="D2317" t="s">
        <v>14</v>
      </c>
      <c r="E2317" s="2">
        <v>12.73</v>
      </c>
      <c r="F2317" s="3">
        <v>31.22</v>
      </c>
      <c r="G2317" s="4">
        <v>129.51</v>
      </c>
      <c r="H2317">
        <v>1.2</v>
      </c>
      <c r="I2317" s="4">
        <v>155.41</v>
      </c>
      <c r="J2317">
        <v>4.9000000000000004</v>
      </c>
      <c r="K2317" t="s">
        <v>30</v>
      </c>
      <c r="L2317" t="s">
        <v>28</v>
      </c>
      <c r="O2317"/>
    </row>
    <row r="2318" spans="1:15" x14ac:dyDescent="0.3">
      <c r="A2318" t="s">
        <v>2342</v>
      </c>
      <c r="B2318" s="1">
        <v>45730</v>
      </c>
      <c r="C2318" t="s">
        <v>14</v>
      </c>
      <c r="D2318" t="s">
        <v>25</v>
      </c>
      <c r="E2318" s="2">
        <v>6.5</v>
      </c>
      <c r="F2318" s="3">
        <v>13.41</v>
      </c>
      <c r="G2318" s="4">
        <v>108.83</v>
      </c>
      <c r="H2318">
        <v>1.5</v>
      </c>
      <c r="I2318" s="4">
        <v>163.24</v>
      </c>
      <c r="J2318">
        <v>5</v>
      </c>
      <c r="K2318" t="s">
        <v>30</v>
      </c>
      <c r="L2318" t="s">
        <v>19</v>
      </c>
      <c r="O2318"/>
    </row>
    <row r="2319" spans="1:15" x14ac:dyDescent="0.3">
      <c r="A2319" t="s">
        <v>2343</v>
      </c>
      <c r="B2319" s="1">
        <v>45995</v>
      </c>
      <c r="C2319" t="s">
        <v>14</v>
      </c>
      <c r="D2319" t="s">
        <v>22</v>
      </c>
      <c r="E2319" s="2">
        <v>2.98</v>
      </c>
      <c r="F2319" s="3">
        <v>8.4499999999999993</v>
      </c>
      <c r="G2319" s="4">
        <v>37.130000000000003</v>
      </c>
      <c r="H2319">
        <v>1</v>
      </c>
      <c r="I2319" s="4">
        <v>37.130000000000003</v>
      </c>
      <c r="J2319">
        <v>3.8</v>
      </c>
      <c r="K2319" t="s">
        <v>33</v>
      </c>
      <c r="L2319" t="s">
        <v>16</v>
      </c>
      <c r="O2319"/>
    </row>
    <row r="2320" spans="1:15" x14ac:dyDescent="0.3">
      <c r="A2320" t="s">
        <v>2344</v>
      </c>
      <c r="B2320" s="1">
        <v>45925</v>
      </c>
      <c r="C2320" t="s">
        <v>25</v>
      </c>
      <c r="D2320" t="s">
        <v>13</v>
      </c>
      <c r="E2320" s="2">
        <v>22</v>
      </c>
      <c r="F2320" s="3">
        <v>73.13</v>
      </c>
      <c r="G2320" s="4">
        <v>317.07</v>
      </c>
      <c r="H2320">
        <v>1</v>
      </c>
      <c r="I2320" s="4">
        <v>317.07</v>
      </c>
      <c r="J2320">
        <v>4.5</v>
      </c>
      <c r="K2320" t="s">
        <v>30</v>
      </c>
      <c r="L2320" t="s">
        <v>26</v>
      </c>
      <c r="O2320"/>
    </row>
    <row r="2321" spans="1:15" x14ac:dyDescent="0.3">
      <c r="A2321" t="s">
        <v>2345</v>
      </c>
      <c r="B2321" s="1">
        <v>45866</v>
      </c>
      <c r="C2321" t="s">
        <v>21</v>
      </c>
      <c r="D2321" t="s">
        <v>14</v>
      </c>
      <c r="E2321" s="2">
        <v>19.14</v>
      </c>
      <c r="F2321" s="3">
        <v>40.26</v>
      </c>
      <c r="G2321" s="4">
        <v>231.79</v>
      </c>
      <c r="H2321">
        <v>1.2</v>
      </c>
      <c r="I2321" s="4">
        <v>278.14999999999998</v>
      </c>
      <c r="J2321">
        <v>4.5999999999999996</v>
      </c>
      <c r="K2321" t="s">
        <v>33</v>
      </c>
      <c r="L2321" t="s">
        <v>26</v>
      </c>
      <c r="O2321"/>
    </row>
    <row r="2322" spans="1:15" x14ac:dyDescent="0.3">
      <c r="A2322" t="s">
        <v>2346</v>
      </c>
      <c r="B2322" s="1">
        <v>45749</v>
      </c>
      <c r="C2322" t="s">
        <v>21</v>
      </c>
      <c r="D2322" t="s">
        <v>13</v>
      </c>
      <c r="E2322" s="2">
        <v>19.2</v>
      </c>
      <c r="F2322" s="3">
        <v>60.14</v>
      </c>
      <c r="G2322" s="4">
        <v>309.52999999999997</v>
      </c>
      <c r="H2322">
        <v>1.2</v>
      </c>
      <c r="I2322" s="4">
        <v>371.44</v>
      </c>
      <c r="J2322">
        <v>4.5</v>
      </c>
      <c r="K2322" t="s">
        <v>36</v>
      </c>
      <c r="L2322" t="s">
        <v>16</v>
      </c>
      <c r="O2322"/>
    </row>
    <row r="2323" spans="1:15" x14ac:dyDescent="0.3">
      <c r="A2323" t="s">
        <v>2347</v>
      </c>
      <c r="B2323" s="1">
        <v>45919</v>
      </c>
      <c r="C2323" t="s">
        <v>13</v>
      </c>
      <c r="D2323" t="s">
        <v>13</v>
      </c>
      <c r="E2323" s="2">
        <v>23.4</v>
      </c>
      <c r="F2323" s="3">
        <v>61.99</v>
      </c>
      <c r="G2323" s="4">
        <v>407.28</v>
      </c>
      <c r="H2323">
        <v>1</v>
      </c>
      <c r="I2323" s="4">
        <v>407.28</v>
      </c>
      <c r="J2323">
        <v>3.4</v>
      </c>
      <c r="K2323" t="s">
        <v>18</v>
      </c>
      <c r="L2323" t="s">
        <v>16</v>
      </c>
      <c r="O2323"/>
    </row>
    <row r="2324" spans="1:15" x14ac:dyDescent="0.3">
      <c r="A2324" t="s">
        <v>2348</v>
      </c>
      <c r="B2324" s="1">
        <v>45682</v>
      </c>
      <c r="C2324" t="s">
        <v>25</v>
      </c>
      <c r="D2324" t="s">
        <v>25</v>
      </c>
      <c r="E2324" s="2">
        <v>10.86</v>
      </c>
      <c r="F2324" s="3">
        <v>41.27</v>
      </c>
      <c r="G2324" s="4">
        <v>114.01</v>
      </c>
      <c r="H2324">
        <v>2</v>
      </c>
      <c r="I2324" s="4">
        <v>228.02</v>
      </c>
      <c r="J2324">
        <v>3.8</v>
      </c>
      <c r="K2324" t="s">
        <v>33</v>
      </c>
      <c r="L2324" t="s">
        <v>26</v>
      </c>
      <c r="O2324"/>
    </row>
    <row r="2325" spans="1:15" x14ac:dyDescent="0.3">
      <c r="A2325" t="s">
        <v>2349</v>
      </c>
      <c r="B2325" s="1">
        <v>45845</v>
      </c>
      <c r="C2325" t="s">
        <v>14</v>
      </c>
      <c r="D2325" t="s">
        <v>13</v>
      </c>
      <c r="E2325" s="2">
        <v>1.84</v>
      </c>
      <c r="F2325" s="3">
        <v>4.0999999999999996</v>
      </c>
      <c r="G2325" s="4">
        <v>26.33</v>
      </c>
      <c r="H2325">
        <v>1.5</v>
      </c>
      <c r="I2325" s="4">
        <v>39.49</v>
      </c>
      <c r="J2325">
        <v>4.7</v>
      </c>
      <c r="K2325" t="s">
        <v>33</v>
      </c>
      <c r="L2325" t="s">
        <v>16</v>
      </c>
      <c r="O2325"/>
    </row>
    <row r="2326" spans="1:15" x14ac:dyDescent="0.3">
      <c r="A2326" t="s">
        <v>2350</v>
      </c>
      <c r="B2326" s="1">
        <v>45949</v>
      </c>
      <c r="C2326" t="s">
        <v>13</v>
      </c>
      <c r="D2326" t="s">
        <v>25</v>
      </c>
      <c r="E2326" s="2">
        <v>25.64</v>
      </c>
      <c r="F2326" s="3">
        <v>73.72</v>
      </c>
      <c r="G2326" s="4">
        <v>504.65</v>
      </c>
      <c r="H2326">
        <v>2</v>
      </c>
      <c r="I2326" s="4">
        <v>1009.3</v>
      </c>
      <c r="J2326">
        <v>3.2</v>
      </c>
      <c r="K2326" t="s">
        <v>33</v>
      </c>
      <c r="L2326" t="s">
        <v>26</v>
      </c>
      <c r="O2326"/>
    </row>
    <row r="2327" spans="1:15" x14ac:dyDescent="0.3">
      <c r="A2327" t="s">
        <v>2351</v>
      </c>
      <c r="B2327" s="1">
        <v>45832</v>
      </c>
      <c r="C2327" t="s">
        <v>13</v>
      </c>
      <c r="D2327" t="s">
        <v>21</v>
      </c>
      <c r="E2327" s="2">
        <v>28.04</v>
      </c>
      <c r="F2327" s="3">
        <v>95.73</v>
      </c>
      <c r="G2327" s="4">
        <v>531.52</v>
      </c>
      <c r="H2327">
        <v>1.2</v>
      </c>
      <c r="I2327" s="4">
        <v>637.82000000000005</v>
      </c>
      <c r="J2327">
        <v>3.2</v>
      </c>
      <c r="K2327" t="s">
        <v>33</v>
      </c>
      <c r="L2327" t="s">
        <v>19</v>
      </c>
      <c r="O2327"/>
    </row>
    <row r="2328" spans="1:15" x14ac:dyDescent="0.3">
      <c r="A2328" t="s">
        <v>2352</v>
      </c>
      <c r="B2328" s="1">
        <v>45777</v>
      </c>
      <c r="C2328" t="s">
        <v>22</v>
      </c>
      <c r="D2328" t="s">
        <v>22</v>
      </c>
      <c r="E2328" s="2">
        <v>22.83</v>
      </c>
      <c r="F2328" s="3">
        <v>65.05</v>
      </c>
      <c r="G2328" s="4">
        <v>419.46</v>
      </c>
      <c r="H2328">
        <v>2</v>
      </c>
      <c r="I2328" s="4">
        <v>838.92</v>
      </c>
      <c r="J2328">
        <v>3.7</v>
      </c>
      <c r="K2328" t="s">
        <v>30</v>
      </c>
      <c r="L2328" t="s">
        <v>26</v>
      </c>
      <c r="O2328"/>
    </row>
    <row r="2329" spans="1:15" x14ac:dyDescent="0.3">
      <c r="A2329" t="s">
        <v>2353</v>
      </c>
      <c r="B2329" s="1">
        <v>45663</v>
      </c>
      <c r="C2329" t="s">
        <v>22</v>
      </c>
      <c r="D2329" t="s">
        <v>22</v>
      </c>
      <c r="E2329" s="2">
        <v>24.88</v>
      </c>
      <c r="F2329" s="3">
        <v>57.44</v>
      </c>
      <c r="G2329" s="4">
        <v>331.95</v>
      </c>
      <c r="H2329">
        <v>1.2</v>
      </c>
      <c r="I2329" s="4">
        <v>398.34</v>
      </c>
      <c r="J2329">
        <v>4.8</v>
      </c>
      <c r="K2329" t="s">
        <v>33</v>
      </c>
      <c r="L2329" t="s">
        <v>19</v>
      </c>
      <c r="O2329"/>
    </row>
    <row r="2330" spans="1:15" x14ac:dyDescent="0.3">
      <c r="A2330" t="s">
        <v>2354</v>
      </c>
      <c r="B2330" s="1">
        <v>45975</v>
      </c>
      <c r="C2330" t="s">
        <v>22</v>
      </c>
      <c r="D2330" t="s">
        <v>25</v>
      </c>
      <c r="E2330" s="2">
        <v>17.8</v>
      </c>
      <c r="F2330" s="3">
        <v>56.2</v>
      </c>
      <c r="G2330" s="4">
        <v>214.83</v>
      </c>
      <c r="H2330">
        <v>1.2</v>
      </c>
      <c r="I2330" s="4">
        <v>257.8</v>
      </c>
      <c r="J2330">
        <v>4.2</v>
      </c>
      <c r="K2330" t="s">
        <v>33</v>
      </c>
      <c r="L2330" t="s">
        <v>16</v>
      </c>
      <c r="O2330"/>
    </row>
    <row r="2331" spans="1:15" x14ac:dyDescent="0.3">
      <c r="A2331" t="s">
        <v>2355</v>
      </c>
      <c r="B2331" s="1">
        <v>45725</v>
      </c>
      <c r="C2331" t="s">
        <v>13</v>
      </c>
      <c r="D2331" t="s">
        <v>13</v>
      </c>
      <c r="E2331" s="2">
        <v>10.220000000000001</v>
      </c>
      <c r="F2331" s="3">
        <v>25.19</v>
      </c>
      <c r="G2331" s="4">
        <v>192.01</v>
      </c>
      <c r="H2331">
        <v>1.2</v>
      </c>
      <c r="I2331" s="4">
        <v>230.41</v>
      </c>
      <c r="J2331">
        <v>3.7</v>
      </c>
      <c r="K2331" t="s">
        <v>33</v>
      </c>
      <c r="L2331" t="s">
        <v>19</v>
      </c>
      <c r="O2331"/>
    </row>
    <row r="2332" spans="1:15" x14ac:dyDescent="0.3">
      <c r="A2332" t="s">
        <v>2356</v>
      </c>
      <c r="B2332" s="1">
        <v>45975</v>
      </c>
      <c r="C2332" t="s">
        <v>21</v>
      </c>
      <c r="D2332" t="s">
        <v>14</v>
      </c>
      <c r="E2332" s="2">
        <v>2.0299999999999998</v>
      </c>
      <c r="F2332" s="3">
        <v>7.33</v>
      </c>
      <c r="G2332" s="4">
        <v>32.79</v>
      </c>
      <c r="H2332">
        <v>1</v>
      </c>
      <c r="I2332" s="4">
        <v>32.79</v>
      </c>
      <c r="J2332">
        <v>4.2</v>
      </c>
      <c r="K2332" t="s">
        <v>18</v>
      </c>
      <c r="L2332" t="s">
        <v>28</v>
      </c>
      <c r="O2332"/>
    </row>
    <row r="2333" spans="1:15" x14ac:dyDescent="0.3">
      <c r="A2333" t="s">
        <v>2357</v>
      </c>
      <c r="B2333" s="1">
        <v>45797</v>
      </c>
      <c r="C2333" t="s">
        <v>13</v>
      </c>
      <c r="D2333" t="s">
        <v>25</v>
      </c>
      <c r="E2333" s="2">
        <v>20.440000000000001</v>
      </c>
      <c r="F2333" s="3">
        <v>48.04</v>
      </c>
      <c r="G2333" s="4">
        <v>301.24</v>
      </c>
      <c r="H2333">
        <v>1</v>
      </c>
      <c r="I2333" s="4">
        <v>301.24</v>
      </c>
      <c r="J2333">
        <v>3.3</v>
      </c>
      <c r="K2333" t="s">
        <v>15</v>
      </c>
      <c r="L2333" t="s">
        <v>26</v>
      </c>
      <c r="O2333"/>
    </row>
    <row r="2334" spans="1:15" x14ac:dyDescent="0.3">
      <c r="A2334" t="s">
        <v>2358</v>
      </c>
      <c r="B2334" s="1">
        <v>45977</v>
      </c>
      <c r="C2334" t="s">
        <v>13</v>
      </c>
      <c r="D2334" t="s">
        <v>22</v>
      </c>
      <c r="E2334" s="2">
        <v>1.43</v>
      </c>
      <c r="F2334" s="3">
        <v>3.23</v>
      </c>
      <c r="G2334" s="4">
        <v>17.899999999999999</v>
      </c>
      <c r="H2334">
        <v>1</v>
      </c>
      <c r="I2334" s="4">
        <v>17.899999999999999</v>
      </c>
      <c r="J2334">
        <v>3.8</v>
      </c>
      <c r="K2334" t="s">
        <v>36</v>
      </c>
      <c r="L2334" t="s">
        <v>16</v>
      </c>
      <c r="O2334"/>
    </row>
    <row r="2335" spans="1:15" x14ac:dyDescent="0.3">
      <c r="A2335" t="s">
        <v>2359</v>
      </c>
      <c r="B2335" s="1">
        <v>45792</v>
      </c>
      <c r="C2335" t="s">
        <v>14</v>
      </c>
      <c r="D2335" t="s">
        <v>25</v>
      </c>
      <c r="E2335" s="2">
        <v>5</v>
      </c>
      <c r="F2335" s="3">
        <v>16.73</v>
      </c>
      <c r="G2335" s="4">
        <v>79.81</v>
      </c>
      <c r="H2335">
        <v>1</v>
      </c>
      <c r="I2335" s="4">
        <v>79.81</v>
      </c>
      <c r="J2335">
        <v>3.6</v>
      </c>
      <c r="K2335" t="s">
        <v>30</v>
      </c>
      <c r="L2335" t="s">
        <v>26</v>
      </c>
      <c r="O2335"/>
    </row>
    <row r="2336" spans="1:15" x14ac:dyDescent="0.3">
      <c r="A2336" t="s">
        <v>2360</v>
      </c>
      <c r="B2336" s="1">
        <v>45851</v>
      </c>
      <c r="C2336" t="s">
        <v>14</v>
      </c>
      <c r="D2336" t="s">
        <v>22</v>
      </c>
      <c r="E2336" s="2">
        <v>3.25</v>
      </c>
      <c r="F2336" s="3">
        <v>9.0500000000000007</v>
      </c>
      <c r="G2336" s="4">
        <v>37.5</v>
      </c>
      <c r="H2336">
        <v>1.2</v>
      </c>
      <c r="I2336" s="4">
        <v>45</v>
      </c>
      <c r="J2336">
        <v>3.8</v>
      </c>
      <c r="K2336" t="s">
        <v>18</v>
      </c>
      <c r="L2336" t="s">
        <v>16</v>
      </c>
      <c r="O2336"/>
    </row>
    <row r="2337" spans="1:15" x14ac:dyDescent="0.3">
      <c r="A2337" t="s">
        <v>2361</v>
      </c>
      <c r="B2337" s="1">
        <v>45788</v>
      </c>
      <c r="C2337" t="s">
        <v>22</v>
      </c>
      <c r="D2337" t="s">
        <v>21</v>
      </c>
      <c r="E2337" s="2">
        <v>8.15</v>
      </c>
      <c r="F2337" s="3">
        <v>29.39</v>
      </c>
      <c r="G2337" s="4">
        <v>131.38</v>
      </c>
      <c r="H2337">
        <v>2</v>
      </c>
      <c r="I2337" s="4">
        <v>262.76</v>
      </c>
      <c r="J2337">
        <v>4.7</v>
      </c>
      <c r="K2337" t="s">
        <v>33</v>
      </c>
      <c r="L2337" t="s">
        <v>16</v>
      </c>
      <c r="O2337"/>
    </row>
    <row r="2338" spans="1:15" x14ac:dyDescent="0.3">
      <c r="A2338" t="s">
        <v>2362</v>
      </c>
      <c r="B2338" s="1">
        <v>45790</v>
      </c>
      <c r="C2338" t="s">
        <v>25</v>
      </c>
      <c r="D2338" t="s">
        <v>21</v>
      </c>
      <c r="E2338" s="2">
        <v>13.95</v>
      </c>
      <c r="F2338" s="3">
        <v>35.619999999999997</v>
      </c>
      <c r="G2338" s="4">
        <v>154.06</v>
      </c>
      <c r="H2338">
        <v>1.5</v>
      </c>
      <c r="I2338" s="4">
        <v>231.09</v>
      </c>
      <c r="J2338">
        <v>4.8</v>
      </c>
      <c r="K2338" t="s">
        <v>15</v>
      </c>
      <c r="L2338" t="s">
        <v>19</v>
      </c>
      <c r="O2338"/>
    </row>
    <row r="2339" spans="1:15" x14ac:dyDescent="0.3">
      <c r="A2339" t="s">
        <v>2363</v>
      </c>
      <c r="B2339" s="1">
        <v>45705</v>
      </c>
      <c r="C2339" t="s">
        <v>14</v>
      </c>
      <c r="D2339" t="s">
        <v>22</v>
      </c>
      <c r="E2339" s="2">
        <v>25.29</v>
      </c>
      <c r="F2339" s="3">
        <v>59.86</v>
      </c>
      <c r="G2339" s="4">
        <v>360.29</v>
      </c>
      <c r="H2339">
        <v>1.2</v>
      </c>
      <c r="I2339" s="4">
        <v>432.35</v>
      </c>
      <c r="J2339">
        <v>4.2</v>
      </c>
      <c r="K2339" t="s">
        <v>36</v>
      </c>
      <c r="L2339" t="s">
        <v>16</v>
      </c>
      <c r="O2339"/>
    </row>
    <row r="2340" spans="1:15" x14ac:dyDescent="0.3">
      <c r="A2340" t="s">
        <v>2364</v>
      </c>
      <c r="B2340" s="1">
        <v>45712</v>
      </c>
      <c r="C2340" t="s">
        <v>21</v>
      </c>
      <c r="D2340" t="s">
        <v>14</v>
      </c>
      <c r="E2340" s="2">
        <v>24.48</v>
      </c>
      <c r="F2340" s="3">
        <v>76.069999999999993</v>
      </c>
      <c r="G2340" s="4">
        <v>452.06</v>
      </c>
      <c r="H2340">
        <v>1.2</v>
      </c>
      <c r="I2340" s="4">
        <v>542.47</v>
      </c>
      <c r="J2340">
        <v>4.0999999999999996</v>
      </c>
      <c r="K2340" t="s">
        <v>36</v>
      </c>
      <c r="L2340" t="s">
        <v>28</v>
      </c>
      <c r="O2340"/>
    </row>
    <row r="2341" spans="1:15" x14ac:dyDescent="0.3">
      <c r="A2341" t="s">
        <v>2365</v>
      </c>
      <c r="B2341" s="1">
        <v>45971</v>
      </c>
      <c r="C2341" t="s">
        <v>14</v>
      </c>
      <c r="D2341" t="s">
        <v>22</v>
      </c>
      <c r="E2341" s="2">
        <v>13.68</v>
      </c>
      <c r="F2341" s="3">
        <v>49.88</v>
      </c>
      <c r="G2341" s="4">
        <v>263.18</v>
      </c>
      <c r="H2341">
        <v>1.5</v>
      </c>
      <c r="I2341" s="4">
        <v>394.77</v>
      </c>
      <c r="J2341">
        <v>4.2</v>
      </c>
      <c r="K2341" t="s">
        <v>36</v>
      </c>
      <c r="L2341" t="s">
        <v>28</v>
      </c>
      <c r="O2341"/>
    </row>
    <row r="2342" spans="1:15" x14ac:dyDescent="0.3">
      <c r="A2342" t="s">
        <v>2366</v>
      </c>
      <c r="B2342" s="1">
        <v>45837</v>
      </c>
      <c r="C2342" t="s">
        <v>22</v>
      </c>
      <c r="D2342" t="s">
        <v>22</v>
      </c>
      <c r="E2342" s="2">
        <v>2.71</v>
      </c>
      <c r="F2342" s="3">
        <v>10.33</v>
      </c>
      <c r="G2342" s="4">
        <v>32.22</v>
      </c>
      <c r="H2342">
        <v>1.2</v>
      </c>
      <c r="I2342" s="4">
        <v>38.659999999999997</v>
      </c>
      <c r="J2342">
        <v>4.9000000000000004</v>
      </c>
      <c r="K2342" t="s">
        <v>36</v>
      </c>
      <c r="L2342" t="s">
        <v>26</v>
      </c>
      <c r="O2342"/>
    </row>
    <row r="2343" spans="1:15" x14ac:dyDescent="0.3">
      <c r="A2343" t="s">
        <v>2367</v>
      </c>
      <c r="B2343" s="1">
        <v>45898</v>
      </c>
      <c r="C2343" t="s">
        <v>13</v>
      </c>
      <c r="D2343" t="s">
        <v>14</v>
      </c>
      <c r="E2343" s="2">
        <v>29</v>
      </c>
      <c r="F2343" s="3">
        <v>107.42</v>
      </c>
      <c r="G2343" s="4">
        <v>554.82000000000005</v>
      </c>
      <c r="H2343">
        <v>1</v>
      </c>
      <c r="I2343" s="4">
        <v>554.82000000000005</v>
      </c>
      <c r="J2343">
        <v>3.3</v>
      </c>
      <c r="K2343" t="s">
        <v>30</v>
      </c>
      <c r="L2343" t="s">
        <v>26</v>
      </c>
      <c r="O2343"/>
    </row>
    <row r="2344" spans="1:15" x14ac:dyDescent="0.3">
      <c r="A2344" t="s">
        <v>2368</v>
      </c>
      <c r="B2344" s="1">
        <v>45785</v>
      </c>
      <c r="C2344" t="s">
        <v>21</v>
      </c>
      <c r="D2344" t="s">
        <v>22</v>
      </c>
      <c r="E2344" s="2">
        <v>27.8</v>
      </c>
      <c r="F2344" s="3">
        <v>109.5</v>
      </c>
      <c r="G2344" s="4">
        <v>417.71</v>
      </c>
      <c r="H2344">
        <v>1</v>
      </c>
      <c r="I2344" s="4">
        <v>417.71</v>
      </c>
      <c r="J2344">
        <v>3.3</v>
      </c>
      <c r="K2344" t="s">
        <v>15</v>
      </c>
      <c r="L2344" t="s">
        <v>28</v>
      </c>
      <c r="O2344"/>
    </row>
    <row r="2345" spans="1:15" x14ac:dyDescent="0.3">
      <c r="A2345" t="s">
        <v>2369</v>
      </c>
      <c r="B2345" s="1">
        <v>45813</v>
      </c>
      <c r="C2345" t="s">
        <v>25</v>
      </c>
      <c r="D2345" t="s">
        <v>13</v>
      </c>
      <c r="E2345" s="2">
        <v>29.29</v>
      </c>
      <c r="F2345" s="3">
        <v>109.67</v>
      </c>
      <c r="G2345" s="4">
        <v>545.33000000000004</v>
      </c>
      <c r="H2345">
        <v>1</v>
      </c>
      <c r="I2345" s="4">
        <v>545.33000000000004</v>
      </c>
      <c r="J2345">
        <v>4.2</v>
      </c>
      <c r="K2345" t="s">
        <v>33</v>
      </c>
      <c r="L2345" t="s">
        <v>26</v>
      </c>
      <c r="O2345"/>
    </row>
    <row r="2346" spans="1:15" x14ac:dyDescent="0.3">
      <c r="A2346" t="s">
        <v>2370</v>
      </c>
      <c r="B2346" s="1">
        <v>45964</v>
      </c>
      <c r="C2346" t="s">
        <v>22</v>
      </c>
      <c r="D2346" t="s">
        <v>25</v>
      </c>
      <c r="E2346" s="2">
        <v>7.75</v>
      </c>
      <c r="F2346" s="3">
        <v>25.06</v>
      </c>
      <c r="G2346" s="4">
        <v>116.95</v>
      </c>
      <c r="H2346">
        <v>1.5</v>
      </c>
      <c r="I2346" s="4">
        <v>175.42</v>
      </c>
      <c r="J2346">
        <v>4</v>
      </c>
      <c r="K2346" t="s">
        <v>33</v>
      </c>
      <c r="L2346" t="s">
        <v>19</v>
      </c>
      <c r="O2346"/>
    </row>
    <row r="2347" spans="1:15" x14ac:dyDescent="0.3">
      <c r="A2347" t="s">
        <v>2371</v>
      </c>
      <c r="B2347" s="1">
        <v>45713</v>
      </c>
      <c r="C2347" t="s">
        <v>22</v>
      </c>
      <c r="D2347" t="s">
        <v>22</v>
      </c>
      <c r="E2347" s="2">
        <v>19.420000000000002</v>
      </c>
      <c r="F2347" s="3">
        <v>56.04</v>
      </c>
      <c r="G2347" s="4">
        <v>289.58</v>
      </c>
      <c r="H2347">
        <v>1.5</v>
      </c>
      <c r="I2347" s="4">
        <v>434.37</v>
      </c>
      <c r="J2347">
        <v>4.4000000000000004</v>
      </c>
      <c r="K2347" t="s">
        <v>33</v>
      </c>
      <c r="L2347" t="s">
        <v>28</v>
      </c>
      <c r="O2347"/>
    </row>
    <row r="2348" spans="1:15" x14ac:dyDescent="0.3">
      <c r="A2348" t="s">
        <v>2372</v>
      </c>
      <c r="B2348" s="1">
        <v>45695</v>
      </c>
      <c r="C2348" t="s">
        <v>22</v>
      </c>
      <c r="D2348" t="s">
        <v>14</v>
      </c>
      <c r="E2348" s="2">
        <v>3.18</v>
      </c>
      <c r="F2348" s="3">
        <v>6.83</v>
      </c>
      <c r="G2348" s="4">
        <v>38.03</v>
      </c>
      <c r="H2348">
        <v>1.2</v>
      </c>
      <c r="I2348" s="4">
        <v>45.64</v>
      </c>
      <c r="J2348">
        <v>3.7</v>
      </c>
      <c r="K2348" t="s">
        <v>33</v>
      </c>
      <c r="L2348" t="s">
        <v>16</v>
      </c>
      <c r="O2348"/>
    </row>
    <row r="2349" spans="1:15" x14ac:dyDescent="0.3">
      <c r="A2349" t="s">
        <v>2373</v>
      </c>
      <c r="B2349" s="1">
        <v>45674</v>
      </c>
      <c r="C2349" t="s">
        <v>13</v>
      </c>
      <c r="D2349" t="s">
        <v>22</v>
      </c>
      <c r="E2349" s="2">
        <v>15.08</v>
      </c>
      <c r="F2349" s="3">
        <v>40.28</v>
      </c>
      <c r="G2349" s="4">
        <v>163.22</v>
      </c>
      <c r="H2349">
        <v>1</v>
      </c>
      <c r="I2349" s="4">
        <v>163.22</v>
      </c>
      <c r="J2349">
        <v>4.7</v>
      </c>
      <c r="K2349" t="s">
        <v>30</v>
      </c>
      <c r="L2349" t="s">
        <v>16</v>
      </c>
      <c r="O2349"/>
    </row>
    <row r="2350" spans="1:15" x14ac:dyDescent="0.3">
      <c r="A2350" t="s">
        <v>2374</v>
      </c>
      <c r="B2350" s="1">
        <v>45698</v>
      </c>
      <c r="C2350" t="s">
        <v>14</v>
      </c>
      <c r="D2350" t="s">
        <v>25</v>
      </c>
      <c r="E2350" s="2">
        <v>18.829999999999998</v>
      </c>
      <c r="F2350" s="3">
        <v>74.459999999999994</v>
      </c>
      <c r="G2350" s="4">
        <v>209.26</v>
      </c>
      <c r="H2350">
        <v>1.2</v>
      </c>
      <c r="I2350" s="4">
        <v>251.11</v>
      </c>
      <c r="J2350">
        <v>3.1</v>
      </c>
      <c r="K2350" t="s">
        <v>36</v>
      </c>
      <c r="L2350" t="s">
        <v>19</v>
      </c>
      <c r="O2350"/>
    </row>
    <row r="2351" spans="1:15" x14ac:dyDescent="0.3">
      <c r="A2351" t="s">
        <v>2375</v>
      </c>
      <c r="B2351" s="1">
        <v>45796</v>
      </c>
      <c r="C2351" t="s">
        <v>14</v>
      </c>
      <c r="D2351" t="s">
        <v>21</v>
      </c>
      <c r="E2351" s="2">
        <v>29.09</v>
      </c>
      <c r="F2351" s="3">
        <v>103.08</v>
      </c>
      <c r="G2351" s="4">
        <v>552.19000000000005</v>
      </c>
      <c r="H2351">
        <v>1</v>
      </c>
      <c r="I2351" s="4">
        <v>552.19000000000005</v>
      </c>
      <c r="J2351">
        <v>4.5</v>
      </c>
      <c r="K2351" t="s">
        <v>18</v>
      </c>
      <c r="L2351" t="s">
        <v>19</v>
      </c>
      <c r="O2351"/>
    </row>
    <row r="2352" spans="1:15" x14ac:dyDescent="0.3">
      <c r="A2352" t="s">
        <v>2376</v>
      </c>
      <c r="B2352" s="1">
        <v>45949</v>
      </c>
      <c r="C2352" t="s">
        <v>13</v>
      </c>
      <c r="D2352" t="s">
        <v>25</v>
      </c>
      <c r="E2352" s="2">
        <v>3.98</v>
      </c>
      <c r="F2352" s="3">
        <v>8.3800000000000008</v>
      </c>
      <c r="G2352" s="4">
        <v>73.849999999999994</v>
      </c>
      <c r="H2352">
        <v>1</v>
      </c>
      <c r="I2352" s="4">
        <v>73.849999999999994</v>
      </c>
      <c r="J2352">
        <v>3.3</v>
      </c>
      <c r="K2352" t="s">
        <v>36</v>
      </c>
      <c r="L2352" t="s">
        <v>26</v>
      </c>
      <c r="O2352"/>
    </row>
    <row r="2353" spans="1:15" x14ac:dyDescent="0.3">
      <c r="A2353" t="s">
        <v>2377</v>
      </c>
      <c r="B2353" s="1">
        <v>45784</v>
      </c>
      <c r="C2353" t="s">
        <v>25</v>
      </c>
      <c r="D2353" t="s">
        <v>21</v>
      </c>
      <c r="E2353" s="2">
        <v>15.81</v>
      </c>
      <c r="F2353" s="3">
        <v>34.22</v>
      </c>
      <c r="G2353" s="4">
        <v>255.6</v>
      </c>
      <c r="H2353">
        <v>1.5</v>
      </c>
      <c r="I2353" s="4">
        <v>383.4</v>
      </c>
      <c r="J2353">
        <v>4.9000000000000004</v>
      </c>
      <c r="K2353" t="s">
        <v>18</v>
      </c>
      <c r="L2353" t="s">
        <v>26</v>
      </c>
      <c r="O2353"/>
    </row>
    <row r="2354" spans="1:15" x14ac:dyDescent="0.3">
      <c r="A2354" t="s">
        <v>2378</v>
      </c>
      <c r="B2354" s="1">
        <v>45970</v>
      </c>
      <c r="C2354" t="s">
        <v>13</v>
      </c>
      <c r="D2354" t="s">
        <v>22</v>
      </c>
      <c r="E2354" s="2">
        <v>19.87</v>
      </c>
      <c r="F2354" s="3">
        <v>48.19</v>
      </c>
      <c r="G2354" s="4">
        <v>273.16000000000003</v>
      </c>
      <c r="H2354">
        <v>1.2</v>
      </c>
      <c r="I2354" s="4">
        <v>327.79</v>
      </c>
      <c r="J2354">
        <v>4.5999999999999996</v>
      </c>
      <c r="K2354" t="s">
        <v>30</v>
      </c>
      <c r="L2354" t="s">
        <v>19</v>
      </c>
      <c r="O2354"/>
    </row>
    <row r="2355" spans="1:15" x14ac:dyDescent="0.3">
      <c r="A2355" t="s">
        <v>2379</v>
      </c>
      <c r="B2355" s="1">
        <v>45935</v>
      </c>
      <c r="C2355" t="s">
        <v>22</v>
      </c>
      <c r="D2355" t="s">
        <v>21</v>
      </c>
      <c r="E2355" s="2">
        <v>10.119999999999999</v>
      </c>
      <c r="F2355" s="3">
        <v>31.6</v>
      </c>
      <c r="G2355" s="4">
        <v>155.19</v>
      </c>
      <c r="H2355">
        <v>2</v>
      </c>
      <c r="I2355" s="4">
        <v>310.38</v>
      </c>
      <c r="J2355">
        <v>5</v>
      </c>
      <c r="K2355" t="s">
        <v>30</v>
      </c>
      <c r="L2355" t="s">
        <v>28</v>
      </c>
      <c r="O2355"/>
    </row>
    <row r="2356" spans="1:15" x14ac:dyDescent="0.3">
      <c r="A2356" t="s">
        <v>2380</v>
      </c>
      <c r="B2356" s="1">
        <v>45866</v>
      </c>
      <c r="C2356" t="s">
        <v>25</v>
      </c>
      <c r="D2356" t="s">
        <v>13</v>
      </c>
      <c r="E2356" s="2">
        <v>12.92</v>
      </c>
      <c r="F2356" s="3">
        <v>45.57</v>
      </c>
      <c r="G2356" s="4">
        <v>142.09</v>
      </c>
      <c r="H2356">
        <v>2</v>
      </c>
      <c r="I2356" s="4">
        <v>284.18</v>
      </c>
      <c r="J2356">
        <v>3.9</v>
      </c>
      <c r="K2356" t="s">
        <v>15</v>
      </c>
      <c r="L2356" t="s">
        <v>19</v>
      </c>
      <c r="O2356"/>
    </row>
    <row r="2357" spans="1:15" x14ac:dyDescent="0.3">
      <c r="A2357" t="s">
        <v>2381</v>
      </c>
      <c r="B2357" s="1">
        <v>45722</v>
      </c>
      <c r="C2357" t="s">
        <v>21</v>
      </c>
      <c r="D2357" t="s">
        <v>13</v>
      </c>
      <c r="E2357" s="2">
        <v>2.14</v>
      </c>
      <c r="F2357" s="3">
        <v>5.83</v>
      </c>
      <c r="G2357" s="4">
        <v>34.47</v>
      </c>
      <c r="H2357">
        <v>2</v>
      </c>
      <c r="I2357" s="4">
        <v>68.94</v>
      </c>
      <c r="J2357">
        <v>4.0999999999999996</v>
      </c>
      <c r="K2357" t="s">
        <v>15</v>
      </c>
      <c r="L2357" t="s">
        <v>28</v>
      </c>
      <c r="O2357"/>
    </row>
    <row r="2358" spans="1:15" x14ac:dyDescent="0.3">
      <c r="A2358" t="s">
        <v>2382</v>
      </c>
      <c r="B2358" s="1">
        <v>45683</v>
      </c>
      <c r="C2358" t="s">
        <v>13</v>
      </c>
      <c r="D2358" t="s">
        <v>25</v>
      </c>
      <c r="E2358" s="2">
        <v>3.25</v>
      </c>
      <c r="F2358" s="3">
        <v>12.55</v>
      </c>
      <c r="G2358" s="4">
        <v>55.48</v>
      </c>
      <c r="H2358">
        <v>1.5</v>
      </c>
      <c r="I2358" s="4">
        <v>83.22</v>
      </c>
      <c r="J2358">
        <v>3.2</v>
      </c>
      <c r="K2358" t="s">
        <v>33</v>
      </c>
      <c r="L2358" t="s">
        <v>19</v>
      </c>
      <c r="O2358"/>
    </row>
    <row r="2359" spans="1:15" x14ac:dyDescent="0.3">
      <c r="A2359" t="s">
        <v>2383</v>
      </c>
      <c r="B2359" s="1">
        <v>45671</v>
      </c>
      <c r="C2359" t="s">
        <v>13</v>
      </c>
      <c r="D2359" t="s">
        <v>14</v>
      </c>
      <c r="E2359" s="2">
        <v>22.48</v>
      </c>
      <c r="F2359" s="3">
        <v>72</v>
      </c>
      <c r="G2359" s="4">
        <v>375.79</v>
      </c>
      <c r="H2359">
        <v>1.5</v>
      </c>
      <c r="I2359" s="4">
        <v>563.69000000000005</v>
      </c>
      <c r="J2359">
        <v>4.3</v>
      </c>
      <c r="K2359" t="s">
        <v>18</v>
      </c>
      <c r="L2359" t="s">
        <v>19</v>
      </c>
      <c r="O2359"/>
    </row>
    <row r="2360" spans="1:15" x14ac:dyDescent="0.3">
      <c r="A2360" t="s">
        <v>2384</v>
      </c>
      <c r="B2360" s="1">
        <v>45800</v>
      </c>
      <c r="C2360" t="s">
        <v>14</v>
      </c>
      <c r="D2360" t="s">
        <v>21</v>
      </c>
      <c r="E2360" s="2">
        <v>22.13</v>
      </c>
      <c r="F2360" s="3">
        <v>72.84</v>
      </c>
      <c r="G2360" s="4">
        <v>439.45</v>
      </c>
      <c r="H2360">
        <v>2</v>
      </c>
      <c r="I2360" s="4">
        <v>878.9</v>
      </c>
      <c r="J2360">
        <v>4.5</v>
      </c>
      <c r="K2360" t="s">
        <v>36</v>
      </c>
      <c r="L2360" t="s">
        <v>28</v>
      </c>
      <c r="O2360"/>
    </row>
    <row r="2361" spans="1:15" x14ac:dyDescent="0.3">
      <c r="A2361" t="s">
        <v>2385</v>
      </c>
      <c r="B2361" s="1">
        <v>45859</v>
      </c>
      <c r="C2361" t="s">
        <v>14</v>
      </c>
      <c r="D2361" t="s">
        <v>13</v>
      </c>
      <c r="E2361" s="2">
        <v>23.62</v>
      </c>
      <c r="F2361" s="3">
        <v>63.25</v>
      </c>
      <c r="G2361" s="4">
        <v>325.88</v>
      </c>
      <c r="H2361">
        <v>1</v>
      </c>
      <c r="I2361" s="4">
        <v>325.88</v>
      </c>
      <c r="J2361">
        <v>3.9</v>
      </c>
      <c r="K2361" t="s">
        <v>15</v>
      </c>
      <c r="L2361" t="s">
        <v>26</v>
      </c>
      <c r="O2361"/>
    </row>
    <row r="2362" spans="1:15" x14ac:dyDescent="0.3">
      <c r="A2362" t="s">
        <v>2386</v>
      </c>
      <c r="B2362" s="1">
        <v>45779</v>
      </c>
      <c r="C2362" t="s">
        <v>22</v>
      </c>
      <c r="D2362" t="s">
        <v>25</v>
      </c>
      <c r="E2362" s="2">
        <v>19.12</v>
      </c>
      <c r="F2362" s="3">
        <v>72.239999999999995</v>
      </c>
      <c r="G2362" s="4">
        <v>231.32</v>
      </c>
      <c r="H2362">
        <v>2</v>
      </c>
      <c r="I2362" s="4">
        <v>462.64</v>
      </c>
      <c r="J2362">
        <v>4.8</v>
      </c>
      <c r="K2362" t="s">
        <v>30</v>
      </c>
      <c r="L2362" t="s">
        <v>19</v>
      </c>
      <c r="O2362"/>
    </row>
    <row r="2363" spans="1:15" x14ac:dyDescent="0.3">
      <c r="A2363" t="s">
        <v>2387</v>
      </c>
      <c r="B2363" s="1">
        <v>45930</v>
      </c>
      <c r="C2363" t="s">
        <v>25</v>
      </c>
      <c r="D2363" t="s">
        <v>25</v>
      </c>
      <c r="E2363" s="2">
        <v>15.39</v>
      </c>
      <c r="F2363" s="3">
        <v>44.04</v>
      </c>
      <c r="G2363" s="4">
        <v>300.77999999999997</v>
      </c>
      <c r="H2363">
        <v>1</v>
      </c>
      <c r="I2363" s="4">
        <v>300.77999999999997</v>
      </c>
      <c r="J2363">
        <v>4.9000000000000004</v>
      </c>
      <c r="K2363" t="s">
        <v>36</v>
      </c>
      <c r="L2363" t="s">
        <v>26</v>
      </c>
      <c r="O2363"/>
    </row>
    <row r="2364" spans="1:15" x14ac:dyDescent="0.3">
      <c r="A2364" t="s">
        <v>2388</v>
      </c>
      <c r="B2364" s="1">
        <v>45961</v>
      </c>
      <c r="C2364" t="s">
        <v>21</v>
      </c>
      <c r="D2364" t="s">
        <v>25</v>
      </c>
      <c r="E2364" s="2">
        <v>9.93</v>
      </c>
      <c r="F2364" s="3">
        <v>25.6</v>
      </c>
      <c r="G2364" s="4">
        <v>145.83000000000001</v>
      </c>
      <c r="H2364">
        <v>2</v>
      </c>
      <c r="I2364" s="4">
        <v>291.66000000000003</v>
      </c>
      <c r="J2364">
        <v>3.5</v>
      </c>
      <c r="K2364" t="s">
        <v>30</v>
      </c>
      <c r="L2364" t="s">
        <v>26</v>
      </c>
      <c r="O2364"/>
    </row>
    <row r="2365" spans="1:15" x14ac:dyDescent="0.3">
      <c r="A2365" t="s">
        <v>2389</v>
      </c>
      <c r="B2365" s="1">
        <v>45741</v>
      </c>
      <c r="C2365" t="s">
        <v>22</v>
      </c>
      <c r="D2365" t="s">
        <v>21</v>
      </c>
      <c r="E2365" s="2">
        <v>10.51</v>
      </c>
      <c r="F2365" s="3">
        <v>29.91</v>
      </c>
      <c r="G2365" s="4">
        <v>175.46</v>
      </c>
      <c r="H2365">
        <v>1.2</v>
      </c>
      <c r="I2365" s="4">
        <v>210.55</v>
      </c>
      <c r="J2365">
        <v>4.2</v>
      </c>
      <c r="K2365" t="s">
        <v>36</v>
      </c>
      <c r="L2365" t="s">
        <v>16</v>
      </c>
      <c r="O2365"/>
    </row>
    <row r="2366" spans="1:15" x14ac:dyDescent="0.3">
      <c r="A2366" t="s">
        <v>2390</v>
      </c>
      <c r="B2366" s="1">
        <v>45763</v>
      </c>
      <c r="C2366" t="s">
        <v>13</v>
      </c>
      <c r="D2366" t="s">
        <v>21</v>
      </c>
      <c r="E2366" s="2">
        <v>26.51</v>
      </c>
      <c r="F2366" s="3">
        <v>98.47</v>
      </c>
      <c r="G2366" s="4">
        <v>364.53</v>
      </c>
      <c r="H2366">
        <v>2</v>
      </c>
      <c r="I2366" s="4">
        <v>729.06</v>
      </c>
      <c r="J2366">
        <v>3.4</v>
      </c>
      <c r="K2366" t="s">
        <v>33</v>
      </c>
      <c r="L2366" t="s">
        <v>28</v>
      </c>
      <c r="O2366"/>
    </row>
    <row r="2367" spans="1:15" x14ac:dyDescent="0.3">
      <c r="A2367" t="s">
        <v>2391</v>
      </c>
      <c r="B2367" s="1">
        <v>45724</v>
      </c>
      <c r="C2367" t="s">
        <v>25</v>
      </c>
      <c r="D2367" t="s">
        <v>22</v>
      </c>
      <c r="E2367" s="2">
        <v>12.58</v>
      </c>
      <c r="F2367" s="3">
        <v>36.74</v>
      </c>
      <c r="G2367" s="4">
        <v>239.9</v>
      </c>
      <c r="H2367">
        <v>1.2</v>
      </c>
      <c r="I2367" s="4">
        <v>287.88</v>
      </c>
      <c r="J2367">
        <v>3.9</v>
      </c>
      <c r="K2367" t="s">
        <v>36</v>
      </c>
      <c r="L2367" t="s">
        <v>28</v>
      </c>
      <c r="O2367"/>
    </row>
    <row r="2368" spans="1:15" x14ac:dyDescent="0.3">
      <c r="A2368" t="s">
        <v>2392</v>
      </c>
      <c r="B2368" s="1">
        <v>45659</v>
      </c>
      <c r="C2368" t="s">
        <v>21</v>
      </c>
      <c r="D2368" t="s">
        <v>21</v>
      </c>
      <c r="E2368" s="2">
        <v>1.24</v>
      </c>
      <c r="F2368" s="3">
        <v>4.07</v>
      </c>
      <c r="G2368" s="4">
        <v>13.25</v>
      </c>
      <c r="H2368">
        <v>2</v>
      </c>
      <c r="I2368" s="4">
        <v>26.5</v>
      </c>
      <c r="J2368">
        <v>4.5999999999999996</v>
      </c>
      <c r="K2368" t="s">
        <v>30</v>
      </c>
      <c r="L2368" t="s">
        <v>26</v>
      </c>
      <c r="O2368"/>
    </row>
    <row r="2369" spans="1:15" x14ac:dyDescent="0.3">
      <c r="A2369" t="s">
        <v>2393</v>
      </c>
      <c r="B2369" s="1">
        <v>45785</v>
      </c>
      <c r="C2369" t="s">
        <v>13</v>
      </c>
      <c r="D2369" t="s">
        <v>25</v>
      </c>
      <c r="E2369" s="2">
        <v>21.32</v>
      </c>
      <c r="F2369" s="3">
        <v>70.55</v>
      </c>
      <c r="G2369" s="4">
        <v>223.66</v>
      </c>
      <c r="H2369">
        <v>1</v>
      </c>
      <c r="I2369" s="4">
        <v>223.66</v>
      </c>
      <c r="J2369">
        <v>5</v>
      </c>
      <c r="K2369" t="s">
        <v>36</v>
      </c>
      <c r="L2369" t="s">
        <v>16</v>
      </c>
      <c r="O2369"/>
    </row>
    <row r="2370" spans="1:15" x14ac:dyDescent="0.3">
      <c r="A2370" t="s">
        <v>2394</v>
      </c>
      <c r="B2370" s="1">
        <v>45995</v>
      </c>
      <c r="C2370" t="s">
        <v>22</v>
      </c>
      <c r="D2370" t="s">
        <v>22</v>
      </c>
      <c r="E2370" s="2">
        <v>3.65</v>
      </c>
      <c r="F2370" s="3">
        <v>8.6</v>
      </c>
      <c r="G2370" s="4">
        <v>61.63</v>
      </c>
      <c r="H2370">
        <v>1</v>
      </c>
      <c r="I2370" s="4">
        <v>61.63</v>
      </c>
      <c r="J2370">
        <v>3.4</v>
      </c>
      <c r="K2370" t="s">
        <v>18</v>
      </c>
      <c r="L2370" t="s">
        <v>19</v>
      </c>
      <c r="O2370"/>
    </row>
    <row r="2371" spans="1:15" x14ac:dyDescent="0.3">
      <c r="A2371" t="s">
        <v>2395</v>
      </c>
      <c r="B2371" s="1">
        <v>45888</v>
      </c>
      <c r="C2371" t="s">
        <v>14</v>
      </c>
      <c r="D2371" t="s">
        <v>25</v>
      </c>
      <c r="E2371" s="2">
        <v>21.09</v>
      </c>
      <c r="F2371" s="3">
        <v>50.62</v>
      </c>
      <c r="G2371" s="4">
        <v>416.16</v>
      </c>
      <c r="H2371">
        <v>2</v>
      </c>
      <c r="I2371" s="4">
        <v>832.32</v>
      </c>
      <c r="J2371">
        <v>3.6</v>
      </c>
      <c r="K2371" t="s">
        <v>36</v>
      </c>
      <c r="L2371" t="s">
        <v>26</v>
      </c>
      <c r="O2371"/>
    </row>
    <row r="2372" spans="1:15" x14ac:dyDescent="0.3">
      <c r="A2372" t="s">
        <v>2396</v>
      </c>
      <c r="B2372" s="1">
        <v>45868</v>
      </c>
      <c r="C2372" t="s">
        <v>21</v>
      </c>
      <c r="D2372" t="s">
        <v>22</v>
      </c>
      <c r="E2372" s="2">
        <v>28.42</v>
      </c>
      <c r="F2372" s="3">
        <v>105.99</v>
      </c>
      <c r="G2372" s="4">
        <v>303.26</v>
      </c>
      <c r="H2372">
        <v>1</v>
      </c>
      <c r="I2372" s="4">
        <v>303.26</v>
      </c>
      <c r="J2372">
        <v>3.3</v>
      </c>
      <c r="K2372" t="s">
        <v>15</v>
      </c>
      <c r="L2372" t="s">
        <v>16</v>
      </c>
      <c r="O2372"/>
    </row>
    <row r="2373" spans="1:15" x14ac:dyDescent="0.3">
      <c r="A2373" t="s">
        <v>2397</v>
      </c>
      <c r="B2373" s="1">
        <v>45877</v>
      </c>
      <c r="C2373" t="s">
        <v>22</v>
      </c>
      <c r="D2373" t="s">
        <v>13</v>
      </c>
      <c r="E2373" s="2">
        <v>1.1599999999999999</v>
      </c>
      <c r="F2373" s="3">
        <v>2.44</v>
      </c>
      <c r="G2373" s="4">
        <v>22.23</v>
      </c>
      <c r="H2373">
        <v>1.5</v>
      </c>
      <c r="I2373" s="4">
        <v>33.340000000000003</v>
      </c>
      <c r="J2373">
        <v>4.7</v>
      </c>
      <c r="K2373" t="s">
        <v>33</v>
      </c>
      <c r="L2373" t="s">
        <v>16</v>
      </c>
      <c r="O2373"/>
    </row>
    <row r="2374" spans="1:15" x14ac:dyDescent="0.3">
      <c r="A2374" t="s">
        <v>2398</v>
      </c>
      <c r="B2374" s="1">
        <v>45839</v>
      </c>
      <c r="C2374" t="s">
        <v>13</v>
      </c>
      <c r="D2374" t="s">
        <v>14</v>
      </c>
      <c r="E2374" s="2">
        <v>16.86</v>
      </c>
      <c r="F2374" s="3">
        <v>65.92</v>
      </c>
      <c r="G2374" s="4">
        <v>252.34</v>
      </c>
      <c r="H2374">
        <v>1.2</v>
      </c>
      <c r="I2374" s="4">
        <v>302.81</v>
      </c>
      <c r="J2374">
        <v>4.5999999999999996</v>
      </c>
      <c r="K2374" t="s">
        <v>18</v>
      </c>
      <c r="L2374" t="s">
        <v>28</v>
      </c>
      <c r="O2374"/>
    </row>
    <row r="2375" spans="1:15" x14ac:dyDescent="0.3">
      <c r="A2375" t="s">
        <v>2399</v>
      </c>
      <c r="B2375" s="1">
        <v>45945</v>
      </c>
      <c r="C2375" t="s">
        <v>14</v>
      </c>
      <c r="D2375" t="s">
        <v>25</v>
      </c>
      <c r="E2375" s="2">
        <v>23.92</v>
      </c>
      <c r="F2375" s="3">
        <v>70.67</v>
      </c>
      <c r="G2375" s="4">
        <v>426.56</v>
      </c>
      <c r="H2375">
        <v>1.5</v>
      </c>
      <c r="I2375" s="4">
        <v>639.84</v>
      </c>
      <c r="J2375">
        <v>3.7</v>
      </c>
      <c r="K2375" t="s">
        <v>36</v>
      </c>
      <c r="L2375" t="s">
        <v>16</v>
      </c>
      <c r="O2375"/>
    </row>
    <row r="2376" spans="1:15" x14ac:dyDescent="0.3">
      <c r="A2376" t="s">
        <v>2400</v>
      </c>
      <c r="B2376" s="1">
        <v>45784</v>
      </c>
      <c r="C2376" t="s">
        <v>22</v>
      </c>
      <c r="D2376" t="s">
        <v>14</v>
      </c>
      <c r="E2376" s="2">
        <v>3.26</v>
      </c>
      <c r="F2376" s="3">
        <v>9.76</v>
      </c>
      <c r="G2376" s="4">
        <v>37.43</v>
      </c>
      <c r="H2376">
        <v>1</v>
      </c>
      <c r="I2376" s="4">
        <v>37.43</v>
      </c>
      <c r="J2376">
        <v>3.7</v>
      </c>
      <c r="K2376" t="s">
        <v>18</v>
      </c>
      <c r="L2376" t="s">
        <v>16</v>
      </c>
      <c r="O2376"/>
    </row>
    <row r="2377" spans="1:15" x14ac:dyDescent="0.3">
      <c r="A2377" t="s">
        <v>2401</v>
      </c>
      <c r="B2377" s="1">
        <v>45976</v>
      </c>
      <c r="C2377" t="s">
        <v>21</v>
      </c>
      <c r="D2377" t="s">
        <v>14</v>
      </c>
      <c r="E2377" s="2">
        <v>25.39</v>
      </c>
      <c r="F2377" s="3">
        <v>53.33</v>
      </c>
      <c r="G2377" s="4">
        <v>354.6</v>
      </c>
      <c r="H2377">
        <v>1</v>
      </c>
      <c r="I2377" s="4">
        <v>354.6</v>
      </c>
      <c r="J2377">
        <v>4.0999999999999996</v>
      </c>
      <c r="K2377" t="s">
        <v>30</v>
      </c>
      <c r="L2377" t="s">
        <v>19</v>
      </c>
      <c r="O2377"/>
    </row>
    <row r="2378" spans="1:15" x14ac:dyDescent="0.3">
      <c r="A2378" t="s">
        <v>2402</v>
      </c>
      <c r="B2378" s="1">
        <v>45993</v>
      </c>
      <c r="C2378" t="s">
        <v>13</v>
      </c>
      <c r="D2378" t="s">
        <v>21</v>
      </c>
      <c r="E2378" s="2">
        <v>28.13</v>
      </c>
      <c r="F2378" s="3">
        <v>105.12</v>
      </c>
      <c r="G2378" s="4">
        <v>524.46</v>
      </c>
      <c r="H2378">
        <v>1.2</v>
      </c>
      <c r="I2378" s="4">
        <v>629.35</v>
      </c>
      <c r="J2378">
        <v>4.0999999999999996</v>
      </c>
      <c r="K2378" t="s">
        <v>30</v>
      </c>
      <c r="L2378" t="s">
        <v>16</v>
      </c>
      <c r="O2378"/>
    </row>
    <row r="2379" spans="1:15" x14ac:dyDescent="0.3">
      <c r="A2379" t="s">
        <v>2403</v>
      </c>
      <c r="B2379" s="1">
        <v>45993</v>
      </c>
      <c r="C2379" t="s">
        <v>25</v>
      </c>
      <c r="D2379" t="s">
        <v>21</v>
      </c>
      <c r="E2379" s="2">
        <v>1.43</v>
      </c>
      <c r="F2379" s="3">
        <v>5</v>
      </c>
      <c r="G2379" s="4">
        <v>15.61</v>
      </c>
      <c r="H2379">
        <v>1.5</v>
      </c>
      <c r="I2379" s="4">
        <v>23.42</v>
      </c>
      <c r="J2379">
        <v>4</v>
      </c>
      <c r="K2379" t="s">
        <v>18</v>
      </c>
      <c r="L2379" t="s">
        <v>16</v>
      </c>
      <c r="O2379"/>
    </row>
    <row r="2380" spans="1:15" x14ac:dyDescent="0.3">
      <c r="A2380" t="s">
        <v>2404</v>
      </c>
      <c r="B2380" s="1">
        <v>45873</v>
      </c>
      <c r="C2380" t="s">
        <v>14</v>
      </c>
      <c r="D2380" t="s">
        <v>21</v>
      </c>
      <c r="E2380" s="2">
        <v>14.1</v>
      </c>
      <c r="F2380" s="3">
        <v>28.64</v>
      </c>
      <c r="G2380" s="4">
        <v>257.18</v>
      </c>
      <c r="H2380">
        <v>2</v>
      </c>
      <c r="I2380" s="4">
        <v>514.36</v>
      </c>
      <c r="J2380">
        <v>4.9000000000000004</v>
      </c>
      <c r="K2380" t="s">
        <v>18</v>
      </c>
      <c r="L2380" t="s">
        <v>19</v>
      </c>
      <c r="O2380"/>
    </row>
    <row r="2381" spans="1:15" x14ac:dyDescent="0.3">
      <c r="A2381" t="s">
        <v>2405</v>
      </c>
      <c r="B2381" s="1">
        <v>45985</v>
      </c>
      <c r="C2381" t="s">
        <v>13</v>
      </c>
      <c r="D2381" t="s">
        <v>14</v>
      </c>
      <c r="E2381" s="2">
        <v>16.690000000000001</v>
      </c>
      <c r="F2381" s="3">
        <v>65.45</v>
      </c>
      <c r="G2381" s="4">
        <v>186.92</v>
      </c>
      <c r="H2381">
        <v>1.2</v>
      </c>
      <c r="I2381" s="4">
        <v>224.3</v>
      </c>
      <c r="J2381">
        <v>4.7</v>
      </c>
      <c r="K2381" t="s">
        <v>36</v>
      </c>
      <c r="L2381" t="s">
        <v>19</v>
      </c>
      <c r="O2381"/>
    </row>
    <row r="2382" spans="1:15" x14ac:dyDescent="0.3">
      <c r="A2382" t="s">
        <v>2406</v>
      </c>
      <c r="B2382" s="1">
        <v>45856</v>
      </c>
      <c r="C2382" t="s">
        <v>14</v>
      </c>
      <c r="D2382" t="s">
        <v>22</v>
      </c>
      <c r="E2382" s="2">
        <v>12.07</v>
      </c>
      <c r="F2382" s="3">
        <v>38.270000000000003</v>
      </c>
      <c r="G2382" s="4">
        <v>209.67</v>
      </c>
      <c r="H2382">
        <v>1</v>
      </c>
      <c r="I2382" s="4">
        <v>209.67</v>
      </c>
      <c r="J2382">
        <v>4.0999999999999996</v>
      </c>
      <c r="K2382" t="s">
        <v>30</v>
      </c>
      <c r="L2382" t="s">
        <v>26</v>
      </c>
      <c r="O2382"/>
    </row>
    <row r="2383" spans="1:15" x14ac:dyDescent="0.3">
      <c r="A2383" t="s">
        <v>2407</v>
      </c>
      <c r="B2383" s="1">
        <v>45947</v>
      </c>
      <c r="C2383" t="s">
        <v>22</v>
      </c>
      <c r="D2383" t="s">
        <v>25</v>
      </c>
      <c r="E2383" s="2">
        <v>16.61</v>
      </c>
      <c r="F2383" s="3">
        <v>50.92</v>
      </c>
      <c r="G2383" s="4">
        <v>272.01</v>
      </c>
      <c r="H2383">
        <v>1.5</v>
      </c>
      <c r="I2383" s="4">
        <v>408.02</v>
      </c>
      <c r="J2383">
        <v>3.5</v>
      </c>
      <c r="K2383" t="s">
        <v>30</v>
      </c>
      <c r="L2383" t="s">
        <v>26</v>
      </c>
      <c r="O2383"/>
    </row>
    <row r="2384" spans="1:15" x14ac:dyDescent="0.3">
      <c r="A2384" t="s">
        <v>2408</v>
      </c>
      <c r="B2384" s="1">
        <v>45693</v>
      </c>
      <c r="C2384" t="s">
        <v>14</v>
      </c>
      <c r="D2384" t="s">
        <v>25</v>
      </c>
      <c r="E2384" s="2">
        <v>6.5</v>
      </c>
      <c r="F2384" s="3">
        <v>15.43</v>
      </c>
      <c r="G2384" s="4">
        <v>102.48</v>
      </c>
      <c r="H2384">
        <v>1.5</v>
      </c>
      <c r="I2384" s="4">
        <v>153.72</v>
      </c>
      <c r="J2384">
        <v>4.9000000000000004</v>
      </c>
      <c r="K2384" t="s">
        <v>33</v>
      </c>
      <c r="L2384" t="s">
        <v>19</v>
      </c>
      <c r="O2384"/>
    </row>
    <row r="2385" spans="1:15" x14ac:dyDescent="0.3">
      <c r="A2385" t="s">
        <v>2409</v>
      </c>
      <c r="B2385" s="1">
        <v>45726</v>
      </c>
      <c r="C2385" t="s">
        <v>21</v>
      </c>
      <c r="D2385" t="s">
        <v>21</v>
      </c>
      <c r="E2385" s="2">
        <v>4.5599999999999996</v>
      </c>
      <c r="F2385" s="3">
        <v>14.28</v>
      </c>
      <c r="G2385" s="4">
        <v>57.92</v>
      </c>
      <c r="H2385">
        <v>1.2</v>
      </c>
      <c r="I2385" s="4">
        <v>69.5</v>
      </c>
      <c r="J2385">
        <v>4.9000000000000004</v>
      </c>
      <c r="K2385" t="s">
        <v>15</v>
      </c>
      <c r="L2385" t="s">
        <v>28</v>
      </c>
      <c r="O2385"/>
    </row>
    <row r="2386" spans="1:15" x14ac:dyDescent="0.3">
      <c r="A2386" t="s">
        <v>2410</v>
      </c>
      <c r="B2386" s="1">
        <v>45739</v>
      </c>
      <c r="C2386" t="s">
        <v>14</v>
      </c>
      <c r="D2386" t="s">
        <v>14</v>
      </c>
      <c r="E2386" s="2">
        <v>6.18</v>
      </c>
      <c r="F2386" s="3">
        <v>12.38</v>
      </c>
      <c r="G2386" s="4">
        <v>114.52</v>
      </c>
      <c r="H2386">
        <v>1</v>
      </c>
      <c r="I2386" s="4">
        <v>114.52</v>
      </c>
      <c r="J2386">
        <v>4.5999999999999996</v>
      </c>
      <c r="K2386" t="s">
        <v>36</v>
      </c>
      <c r="L2386" t="s">
        <v>16</v>
      </c>
      <c r="O2386"/>
    </row>
    <row r="2387" spans="1:15" x14ac:dyDescent="0.3">
      <c r="A2387" t="s">
        <v>2411</v>
      </c>
      <c r="B2387" s="1">
        <v>45782</v>
      </c>
      <c r="C2387" t="s">
        <v>22</v>
      </c>
      <c r="D2387" t="s">
        <v>25</v>
      </c>
      <c r="E2387" s="2">
        <v>16.850000000000001</v>
      </c>
      <c r="F2387" s="3">
        <v>57.32</v>
      </c>
      <c r="G2387" s="4">
        <v>326.16000000000003</v>
      </c>
      <c r="H2387">
        <v>2</v>
      </c>
      <c r="I2387" s="4">
        <v>652.32000000000005</v>
      </c>
      <c r="J2387">
        <v>3.9</v>
      </c>
      <c r="K2387" t="s">
        <v>18</v>
      </c>
      <c r="L2387" t="s">
        <v>28</v>
      </c>
      <c r="O2387"/>
    </row>
    <row r="2388" spans="1:15" x14ac:dyDescent="0.3">
      <c r="A2388" t="s">
        <v>2412</v>
      </c>
      <c r="B2388" s="1">
        <v>45972</v>
      </c>
      <c r="C2388" t="s">
        <v>13</v>
      </c>
      <c r="D2388" t="s">
        <v>21</v>
      </c>
      <c r="E2388" s="2">
        <v>17.55</v>
      </c>
      <c r="F2388" s="3">
        <v>50.63</v>
      </c>
      <c r="G2388" s="4">
        <v>273.14999999999998</v>
      </c>
      <c r="H2388">
        <v>1.5</v>
      </c>
      <c r="I2388" s="4">
        <v>409.72</v>
      </c>
      <c r="J2388">
        <v>3.5</v>
      </c>
      <c r="K2388" t="s">
        <v>18</v>
      </c>
      <c r="L2388" t="s">
        <v>16</v>
      </c>
      <c r="O2388"/>
    </row>
    <row r="2389" spans="1:15" x14ac:dyDescent="0.3">
      <c r="A2389" t="s">
        <v>2413</v>
      </c>
      <c r="B2389" s="1">
        <v>45924</v>
      </c>
      <c r="C2389" t="s">
        <v>14</v>
      </c>
      <c r="D2389" t="s">
        <v>22</v>
      </c>
      <c r="E2389" s="2">
        <v>19.899999999999999</v>
      </c>
      <c r="F2389" s="3">
        <v>47.31</v>
      </c>
      <c r="G2389" s="4">
        <v>211.54</v>
      </c>
      <c r="H2389">
        <v>1</v>
      </c>
      <c r="I2389" s="4">
        <v>211.54</v>
      </c>
      <c r="J2389">
        <v>4.0999999999999996</v>
      </c>
      <c r="K2389" t="s">
        <v>18</v>
      </c>
      <c r="L2389" t="s">
        <v>28</v>
      </c>
      <c r="O2389"/>
    </row>
    <row r="2390" spans="1:15" x14ac:dyDescent="0.3">
      <c r="A2390" t="s">
        <v>2414</v>
      </c>
      <c r="B2390" s="1">
        <v>45897</v>
      </c>
      <c r="C2390" t="s">
        <v>14</v>
      </c>
      <c r="D2390" t="s">
        <v>25</v>
      </c>
      <c r="E2390" s="2">
        <v>11.67</v>
      </c>
      <c r="F2390" s="3">
        <v>32.11</v>
      </c>
      <c r="G2390" s="4">
        <v>230.99</v>
      </c>
      <c r="H2390">
        <v>1.2</v>
      </c>
      <c r="I2390" s="4">
        <v>277.19</v>
      </c>
      <c r="J2390">
        <v>3.5</v>
      </c>
      <c r="K2390" t="s">
        <v>33</v>
      </c>
      <c r="L2390" t="s">
        <v>16</v>
      </c>
      <c r="O2390"/>
    </row>
    <row r="2391" spans="1:15" x14ac:dyDescent="0.3">
      <c r="A2391" t="s">
        <v>2415</v>
      </c>
      <c r="B2391" s="1">
        <v>45723</v>
      </c>
      <c r="C2391" t="s">
        <v>13</v>
      </c>
      <c r="D2391" t="s">
        <v>21</v>
      </c>
      <c r="E2391" s="2">
        <v>4.75</v>
      </c>
      <c r="F2391" s="3">
        <v>14.35</v>
      </c>
      <c r="G2391" s="4">
        <v>54.8</v>
      </c>
      <c r="H2391">
        <v>1.5</v>
      </c>
      <c r="I2391" s="4">
        <v>82.2</v>
      </c>
      <c r="J2391">
        <v>3.2</v>
      </c>
      <c r="K2391" t="s">
        <v>18</v>
      </c>
      <c r="L2391" t="s">
        <v>26</v>
      </c>
      <c r="O2391"/>
    </row>
    <row r="2392" spans="1:15" x14ac:dyDescent="0.3">
      <c r="A2392" t="s">
        <v>2416</v>
      </c>
      <c r="B2392" s="1">
        <v>45877</v>
      </c>
      <c r="C2392" t="s">
        <v>21</v>
      </c>
      <c r="D2392" t="s">
        <v>21</v>
      </c>
      <c r="E2392" s="2">
        <v>15.73</v>
      </c>
      <c r="F2392" s="3">
        <v>62.87</v>
      </c>
      <c r="G2392" s="4">
        <v>266.62</v>
      </c>
      <c r="H2392">
        <v>1.2</v>
      </c>
      <c r="I2392" s="4">
        <v>319.94</v>
      </c>
      <c r="J2392">
        <v>3.9</v>
      </c>
      <c r="K2392" t="s">
        <v>33</v>
      </c>
      <c r="L2392" t="s">
        <v>26</v>
      </c>
      <c r="O2392"/>
    </row>
    <row r="2393" spans="1:15" x14ac:dyDescent="0.3">
      <c r="A2393" t="s">
        <v>2417</v>
      </c>
      <c r="B2393" s="1">
        <v>45693</v>
      </c>
      <c r="C2393" t="s">
        <v>21</v>
      </c>
      <c r="D2393" t="s">
        <v>22</v>
      </c>
      <c r="E2393" s="2">
        <v>23.67</v>
      </c>
      <c r="F2393" s="3">
        <v>48.07</v>
      </c>
      <c r="G2393" s="4">
        <v>430.05</v>
      </c>
      <c r="H2393">
        <v>2</v>
      </c>
      <c r="I2393" s="4">
        <v>860.1</v>
      </c>
      <c r="J2393">
        <v>4.0999999999999996</v>
      </c>
      <c r="K2393" t="s">
        <v>18</v>
      </c>
      <c r="L2393" t="s">
        <v>16</v>
      </c>
      <c r="O2393"/>
    </row>
    <row r="2394" spans="1:15" x14ac:dyDescent="0.3">
      <c r="A2394" t="s">
        <v>2418</v>
      </c>
      <c r="B2394" s="1">
        <v>45821</v>
      </c>
      <c r="C2394" t="s">
        <v>21</v>
      </c>
      <c r="D2394" t="s">
        <v>14</v>
      </c>
      <c r="E2394" s="2">
        <v>7.56</v>
      </c>
      <c r="F2394" s="3">
        <v>22.2</v>
      </c>
      <c r="G2394" s="4">
        <v>107.72</v>
      </c>
      <c r="H2394">
        <v>1.5</v>
      </c>
      <c r="I2394" s="4">
        <v>161.58000000000001</v>
      </c>
      <c r="J2394">
        <v>4.9000000000000004</v>
      </c>
      <c r="K2394" t="s">
        <v>18</v>
      </c>
      <c r="L2394" t="s">
        <v>19</v>
      </c>
      <c r="O2394"/>
    </row>
    <row r="2395" spans="1:15" x14ac:dyDescent="0.3">
      <c r="A2395" t="s">
        <v>2419</v>
      </c>
      <c r="B2395" s="1">
        <v>45748</v>
      </c>
      <c r="C2395" t="s">
        <v>13</v>
      </c>
      <c r="D2395" t="s">
        <v>21</v>
      </c>
      <c r="E2395" s="2">
        <v>23.1</v>
      </c>
      <c r="F2395" s="3">
        <v>91.94</v>
      </c>
      <c r="G2395" s="4">
        <v>410.67</v>
      </c>
      <c r="H2395">
        <v>1.2</v>
      </c>
      <c r="I2395" s="4">
        <v>492.8</v>
      </c>
      <c r="J2395">
        <v>3.9</v>
      </c>
      <c r="K2395" t="s">
        <v>15</v>
      </c>
      <c r="L2395" t="s">
        <v>26</v>
      </c>
      <c r="O2395"/>
    </row>
    <row r="2396" spans="1:15" x14ac:dyDescent="0.3">
      <c r="A2396" t="s">
        <v>2420</v>
      </c>
      <c r="B2396" s="1">
        <v>45939</v>
      </c>
      <c r="C2396" t="s">
        <v>25</v>
      </c>
      <c r="D2396" t="s">
        <v>25</v>
      </c>
      <c r="E2396" s="2">
        <v>7.31</v>
      </c>
      <c r="F2396" s="3">
        <v>16.62</v>
      </c>
      <c r="G2396" s="4">
        <v>113.4</v>
      </c>
      <c r="H2396">
        <v>2</v>
      </c>
      <c r="I2396" s="4">
        <v>226.8</v>
      </c>
      <c r="J2396">
        <v>3.9</v>
      </c>
      <c r="K2396" t="s">
        <v>36</v>
      </c>
      <c r="L2396" t="s">
        <v>28</v>
      </c>
      <c r="O2396"/>
    </row>
    <row r="2397" spans="1:15" x14ac:dyDescent="0.3">
      <c r="A2397" t="s">
        <v>2421</v>
      </c>
      <c r="B2397" s="1">
        <v>46007</v>
      </c>
      <c r="C2397" t="s">
        <v>25</v>
      </c>
      <c r="D2397" t="s">
        <v>22</v>
      </c>
      <c r="E2397" s="2">
        <v>20.73</v>
      </c>
      <c r="F2397" s="3">
        <v>53.58</v>
      </c>
      <c r="G2397" s="4">
        <v>275.77</v>
      </c>
      <c r="H2397">
        <v>1.5</v>
      </c>
      <c r="I2397" s="4">
        <v>413.66</v>
      </c>
      <c r="J2397">
        <v>4.0999999999999996</v>
      </c>
      <c r="K2397" t="s">
        <v>36</v>
      </c>
      <c r="L2397" t="s">
        <v>19</v>
      </c>
      <c r="O2397"/>
    </row>
    <row r="2398" spans="1:15" x14ac:dyDescent="0.3">
      <c r="A2398" t="s">
        <v>2422</v>
      </c>
      <c r="B2398" s="1">
        <v>45954</v>
      </c>
      <c r="C2398" t="s">
        <v>22</v>
      </c>
      <c r="D2398" t="s">
        <v>13</v>
      </c>
      <c r="E2398" s="2">
        <v>13.49</v>
      </c>
      <c r="F2398" s="3">
        <v>28.53</v>
      </c>
      <c r="G2398" s="4">
        <v>196.27</v>
      </c>
      <c r="H2398">
        <v>1.5</v>
      </c>
      <c r="I2398" s="4">
        <v>294.41000000000003</v>
      </c>
      <c r="J2398">
        <v>4.7</v>
      </c>
      <c r="K2398" t="s">
        <v>30</v>
      </c>
      <c r="L2398" t="s">
        <v>19</v>
      </c>
      <c r="O2398"/>
    </row>
    <row r="2399" spans="1:15" x14ac:dyDescent="0.3">
      <c r="A2399" t="s">
        <v>2423</v>
      </c>
      <c r="B2399" s="1">
        <v>45679</v>
      </c>
      <c r="C2399" t="s">
        <v>14</v>
      </c>
      <c r="D2399" t="s">
        <v>21</v>
      </c>
      <c r="E2399" s="2">
        <v>12.12</v>
      </c>
      <c r="F2399" s="3">
        <v>24.62</v>
      </c>
      <c r="G2399" s="4">
        <v>176.69</v>
      </c>
      <c r="H2399">
        <v>1.5</v>
      </c>
      <c r="I2399" s="4">
        <v>265.02999999999997</v>
      </c>
      <c r="J2399">
        <v>3.4</v>
      </c>
      <c r="K2399" t="s">
        <v>15</v>
      </c>
      <c r="L2399" t="s">
        <v>26</v>
      </c>
      <c r="O2399"/>
    </row>
    <row r="2400" spans="1:15" x14ac:dyDescent="0.3">
      <c r="A2400" t="s">
        <v>2424</v>
      </c>
      <c r="B2400" s="1">
        <v>45712</v>
      </c>
      <c r="C2400" t="s">
        <v>22</v>
      </c>
      <c r="D2400" t="s">
        <v>22</v>
      </c>
      <c r="E2400" s="2">
        <v>15.7</v>
      </c>
      <c r="F2400" s="3">
        <v>57.78</v>
      </c>
      <c r="G2400" s="4">
        <v>248.34</v>
      </c>
      <c r="H2400">
        <v>1.2</v>
      </c>
      <c r="I2400" s="4">
        <v>298.01</v>
      </c>
      <c r="J2400">
        <v>4.5999999999999996</v>
      </c>
      <c r="K2400" t="s">
        <v>18</v>
      </c>
      <c r="L2400" t="s">
        <v>26</v>
      </c>
      <c r="O2400"/>
    </row>
    <row r="2401" spans="1:15" x14ac:dyDescent="0.3">
      <c r="A2401" t="s">
        <v>2425</v>
      </c>
      <c r="B2401" s="1">
        <v>45869</v>
      </c>
      <c r="C2401" t="s">
        <v>14</v>
      </c>
      <c r="D2401" t="s">
        <v>13</v>
      </c>
      <c r="E2401" s="2">
        <v>21.29</v>
      </c>
      <c r="F2401" s="3">
        <v>46.58</v>
      </c>
      <c r="G2401" s="4">
        <v>345.13</v>
      </c>
      <c r="H2401">
        <v>2</v>
      </c>
      <c r="I2401" s="4">
        <v>690.26</v>
      </c>
      <c r="J2401">
        <v>5</v>
      </c>
      <c r="K2401" t="s">
        <v>30</v>
      </c>
      <c r="L2401" t="s">
        <v>28</v>
      </c>
      <c r="O2401"/>
    </row>
    <row r="2402" spans="1:15" x14ac:dyDescent="0.3">
      <c r="A2402" t="s">
        <v>2426</v>
      </c>
      <c r="B2402" s="1">
        <v>45997</v>
      </c>
      <c r="C2402" t="s">
        <v>14</v>
      </c>
      <c r="D2402" t="s">
        <v>22</v>
      </c>
      <c r="E2402" s="2">
        <v>19.170000000000002</v>
      </c>
      <c r="F2402" s="3">
        <v>69.83</v>
      </c>
      <c r="G2402" s="4">
        <v>289.81</v>
      </c>
      <c r="H2402">
        <v>1.5</v>
      </c>
      <c r="I2402" s="4">
        <v>434.72</v>
      </c>
      <c r="J2402">
        <v>4.5999999999999996</v>
      </c>
      <c r="K2402" t="s">
        <v>36</v>
      </c>
      <c r="L2402" t="s">
        <v>28</v>
      </c>
      <c r="O2402"/>
    </row>
    <row r="2403" spans="1:15" x14ac:dyDescent="0.3">
      <c r="A2403" t="s">
        <v>2427</v>
      </c>
      <c r="B2403" s="1">
        <v>45861</v>
      </c>
      <c r="C2403" t="s">
        <v>14</v>
      </c>
      <c r="D2403" t="s">
        <v>14</v>
      </c>
      <c r="E2403" s="2">
        <v>6.42</v>
      </c>
      <c r="F2403" s="3">
        <v>21.25</v>
      </c>
      <c r="G2403" s="4">
        <v>88.32</v>
      </c>
      <c r="H2403">
        <v>1.5</v>
      </c>
      <c r="I2403" s="4">
        <v>132.47999999999999</v>
      </c>
      <c r="J2403">
        <v>3.4</v>
      </c>
      <c r="K2403" t="s">
        <v>36</v>
      </c>
      <c r="L2403" t="s">
        <v>26</v>
      </c>
      <c r="O2403"/>
    </row>
    <row r="2404" spans="1:15" x14ac:dyDescent="0.3">
      <c r="A2404" t="s">
        <v>2428</v>
      </c>
      <c r="B2404" s="1">
        <v>45823</v>
      </c>
      <c r="C2404" t="s">
        <v>13</v>
      </c>
      <c r="D2404" t="s">
        <v>25</v>
      </c>
      <c r="E2404" s="2">
        <v>6.84</v>
      </c>
      <c r="F2404" s="3">
        <v>25.5</v>
      </c>
      <c r="G2404" s="4">
        <v>90.38</v>
      </c>
      <c r="H2404">
        <v>1.2</v>
      </c>
      <c r="I2404" s="4">
        <v>108.46</v>
      </c>
      <c r="J2404">
        <v>3.5</v>
      </c>
      <c r="K2404" t="s">
        <v>18</v>
      </c>
      <c r="L2404" t="s">
        <v>16</v>
      </c>
      <c r="O2404"/>
    </row>
    <row r="2405" spans="1:15" x14ac:dyDescent="0.3">
      <c r="A2405" t="s">
        <v>2429</v>
      </c>
      <c r="B2405" s="1">
        <v>45838</v>
      </c>
      <c r="C2405" t="s">
        <v>25</v>
      </c>
      <c r="D2405" t="s">
        <v>13</v>
      </c>
      <c r="E2405" s="2">
        <v>11.45</v>
      </c>
      <c r="F2405" s="3">
        <v>45.54</v>
      </c>
      <c r="G2405" s="4">
        <v>204.15</v>
      </c>
      <c r="H2405">
        <v>2</v>
      </c>
      <c r="I2405" s="4">
        <v>408.3</v>
      </c>
      <c r="J2405">
        <v>5</v>
      </c>
      <c r="K2405" t="s">
        <v>33</v>
      </c>
      <c r="L2405" t="s">
        <v>16</v>
      </c>
      <c r="O2405"/>
    </row>
    <row r="2406" spans="1:15" x14ac:dyDescent="0.3">
      <c r="A2406" t="s">
        <v>2430</v>
      </c>
      <c r="B2406" s="1">
        <v>45840</v>
      </c>
      <c r="C2406" t="s">
        <v>25</v>
      </c>
      <c r="D2406" t="s">
        <v>25</v>
      </c>
      <c r="E2406" s="2">
        <v>19.37</v>
      </c>
      <c r="F2406" s="3">
        <v>73.239999999999995</v>
      </c>
      <c r="G2406" s="4">
        <v>259.89</v>
      </c>
      <c r="H2406">
        <v>1.2</v>
      </c>
      <c r="I2406" s="4">
        <v>311.87</v>
      </c>
      <c r="J2406">
        <v>4.3</v>
      </c>
      <c r="K2406" t="s">
        <v>36</v>
      </c>
      <c r="L2406" t="s">
        <v>26</v>
      </c>
      <c r="O2406"/>
    </row>
    <row r="2407" spans="1:15" x14ac:dyDescent="0.3">
      <c r="A2407" t="s">
        <v>2431</v>
      </c>
      <c r="B2407" s="1">
        <v>45790</v>
      </c>
      <c r="C2407" t="s">
        <v>21</v>
      </c>
      <c r="D2407" t="s">
        <v>21</v>
      </c>
      <c r="E2407" s="2">
        <v>8.9</v>
      </c>
      <c r="F2407" s="3">
        <v>34.1</v>
      </c>
      <c r="G2407" s="4">
        <v>162.74</v>
      </c>
      <c r="H2407">
        <v>1.5</v>
      </c>
      <c r="I2407" s="4">
        <v>244.11</v>
      </c>
      <c r="J2407">
        <v>3</v>
      </c>
      <c r="K2407" t="s">
        <v>15</v>
      </c>
      <c r="L2407" t="s">
        <v>28</v>
      </c>
      <c r="O2407"/>
    </row>
    <row r="2408" spans="1:15" x14ac:dyDescent="0.3">
      <c r="A2408" t="s">
        <v>2432</v>
      </c>
      <c r="B2408" s="1">
        <v>45832</v>
      </c>
      <c r="C2408" t="s">
        <v>13</v>
      </c>
      <c r="D2408" t="s">
        <v>14</v>
      </c>
      <c r="E2408" s="2">
        <v>7.84</v>
      </c>
      <c r="F2408" s="3">
        <v>20.87</v>
      </c>
      <c r="G2408" s="4">
        <v>153.24</v>
      </c>
      <c r="H2408">
        <v>1</v>
      </c>
      <c r="I2408" s="4">
        <v>153.24</v>
      </c>
      <c r="J2408">
        <v>3.1</v>
      </c>
      <c r="K2408" t="s">
        <v>36</v>
      </c>
      <c r="L2408" t="s">
        <v>16</v>
      </c>
      <c r="O2408"/>
    </row>
    <row r="2409" spans="1:15" x14ac:dyDescent="0.3">
      <c r="A2409" t="s">
        <v>2433</v>
      </c>
      <c r="B2409" s="1">
        <v>45865</v>
      </c>
      <c r="C2409" t="s">
        <v>13</v>
      </c>
      <c r="D2409" t="s">
        <v>14</v>
      </c>
      <c r="E2409" s="2">
        <v>12.71</v>
      </c>
      <c r="F2409" s="3">
        <v>35.49</v>
      </c>
      <c r="G2409" s="4">
        <v>151.68</v>
      </c>
      <c r="H2409">
        <v>2</v>
      </c>
      <c r="I2409" s="4">
        <v>303.36</v>
      </c>
      <c r="J2409">
        <v>4.4000000000000004</v>
      </c>
      <c r="K2409" t="s">
        <v>36</v>
      </c>
      <c r="L2409" t="s">
        <v>19</v>
      </c>
      <c r="O2409"/>
    </row>
    <row r="2410" spans="1:15" x14ac:dyDescent="0.3">
      <c r="A2410" t="s">
        <v>2434</v>
      </c>
      <c r="B2410" s="1">
        <v>45992</v>
      </c>
      <c r="C2410" t="s">
        <v>25</v>
      </c>
      <c r="D2410" t="s">
        <v>13</v>
      </c>
      <c r="E2410" s="2">
        <v>2.44</v>
      </c>
      <c r="F2410" s="3">
        <v>9.2200000000000006</v>
      </c>
      <c r="G2410" s="4">
        <v>40.64</v>
      </c>
      <c r="H2410">
        <v>1.2</v>
      </c>
      <c r="I2410" s="4">
        <v>48.77</v>
      </c>
      <c r="J2410">
        <v>4.9000000000000004</v>
      </c>
      <c r="K2410" t="s">
        <v>18</v>
      </c>
      <c r="L2410" t="s">
        <v>16</v>
      </c>
      <c r="O2410"/>
    </row>
    <row r="2411" spans="1:15" x14ac:dyDescent="0.3">
      <c r="A2411" t="s">
        <v>2435</v>
      </c>
      <c r="B2411" s="1">
        <v>45945</v>
      </c>
      <c r="C2411" t="s">
        <v>14</v>
      </c>
      <c r="D2411" t="s">
        <v>21</v>
      </c>
      <c r="E2411" s="2">
        <v>9.59</v>
      </c>
      <c r="F2411" s="3">
        <v>27.14</v>
      </c>
      <c r="G2411" s="4">
        <v>172.55</v>
      </c>
      <c r="H2411">
        <v>1</v>
      </c>
      <c r="I2411" s="4">
        <v>172.55</v>
      </c>
      <c r="J2411">
        <v>4.4000000000000004</v>
      </c>
      <c r="K2411" t="s">
        <v>18</v>
      </c>
      <c r="L2411" t="s">
        <v>28</v>
      </c>
      <c r="O2411"/>
    </row>
    <row r="2412" spans="1:15" x14ac:dyDescent="0.3">
      <c r="A2412" t="s">
        <v>2436</v>
      </c>
      <c r="B2412" s="1">
        <v>45880</v>
      </c>
      <c r="C2412" t="s">
        <v>25</v>
      </c>
      <c r="D2412" t="s">
        <v>22</v>
      </c>
      <c r="E2412" s="2">
        <v>25.97</v>
      </c>
      <c r="F2412" s="3">
        <v>77.2</v>
      </c>
      <c r="G2412" s="4">
        <v>294.62</v>
      </c>
      <c r="H2412">
        <v>1.5</v>
      </c>
      <c r="I2412" s="4">
        <v>441.93</v>
      </c>
      <c r="J2412">
        <v>3.2</v>
      </c>
      <c r="K2412" t="s">
        <v>33</v>
      </c>
      <c r="L2412" t="s">
        <v>16</v>
      </c>
      <c r="O2412"/>
    </row>
    <row r="2413" spans="1:15" x14ac:dyDescent="0.3">
      <c r="A2413" t="s">
        <v>2437</v>
      </c>
      <c r="B2413" s="1">
        <v>45683</v>
      </c>
      <c r="C2413" t="s">
        <v>22</v>
      </c>
      <c r="D2413" t="s">
        <v>21</v>
      </c>
      <c r="E2413" s="2">
        <v>16.399999999999999</v>
      </c>
      <c r="F2413" s="3">
        <v>55.2</v>
      </c>
      <c r="G2413" s="4">
        <v>268.52999999999997</v>
      </c>
      <c r="H2413">
        <v>1.5</v>
      </c>
      <c r="I2413" s="4">
        <v>402.79</v>
      </c>
      <c r="J2413">
        <v>3.6</v>
      </c>
      <c r="K2413" t="s">
        <v>36</v>
      </c>
      <c r="L2413" t="s">
        <v>16</v>
      </c>
      <c r="O2413"/>
    </row>
    <row r="2414" spans="1:15" x14ac:dyDescent="0.3">
      <c r="A2414" t="s">
        <v>2438</v>
      </c>
      <c r="B2414" s="1">
        <v>45740</v>
      </c>
      <c r="C2414" t="s">
        <v>22</v>
      </c>
      <c r="D2414" t="s">
        <v>22</v>
      </c>
      <c r="E2414" s="2">
        <v>23.58</v>
      </c>
      <c r="F2414" s="3">
        <v>58.89</v>
      </c>
      <c r="G2414" s="4">
        <v>395.72</v>
      </c>
      <c r="H2414">
        <v>1.5</v>
      </c>
      <c r="I2414" s="4">
        <v>593.58000000000004</v>
      </c>
      <c r="J2414">
        <v>4.5999999999999996</v>
      </c>
      <c r="K2414" t="s">
        <v>15</v>
      </c>
      <c r="L2414" t="s">
        <v>19</v>
      </c>
      <c r="O2414"/>
    </row>
    <row r="2415" spans="1:15" x14ac:dyDescent="0.3">
      <c r="A2415" t="s">
        <v>2439</v>
      </c>
      <c r="B2415" s="1">
        <v>45965</v>
      </c>
      <c r="C2415" t="s">
        <v>25</v>
      </c>
      <c r="D2415" t="s">
        <v>13</v>
      </c>
      <c r="E2415" s="2">
        <v>27.1</v>
      </c>
      <c r="F2415" s="3">
        <v>69.66</v>
      </c>
      <c r="G2415" s="4">
        <v>515.07000000000005</v>
      </c>
      <c r="H2415">
        <v>1.2</v>
      </c>
      <c r="I2415" s="4">
        <v>618.08000000000004</v>
      </c>
      <c r="J2415">
        <v>3.3</v>
      </c>
      <c r="K2415" t="s">
        <v>15</v>
      </c>
      <c r="L2415" t="s">
        <v>28</v>
      </c>
      <c r="O2415"/>
    </row>
    <row r="2416" spans="1:15" x14ac:dyDescent="0.3">
      <c r="A2416" t="s">
        <v>2440</v>
      </c>
      <c r="B2416" s="1">
        <v>45842</v>
      </c>
      <c r="C2416" t="s">
        <v>13</v>
      </c>
      <c r="D2416" t="s">
        <v>13</v>
      </c>
      <c r="E2416" s="2">
        <v>16.88</v>
      </c>
      <c r="F2416" s="3">
        <v>50.46</v>
      </c>
      <c r="G2416" s="4">
        <v>221.28</v>
      </c>
      <c r="H2416">
        <v>2</v>
      </c>
      <c r="I2416" s="4">
        <v>442.56</v>
      </c>
      <c r="J2416">
        <v>4.2</v>
      </c>
      <c r="K2416" t="s">
        <v>18</v>
      </c>
      <c r="L2416" t="s">
        <v>19</v>
      </c>
      <c r="O2416"/>
    </row>
    <row r="2417" spans="1:15" x14ac:dyDescent="0.3">
      <c r="A2417" t="s">
        <v>2441</v>
      </c>
      <c r="B2417" s="1">
        <v>45698</v>
      </c>
      <c r="C2417" t="s">
        <v>25</v>
      </c>
      <c r="D2417" t="s">
        <v>25</v>
      </c>
      <c r="E2417" s="2">
        <v>11.71</v>
      </c>
      <c r="F2417" s="3">
        <v>25.73</v>
      </c>
      <c r="G2417" s="4">
        <v>184.06</v>
      </c>
      <c r="H2417">
        <v>1.2</v>
      </c>
      <c r="I2417" s="4">
        <v>220.87</v>
      </c>
      <c r="J2417">
        <v>3.2</v>
      </c>
      <c r="K2417" t="s">
        <v>18</v>
      </c>
      <c r="L2417" t="s">
        <v>16</v>
      </c>
      <c r="O2417"/>
    </row>
    <row r="2418" spans="1:15" x14ac:dyDescent="0.3">
      <c r="A2418" t="s">
        <v>2442</v>
      </c>
      <c r="B2418" s="1">
        <v>45897</v>
      </c>
      <c r="C2418" t="s">
        <v>13</v>
      </c>
      <c r="D2418" t="s">
        <v>13</v>
      </c>
      <c r="E2418" s="2">
        <v>27.54</v>
      </c>
      <c r="F2418" s="3">
        <v>96.75</v>
      </c>
      <c r="G2418" s="4">
        <v>501.9</v>
      </c>
      <c r="H2418">
        <v>1.5</v>
      </c>
      <c r="I2418" s="4">
        <v>752.85</v>
      </c>
      <c r="J2418">
        <v>3.1</v>
      </c>
      <c r="K2418" t="s">
        <v>18</v>
      </c>
      <c r="L2418" t="s">
        <v>28</v>
      </c>
      <c r="O2418"/>
    </row>
    <row r="2419" spans="1:15" x14ac:dyDescent="0.3">
      <c r="A2419" t="s">
        <v>2443</v>
      </c>
      <c r="B2419" s="1">
        <v>45854</v>
      </c>
      <c r="C2419" t="s">
        <v>21</v>
      </c>
      <c r="D2419" t="s">
        <v>25</v>
      </c>
      <c r="E2419" s="2">
        <v>7.05</v>
      </c>
      <c r="F2419" s="3">
        <v>24.89</v>
      </c>
      <c r="G2419" s="4">
        <v>137.33000000000001</v>
      </c>
      <c r="H2419">
        <v>1.5</v>
      </c>
      <c r="I2419" s="4">
        <v>206</v>
      </c>
      <c r="J2419">
        <v>3.5</v>
      </c>
      <c r="K2419" t="s">
        <v>18</v>
      </c>
      <c r="L2419" t="s">
        <v>19</v>
      </c>
      <c r="O2419"/>
    </row>
    <row r="2420" spans="1:15" x14ac:dyDescent="0.3">
      <c r="A2420" t="s">
        <v>2444</v>
      </c>
      <c r="B2420" s="1">
        <v>45836</v>
      </c>
      <c r="C2420" t="s">
        <v>21</v>
      </c>
      <c r="D2420" t="s">
        <v>22</v>
      </c>
      <c r="E2420" s="2">
        <v>19.52</v>
      </c>
      <c r="F2420" s="3">
        <v>54.17</v>
      </c>
      <c r="G2420" s="4">
        <v>278.31</v>
      </c>
      <c r="H2420">
        <v>1.2</v>
      </c>
      <c r="I2420" s="4">
        <v>333.97</v>
      </c>
      <c r="J2420">
        <v>4</v>
      </c>
      <c r="K2420" t="s">
        <v>18</v>
      </c>
      <c r="L2420" t="s">
        <v>16</v>
      </c>
      <c r="O2420"/>
    </row>
    <row r="2421" spans="1:15" x14ac:dyDescent="0.3">
      <c r="A2421" t="s">
        <v>2445</v>
      </c>
      <c r="B2421" s="1">
        <v>45664</v>
      </c>
      <c r="C2421" t="s">
        <v>22</v>
      </c>
      <c r="D2421" t="s">
        <v>13</v>
      </c>
      <c r="E2421" s="2">
        <v>21.17</v>
      </c>
      <c r="F2421" s="3">
        <v>60.9</v>
      </c>
      <c r="G2421" s="4">
        <v>328.6</v>
      </c>
      <c r="H2421">
        <v>2</v>
      </c>
      <c r="I2421" s="4">
        <v>657.2</v>
      </c>
      <c r="J2421">
        <v>4.3</v>
      </c>
      <c r="K2421" t="s">
        <v>33</v>
      </c>
      <c r="L2421" t="s">
        <v>19</v>
      </c>
      <c r="O2421"/>
    </row>
    <row r="2422" spans="1:15" x14ac:dyDescent="0.3">
      <c r="A2422" t="s">
        <v>2446</v>
      </c>
      <c r="B2422" s="1">
        <v>45772</v>
      </c>
      <c r="C2422" t="s">
        <v>22</v>
      </c>
      <c r="D2422" t="s">
        <v>25</v>
      </c>
      <c r="E2422" s="2">
        <v>14.8</v>
      </c>
      <c r="F2422" s="3">
        <v>43.53</v>
      </c>
      <c r="G2422" s="4">
        <v>205.49</v>
      </c>
      <c r="H2422">
        <v>1.2</v>
      </c>
      <c r="I2422" s="4">
        <v>246.59</v>
      </c>
      <c r="J2422">
        <v>3.8</v>
      </c>
      <c r="K2422" t="s">
        <v>15</v>
      </c>
      <c r="L2422" t="s">
        <v>16</v>
      </c>
      <c r="O2422"/>
    </row>
    <row r="2423" spans="1:15" x14ac:dyDescent="0.3">
      <c r="A2423" t="s">
        <v>2447</v>
      </c>
      <c r="B2423" s="1">
        <v>45964</v>
      </c>
      <c r="C2423" t="s">
        <v>25</v>
      </c>
      <c r="D2423" t="s">
        <v>13</v>
      </c>
      <c r="E2423" s="2">
        <v>18.510000000000002</v>
      </c>
      <c r="F2423" s="3">
        <v>70.17</v>
      </c>
      <c r="G2423" s="4">
        <v>345.44</v>
      </c>
      <c r="H2423">
        <v>2</v>
      </c>
      <c r="I2423" s="4">
        <v>690.88</v>
      </c>
      <c r="J2423">
        <v>3.3</v>
      </c>
      <c r="K2423" t="s">
        <v>36</v>
      </c>
      <c r="L2423" t="s">
        <v>28</v>
      </c>
      <c r="O2423"/>
    </row>
    <row r="2424" spans="1:15" x14ac:dyDescent="0.3">
      <c r="A2424" t="s">
        <v>2448</v>
      </c>
      <c r="B2424" s="1">
        <v>45788</v>
      </c>
      <c r="C2424" t="s">
        <v>13</v>
      </c>
      <c r="D2424" t="s">
        <v>13</v>
      </c>
      <c r="E2424" s="2">
        <v>2.0099999999999998</v>
      </c>
      <c r="F2424" s="3">
        <v>5.07</v>
      </c>
      <c r="G2424" s="4">
        <v>25.7</v>
      </c>
      <c r="H2424">
        <v>1.2</v>
      </c>
      <c r="I2424" s="4">
        <v>30.84</v>
      </c>
      <c r="J2424">
        <v>5</v>
      </c>
      <c r="K2424" t="s">
        <v>30</v>
      </c>
      <c r="L2424" t="s">
        <v>28</v>
      </c>
      <c r="O2424"/>
    </row>
    <row r="2425" spans="1:15" x14ac:dyDescent="0.3">
      <c r="A2425" t="s">
        <v>2449</v>
      </c>
      <c r="B2425" s="1">
        <v>45903</v>
      </c>
      <c r="C2425" t="s">
        <v>13</v>
      </c>
      <c r="D2425" t="s">
        <v>13</v>
      </c>
      <c r="E2425" s="2">
        <v>24.97</v>
      </c>
      <c r="F2425" s="3">
        <v>78.73</v>
      </c>
      <c r="G2425" s="4">
        <v>467.96</v>
      </c>
      <c r="H2425">
        <v>2</v>
      </c>
      <c r="I2425" s="4">
        <v>935.92</v>
      </c>
      <c r="J2425">
        <v>4.5</v>
      </c>
      <c r="K2425" t="s">
        <v>33</v>
      </c>
      <c r="L2425" t="s">
        <v>19</v>
      </c>
      <c r="O2425"/>
    </row>
    <row r="2426" spans="1:15" x14ac:dyDescent="0.3">
      <c r="A2426" t="s">
        <v>2450</v>
      </c>
      <c r="B2426" s="1">
        <v>45922</v>
      </c>
      <c r="C2426" t="s">
        <v>25</v>
      </c>
      <c r="D2426" t="s">
        <v>14</v>
      </c>
      <c r="E2426" s="2">
        <v>28.28</v>
      </c>
      <c r="F2426" s="3">
        <v>67.97</v>
      </c>
      <c r="G2426" s="4">
        <v>370.4</v>
      </c>
      <c r="H2426">
        <v>1.2</v>
      </c>
      <c r="I2426" s="4">
        <v>444.48</v>
      </c>
      <c r="J2426">
        <v>3.1</v>
      </c>
      <c r="K2426" t="s">
        <v>30</v>
      </c>
      <c r="L2426" t="s">
        <v>16</v>
      </c>
      <c r="O2426"/>
    </row>
    <row r="2427" spans="1:15" x14ac:dyDescent="0.3">
      <c r="A2427" t="s">
        <v>2451</v>
      </c>
      <c r="B2427" s="1">
        <v>45807</v>
      </c>
      <c r="C2427" t="s">
        <v>14</v>
      </c>
      <c r="D2427" t="s">
        <v>21</v>
      </c>
      <c r="E2427" s="2">
        <v>27.53</v>
      </c>
      <c r="F2427" s="3">
        <v>86.73</v>
      </c>
      <c r="G2427" s="4">
        <v>478.52</v>
      </c>
      <c r="H2427">
        <v>2</v>
      </c>
      <c r="I2427" s="4">
        <v>957.04</v>
      </c>
      <c r="J2427">
        <v>3.6</v>
      </c>
      <c r="K2427" t="s">
        <v>18</v>
      </c>
      <c r="L2427" t="s">
        <v>19</v>
      </c>
      <c r="O2427"/>
    </row>
    <row r="2428" spans="1:15" x14ac:dyDescent="0.3">
      <c r="A2428" t="s">
        <v>2452</v>
      </c>
      <c r="B2428" s="1">
        <v>45753</v>
      </c>
      <c r="C2428" t="s">
        <v>14</v>
      </c>
      <c r="D2428" t="s">
        <v>25</v>
      </c>
      <c r="E2428" s="2">
        <v>2.86</v>
      </c>
      <c r="F2428" s="3">
        <v>8.8000000000000007</v>
      </c>
      <c r="G2428" s="4">
        <v>49.16</v>
      </c>
      <c r="H2428">
        <v>1.2</v>
      </c>
      <c r="I2428" s="4">
        <v>58.99</v>
      </c>
      <c r="J2428">
        <v>3.3</v>
      </c>
      <c r="K2428" t="s">
        <v>36</v>
      </c>
      <c r="L2428" t="s">
        <v>19</v>
      </c>
      <c r="O2428"/>
    </row>
    <row r="2429" spans="1:15" x14ac:dyDescent="0.3">
      <c r="A2429" t="s">
        <v>2453</v>
      </c>
      <c r="B2429" s="1">
        <v>45938</v>
      </c>
      <c r="C2429" t="s">
        <v>25</v>
      </c>
      <c r="D2429" t="s">
        <v>14</v>
      </c>
      <c r="E2429" s="2">
        <v>24.51</v>
      </c>
      <c r="F2429" s="3">
        <v>69.209999999999994</v>
      </c>
      <c r="G2429" s="4">
        <v>428.05</v>
      </c>
      <c r="H2429">
        <v>1.2</v>
      </c>
      <c r="I2429" s="4">
        <v>513.66</v>
      </c>
      <c r="J2429">
        <v>5</v>
      </c>
      <c r="K2429" t="s">
        <v>18</v>
      </c>
      <c r="L2429" t="s">
        <v>16</v>
      </c>
      <c r="O2429"/>
    </row>
    <row r="2430" spans="1:15" x14ac:dyDescent="0.3">
      <c r="A2430" t="s">
        <v>2454</v>
      </c>
      <c r="B2430" s="1">
        <v>45853</v>
      </c>
      <c r="C2430" t="s">
        <v>25</v>
      </c>
      <c r="D2430" t="s">
        <v>22</v>
      </c>
      <c r="E2430" s="2">
        <v>23.16</v>
      </c>
      <c r="F2430" s="3">
        <v>92.27</v>
      </c>
      <c r="G2430" s="4">
        <v>311.58999999999997</v>
      </c>
      <c r="H2430">
        <v>1.5</v>
      </c>
      <c r="I2430" s="4">
        <v>467.38</v>
      </c>
      <c r="J2430">
        <v>4.4000000000000004</v>
      </c>
      <c r="K2430" t="s">
        <v>33</v>
      </c>
      <c r="L2430" t="s">
        <v>16</v>
      </c>
      <c r="O2430"/>
    </row>
    <row r="2431" spans="1:15" x14ac:dyDescent="0.3">
      <c r="A2431" t="s">
        <v>2455</v>
      </c>
      <c r="B2431" s="1">
        <v>45977</v>
      </c>
      <c r="C2431" t="s">
        <v>21</v>
      </c>
      <c r="D2431" t="s">
        <v>25</v>
      </c>
      <c r="E2431" s="2">
        <v>27.59</v>
      </c>
      <c r="F2431" s="3">
        <v>76.95</v>
      </c>
      <c r="G2431" s="4">
        <v>325.52</v>
      </c>
      <c r="H2431">
        <v>2</v>
      </c>
      <c r="I2431" s="4">
        <v>651.04</v>
      </c>
      <c r="J2431">
        <v>3.1</v>
      </c>
      <c r="K2431" t="s">
        <v>30</v>
      </c>
      <c r="L2431" t="s">
        <v>19</v>
      </c>
      <c r="O2431"/>
    </row>
    <row r="2432" spans="1:15" x14ac:dyDescent="0.3">
      <c r="A2432" t="s">
        <v>2456</v>
      </c>
      <c r="B2432" s="1">
        <v>45965</v>
      </c>
      <c r="C2432" t="s">
        <v>21</v>
      </c>
      <c r="D2432" t="s">
        <v>25</v>
      </c>
      <c r="E2432" s="2">
        <v>9.43</v>
      </c>
      <c r="F2432" s="3">
        <v>23.27</v>
      </c>
      <c r="G2432" s="4">
        <v>163.69999999999999</v>
      </c>
      <c r="H2432">
        <v>1</v>
      </c>
      <c r="I2432" s="4">
        <v>163.69999999999999</v>
      </c>
      <c r="J2432">
        <v>4</v>
      </c>
      <c r="K2432" t="s">
        <v>15</v>
      </c>
      <c r="L2432" t="s">
        <v>28</v>
      </c>
      <c r="O2432"/>
    </row>
    <row r="2433" spans="1:15" x14ac:dyDescent="0.3">
      <c r="A2433" t="s">
        <v>2457</v>
      </c>
      <c r="B2433" s="1">
        <v>45896</v>
      </c>
      <c r="C2433" t="s">
        <v>21</v>
      </c>
      <c r="D2433" t="s">
        <v>14</v>
      </c>
      <c r="E2433" s="2">
        <v>24.02</v>
      </c>
      <c r="F2433" s="3">
        <v>60.83</v>
      </c>
      <c r="G2433" s="4">
        <v>385.11</v>
      </c>
      <c r="H2433">
        <v>2</v>
      </c>
      <c r="I2433" s="4">
        <v>770.22</v>
      </c>
      <c r="J2433">
        <v>3.9</v>
      </c>
      <c r="K2433" t="s">
        <v>15</v>
      </c>
      <c r="L2433" t="s">
        <v>26</v>
      </c>
      <c r="O2433"/>
    </row>
    <row r="2434" spans="1:15" x14ac:dyDescent="0.3">
      <c r="A2434" t="s">
        <v>2458</v>
      </c>
      <c r="B2434" s="1">
        <v>45807</v>
      </c>
      <c r="C2434" t="s">
        <v>25</v>
      </c>
      <c r="D2434" t="s">
        <v>22</v>
      </c>
      <c r="E2434" s="2">
        <v>11.05</v>
      </c>
      <c r="F2434" s="3">
        <v>40.57</v>
      </c>
      <c r="G2434" s="4">
        <v>194.31</v>
      </c>
      <c r="H2434">
        <v>1.2</v>
      </c>
      <c r="I2434" s="4">
        <v>233.17</v>
      </c>
      <c r="J2434">
        <v>4</v>
      </c>
      <c r="K2434" t="s">
        <v>30</v>
      </c>
      <c r="L2434" t="s">
        <v>26</v>
      </c>
      <c r="O2434"/>
    </row>
    <row r="2435" spans="1:15" x14ac:dyDescent="0.3">
      <c r="A2435" t="s">
        <v>2459</v>
      </c>
      <c r="B2435" s="1">
        <v>45688</v>
      </c>
      <c r="C2435" t="s">
        <v>14</v>
      </c>
      <c r="D2435" t="s">
        <v>14</v>
      </c>
      <c r="E2435" s="2">
        <v>3.08</v>
      </c>
      <c r="F2435" s="3">
        <v>6.74</v>
      </c>
      <c r="G2435" s="4">
        <v>48.75</v>
      </c>
      <c r="H2435">
        <v>1</v>
      </c>
      <c r="I2435" s="4">
        <v>48.75</v>
      </c>
      <c r="J2435">
        <v>4.7</v>
      </c>
      <c r="K2435" t="s">
        <v>18</v>
      </c>
      <c r="L2435" t="s">
        <v>16</v>
      </c>
      <c r="O2435"/>
    </row>
    <row r="2436" spans="1:15" x14ac:dyDescent="0.3">
      <c r="A2436" t="s">
        <v>2460</v>
      </c>
      <c r="B2436" s="1">
        <v>45787</v>
      </c>
      <c r="C2436" t="s">
        <v>25</v>
      </c>
      <c r="D2436" t="s">
        <v>14</v>
      </c>
      <c r="E2436" s="2">
        <v>22.84</v>
      </c>
      <c r="F2436" s="3">
        <v>59.13</v>
      </c>
      <c r="G2436" s="4">
        <v>402.74</v>
      </c>
      <c r="H2436">
        <v>1</v>
      </c>
      <c r="I2436" s="4">
        <v>402.74</v>
      </c>
      <c r="J2436">
        <v>3.3</v>
      </c>
      <c r="K2436" t="s">
        <v>33</v>
      </c>
      <c r="L2436" t="s">
        <v>26</v>
      </c>
      <c r="O2436"/>
    </row>
    <row r="2437" spans="1:15" x14ac:dyDescent="0.3">
      <c r="A2437" t="s">
        <v>2461</v>
      </c>
      <c r="B2437" s="1">
        <v>45974</v>
      </c>
      <c r="C2437" t="s">
        <v>25</v>
      </c>
      <c r="D2437" t="s">
        <v>21</v>
      </c>
      <c r="E2437" s="2">
        <v>4.71</v>
      </c>
      <c r="F2437" s="3">
        <v>13.57</v>
      </c>
      <c r="G2437" s="4">
        <v>88.91</v>
      </c>
      <c r="H2437">
        <v>1.2</v>
      </c>
      <c r="I2437" s="4">
        <v>106.69</v>
      </c>
      <c r="J2437">
        <v>4</v>
      </c>
      <c r="K2437" t="s">
        <v>30</v>
      </c>
      <c r="L2437" t="s">
        <v>26</v>
      </c>
      <c r="O2437"/>
    </row>
    <row r="2438" spans="1:15" x14ac:dyDescent="0.3">
      <c r="A2438" t="s">
        <v>2462</v>
      </c>
      <c r="B2438" s="1">
        <v>45725</v>
      </c>
      <c r="C2438" t="s">
        <v>22</v>
      </c>
      <c r="D2438" t="s">
        <v>22</v>
      </c>
      <c r="E2438" s="2">
        <v>25.54</v>
      </c>
      <c r="F2438" s="3">
        <v>82.64</v>
      </c>
      <c r="G2438" s="4">
        <v>447.36</v>
      </c>
      <c r="H2438">
        <v>1.5</v>
      </c>
      <c r="I2438" s="4">
        <v>671.04</v>
      </c>
      <c r="J2438">
        <v>3.9</v>
      </c>
      <c r="K2438" t="s">
        <v>18</v>
      </c>
      <c r="L2438" t="s">
        <v>28</v>
      </c>
      <c r="O2438"/>
    </row>
    <row r="2439" spans="1:15" x14ac:dyDescent="0.3">
      <c r="A2439" t="s">
        <v>2463</v>
      </c>
      <c r="B2439" s="1">
        <v>45772</v>
      </c>
      <c r="C2439" t="s">
        <v>21</v>
      </c>
      <c r="D2439" t="s">
        <v>21</v>
      </c>
      <c r="E2439" s="2">
        <v>7.6</v>
      </c>
      <c r="F2439" s="3">
        <v>30.21</v>
      </c>
      <c r="G2439" s="4">
        <v>118.55</v>
      </c>
      <c r="H2439">
        <v>1</v>
      </c>
      <c r="I2439" s="4">
        <v>118.55</v>
      </c>
      <c r="J2439">
        <v>4.4000000000000004</v>
      </c>
      <c r="K2439" t="s">
        <v>33</v>
      </c>
      <c r="L2439" t="s">
        <v>26</v>
      </c>
      <c r="O2439"/>
    </row>
    <row r="2440" spans="1:15" x14ac:dyDescent="0.3">
      <c r="A2440" t="s">
        <v>2464</v>
      </c>
      <c r="B2440" s="1">
        <v>45730</v>
      </c>
      <c r="C2440" t="s">
        <v>13</v>
      </c>
      <c r="D2440" t="s">
        <v>22</v>
      </c>
      <c r="E2440" s="2">
        <v>8.27</v>
      </c>
      <c r="F2440" s="3">
        <v>18.850000000000001</v>
      </c>
      <c r="G2440" s="4">
        <v>114.97</v>
      </c>
      <c r="H2440">
        <v>2</v>
      </c>
      <c r="I2440" s="4">
        <v>229.94</v>
      </c>
      <c r="J2440">
        <v>3.3</v>
      </c>
      <c r="K2440" t="s">
        <v>33</v>
      </c>
      <c r="L2440" t="s">
        <v>16</v>
      </c>
      <c r="O2440"/>
    </row>
    <row r="2441" spans="1:15" x14ac:dyDescent="0.3">
      <c r="A2441" t="s">
        <v>2465</v>
      </c>
      <c r="B2441" s="1">
        <v>45906</v>
      </c>
      <c r="C2441" t="s">
        <v>25</v>
      </c>
      <c r="D2441" t="s">
        <v>22</v>
      </c>
      <c r="E2441" s="2">
        <v>4.1500000000000004</v>
      </c>
      <c r="F2441" s="3">
        <v>14.54</v>
      </c>
      <c r="G2441" s="4">
        <v>43.4</v>
      </c>
      <c r="H2441">
        <v>1.2</v>
      </c>
      <c r="I2441" s="4">
        <v>52.08</v>
      </c>
      <c r="J2441">
        <v>3.3</v>
      </c>
      <c r="K2441" t="s">
        <v>33</v>
      </c>
      <c r="L2441" t="s">
        <v>19</v>
      </c>
      <c r="O2441"/>
    </row>
    <row r="2442" spans="1:15" x14ac:dyDescent="0.3">
      <c r="A2442" t="s">
        <v>2466</v>
      </c>
      <c r="B2442" s="1">
        <v>45700</v>
      </c>
      <c r="C2442" t="s">
        <v>13</v>
      </c>
      <c r="D2442" t="s">
        <v>25</v>
      </c>
      <c r="E2442" s="2">
        <v>6.25</v>
      </c>
      <c r="F2442" s="3">
        <v>22.47</v>
      </c>
      <c r="G2442" s="4">
        <v>91.06</v>
      </c>
      <c r="H2442">
        <v>1.2</v>
      </c>
      <c r="I2442" s="4">
        <v>109.27</v>
      </c>
      <c r="J2442">
        <v>3.8</v>
      </c>
      <c r="K2442" t="s">
        <v>30</v>
      </c>
      <c r="L2442" t="s">
        <v>26</v>
      </c>
      <c r="O2442"/>
    </row>
    <row r="2443" spans="1:15" x14ac:dyDescent="0.3">
      <c r="A2443" t="s">
        <v>2467</v>
      </c>
      <c r="B2443" s="1">
        <v>45960</v>
      </c>
      <c r="C2443" t="s">
        <v>25</v>
      </c>
      <c r="D2443" t="s">
        <v>21</v>
      </c>
      <c r="E2443" s="2">
        <v>5.86</v>
      </c>
      <c r="F2443" s="3">
        <v>19.48</v>
      </c>
      <c r="G2443" s="4">
        <v>90.86</v>
      </c>
      <c r="H2443">
        <v>1.2</v>
      </c>
      <c r="I2443" s="4">
        <v>109.03</v>
      </c>
      <c r="J2443">
        <v>4.8</v>
      </c>
      <c r="K2443" t="s">
        <v>18</v>
      </c>
      <c r="L2443" t="s">
        <v>16</v>
      </c>
      <c r="O2443"/>
    </row>
    <row r="2444" spans="1:15" x14ac:dyDescent="0.3">
      <c r="A2444" t="s">
        <v>2468</v>
      </c>
      <c r="B2444" s="1">
        <v>45908</v>
      </c>
      <c r="C2444" t="s">
        <v>22</v>
      </c>
      <c r="D2444" t="s">
        <v>13</v>
      </c>
      <c r="E2444" s="2">
        <v>3.1</v>
      </c>
      <c r="F2444" s="3">
        <v>10.81</v>
      </c>
      <c r="G2444" s="4">
        <v>53.07</v>
      </c>
      <c r="H2444">
        <v>1.2</v>
      </c>
      <c r="I2444" s="4">
        <v>63.68</v>
      </c>
      <c r="J2444">
        <v>4.7</v>
      </c>
      <c r="K2444" t="s">
        <v>33</v>
      </c>
      <c r="L2444" t="s">
        <v>26</v>
      </c>
      <c r="O2444"/>
    </row>
    <row r="2445" spans="1:15" x14ac:dyDescent="0.3">
      <c r="A2445" t="s">
        <v>2469</v>
      </c>
      <c r="B2445" s="1">
        <v>45698</v>
      </c>
      <c r="C2445" t="s">
        <v>14</v>
      </c>
      <c r="D2445" t="s">
        <v>22</v>
      </c>
      <c r="E2445" s="2">
        <v>6</v>
      </c>
      <c r="F2445" s="3">
        <v>12.25</v>
      </c>
      <c r="G2445" s="4">
        <v>61.89</v>
      </c>
      <c r="H2445">
        <v>1.5</v>
      </c>
      <c r="I2445" s="4">
        <v>92.84</v>
      </c>
      <c r="J2445">
        <v>4.9000000000000004</v>
      </c>
      <c r="K2445" t="s">
        <v>36</v>
      </c>
      <c r="L2445" t="s">
        <v>19</v>
      </c>
      <c r="O2445"/>
    </row>
    <row r="2446" spans="1:15" x14ac:dyDescent="0.3">
      <c r="A2446" t="s">
        <v>2470</v>
      </c>
      <c r="B2446" s="1">
        <v>45852</v>
      </c>
      <c r="C2446" t="s">
        <v>21</v>
      </c>
      <c r="D2446" t="s">
        <v>22</v>
      </c>
      <c r="E2446" s="2">
        <v>4.5</v>
      </c>
      <c r="F2446" s="3">
        <v>10.99</v>
      </c>
      <c r="G2446" s="4">
        <v>59.73</v>
      </c>
      <c r="H2446">
        <v>2</v>
      </c>
      <c r="I2446" s="4">
        <v>119.46</v>
      </c>
      <c r="J2446">
        <v>3.4</v>
      </c>
      <c r="K2446" t="s">
        <v>30</v>
      </c>
      <c r="L2446" t="s">
        <v>28</v>
      </c>
      <c r="O2446"/>
    </row>
    <row r="2447" spans="1:15" x14ac:dyDescent="0.3">
      <c r="A2447" t="s">
        <v>2471</v>
      </c>
      <c r="B2447" s="1">
        <v>46012</v>
      </c>
      <c r="C2447" t="s">
        <v>21</v>
      </c>
      <c r="D2447" t="s">
        <v>14</v>
      </c>
      <c r="E2447" s="2">
        <v>17.23</v>
      </c>
      <c r="F2447" s="3">
        <v>58.06</v>
      </c>
      <c r="G2447" s="4">
        <v>338.36</v>
      </c>
      <c r="H2447">
        <v>1.2</v>
      </c>
      <c r="I2447" s="4">
        <v>406.03</v>
      </c>
      <c r="J2447">
        <v>3.9</v>
      </c>
      <c r="K2447" t="s">
        <v>18</v>
      </c>
      <c r="L2447" t="s">
        <v>19</v>
      </c>
      <c r="O2447"/>
    </row>
    <row r="2448" spans="1:15" x14ac:dyDescent="0.3">
      <c r="A2448" t="s">
        <v>2472</v>
      </c>
      <c r="B2448" s="1">
        <v>45672</v>
      </c>
      <c r="C2448" t="s">
        <v>22</v>
      </c>
      <c r="D2448" t="s">
        <v>14</v>
      </c>
      <c r="E2448" s="2">
        <v>18.07</v>
      </c>
      <c r="F2448" s="3">
        <v>69.5</v>
      </c>
      <c r="G2448" s="4">
        <v>315.88</v>
      </c>
      <c r="H2448">
        <v>2</v>
      </c>
      <c r="I2448" s="4">
        <v>631.76</v>
      </c>
      <c r="J2448">
        <v>3.1</v>
      </c>
      <c r="K2448" t="s">
        <v>36</v>
      </c>
      <c r="L2448" t="s">
        <v>19</v>
      </c>
      <c r="O2448"/>
    </row>
    <row r="2449" spans="1:15" x14ac:dyDescent="0.3">
      <c r="A2449" t="s">
        <v>2473</v>
      </c>
      <c r="B2449" s="1">
        <v>45946</v>
      </c>
      <c r="C2449" t="s">
        <v>22</v>
      </c>
      <c r="D2449" t="s">
        <v>21</v>
      </c>
      <c r="E2449" s="2">
        <v>6.41</v>
      </c>
      <c r="F2449" s="3">
        <v>24.29</v>
      </c>
      <c r="G2449" s="4">
        <v>80.03</v>
      </c>
      <c r="H2449">
        <v>2</v>
      </c>
      <c r="I2449" s="4">
        <v>160.06</v>
      </c>
      <c r="J2449">
        <v>3.2</v>
      </c>
      <c r="K2449" t="s">
        <v>36</v>
      </c>
      <c r="L2449" t="s">
        <v>26</v>
      </c>
      <c r="O2449"/>
    </row>
    <row r="2450" spans="1:15" x14ac:dyDescent="0.3">
      <c r="A2450" t="s">
        <v>2474</v>
      </c>
      <c r="B2450" s="1">
        <v>45992</v>
      </c>
      <c r="C2450" t="s">
        <v>21</v>
      </c>
      <c r="D2450" t="s">
        <v>14</v>
      </c>
      <c r="E2450" s="2">
        <v>1.82</v>
      </c>
      <c r="F2450" s="3">
        <v>4.1399999999999997</v>
      </c>
      <c r="G2450" s="4">
        <v>21.35</v>
      </c>
      <c r="H2450">
        <v>1.5</v>
      </c>
      <c r="I2450" s="4">
        <v>32.03</v>
      </c>
      <c r="J2450">
        <v>4.5</v>
      </c>
      <c r="K2450" t="s">
        <v>33</v>
      </c>
      <c r="L2450" t="s">
        <v>19</v>
      </c>
      <c r="O2450"/>
    </row>
    <row r="2451" spans="1:15" x14ac:dyDescent="0.3">
      <c r="A2451" t="s">
        <v>2475</v>
      </c>
      <c r="B2451" s="1">
        <v>45885</v>
      </c>
      <c r="C2451" t="s">
        <v>22</v>
      </c>
      <c r="D2451" t="s">
        <v>22</v>
      </c>
      <c r="E2451" s="2">
        <v>25.27</v>
      </c>
      <c r="F2451" s="3">
        <v>69.41</v>
      </c>
      <c r="G2451" s="4">
        <v>473.71</v>
      </c>
      <c r="H2451">
        <v>2</v>
      </c>
      <c r="I2451" s="4">
        <v>947.42</v>
      </c>
      <c r="J2451">
        <v>4</v>
      </c>
      <c r="K2451" t="s">
        <v>30</v>
      </c>
      <c r="L2451" t="s">
        <v>19</v>
      </c>
      <c r="O2451"/>
    </row>
    <row r="2452" spans="1:15" x14ac:dyDescent="0.3">
      <c r="A2452" t="s">
        <v>2476</v>
      </c>
      <c r="B2452" s="1">
        <v>45914</v>
      </c>
      <c r="C2452" t="s">
        <v>21</v>
      </c>
      <c r="D2452" t="s">
        <v>14</v>
      </c>
      <c r="E2452" s="2">
        <v>5.37</v>
      </c>
      <c r="F2452" s="3">
        <v>17.399999999999999</v>
      </c>
      <c r="G2452" s="4">
        <v>76.25</v>
      </c>
      <c r="H2452">
        <v>1</v>
      </c>
      <c r="I2452" s="4">
        <v>76.25</v>
      </c>
      <c r="J2452">
        <v>3.9</v>
      </c>
      <c r="K2452" t="s">
        <v>36</v>
      </c>
      <c r="L2452" t="s">
        <v>26</v>
      </c>
      <c r="O2452"/>
    </row>
    <row r="2453" spans="1:15" x14ac:dyDescent="0.3">
      <c r="A2453" t="s">
        <v>2477</v>
      </c>
      <c r="B2453" s="1">
        <v>46001</v>
      </c>
      <c r="C2453" t="s">
        <v>25</v>
      </c>
      <c r="D2453" t="s">
        <v>13</v>
      </c>
      <c r="E2453" s="2">
        <v>29.27</v>
      </c>
      <c r="F2453" s="3">
        <v>73.69</v>
      </c>
      <c r="G2453" s="4">
        <v>383.23</v>
      </c>
      <c r="H2453">
        <v>1.5</v>
      </c>
      <c r="I2453" s="4">
        <v>574.84</v>
      </c>
      <c r="J2453">
        <v>3.7</v>
      </c>
      <c r="K2453" t="s">
        <v>33</v>
      </c>
      <c r="L2453" t="s">
        <v>19</v>
      </c>
      <c r="O2453"/>
    </row>
    <row r="2454" spans="1:15" x14ac:dyDescent="0.3">
      <c r="A2454" t="s">
        <v>2478</v>
      </c>
      <c r="B2454" s="1">
        <v>45728</v>
      </c>
      <c r="C2454" t="s">
        <v>21</v>
      </c>
      <c r="D2454" t="s">
        <v>14</v>
      </c>
      <c r="E2454" s="2">
        <v>18.010000000000002</v>
      </c>
      <c r="F2454" s="3">
        <v>58.1</v>
      </c>
      <c r="G2454" s="4">
        <v>327.88</v>
      </c>
      <c r="H2454">
        <v>1.2</v>
      </c>
      <c r="I2454" s="4">
        <v>393.46</v>
      </c>
      <c r="J2454">
        <v>3.9</v>
      </c>
      <c r="K2454" t="s">
        <v>15</v>
      </c>
      <c r="L2454" t="s">
        <v>28</v>
      </c>
      <c r="O2454"/>
    </row>
    <row r="2455" spans="1:15" x14ac:dyDescent="0.3">
      <c r="A2455" t="s">
        <v>2479</v>
      </c>
      <c r="B2455" s="1">
        <v>45903</v>
      </c>
      <c r="C2455" t="s">
        <v>14</v>
      </c>
      <c r="D2455" t="s">
        <v>25</v>
      </c>
      <c r="E2455" s="2">
        <v>22.25</v>
      </c>
      <c r="F2455" s="3">
        <v>71.83</v>
      </c>
      <c r="G2455" s="4">
        <v>268.41000000000003</v>
      </c>
      <c r="H2455">
        <v>2</v>
      </c>
      <c r="I2455" s="4">
        <v>536.82000000000005</v>
      </c>
      <c r="J2455">
        <v>4.4000000000000004</v>
      </c>
      <c r="K2455" t="s">
        <v>30</v>
      </c>
      <c r="L2455" t="s">
        <v>19</v>
      </c>
      <c r="O2455"/>
    </row>
    <row r="2456" spans="1:15" x14ac:dyDescent="0.3">
      <c r="A2456" t="s">
        <v>2480</v>
      </c>
      <c r="B2456" s="1">
        <v>45960</v>
      </c>
      <c r="C2456" t="s">
        <v>25</v>
      </c>
      <c r="D2456" t="s">
        <v>25</v>
      </c>
      <c r="E2456" s="2">
        <v>19.21</v>
      </c>
      <c r="F2456" s="3">
        <v>38.42</v>
      </c>
      <c r="G2456" s="4">
        <v>195.62</v>
      </c>
      <c r="H2456">
        <v>1</v>
      </c>
      <c r="I2456" s="4">
        <v>195.62</v>
      </c>
      <c r="J2456">
        <v>4.5999999999999996</v>
      </c>
      <c r="K2456" t="s">
        <v>15</v>
      </c>
      <c r="L2456" t="s">
        <v>28</v>
      </c>
      <c r="O2456"/>
    </row>
    <row r="2457" spans="1:15" x14ac:dyDescent="0.3">
      <c r="A2457" t="s">
        <v>2481</v>
      </c>
      <c r="B2457" s="1">
        <v>45708</v>
      </c>
      <c r="C2457" t="s">
        <v>13</v>
      </c>
      <c r="D2457" t="s">
        <v>13</v>
      </c>
      <c r="E2457" s="2">
        <v>21.16</v>
      </c>
      <c r="F2457" s="3">
        <v>60.52</v>
      </c>
      <c r="G2457" s="4">
        <v>357.83</v>
      </c>
      <c r="H2457">
        <v>1.2</v>
      </c>
      <c r="I2457" s="4">
        <v>429.4</v>
      </c>
      <c r="J2457">
        <v>3.6</v>
      </c>
      <c r="K2457" t="s">
        <v>15</v>
      </c>
      <c r="L2457" t="s">
        <v>16</v>
      </c>
      <c r="O2457"/>
    </row>
    <row r="2458" spans="1:15" x14ac:dyDescent="0.3">
      <c r="A2458" t="s">
        <v>2482</v>
      </c>
      <c r="B2458" s="1">
        <v>45706</v>
      </c>
      <c r="C2458" t="s">
        <v>21</v>
      </c>
      <c r="D2458" t="s">
        <v>21</v>
      </c>
      <c r="E2458" s="2">
        <v>5.71</v>
      </c>
      <c r="F2458" s="3">
        <v>18.28</v>
      </c>
      <c r="G2458" s="4">
        <v>85.15</v>
      </c>
      <c r="H2458">
        <v>1</v>
      </c>
      <c r="I2458" s="4">
        <v>85.15</v>
      </c>
      <c r="J2458">
        <v>4.9000000000000004</v>
      </c>
      <c r="K2458" t="s">
        <v>15</v>
      </c>
      <c r="L2458" t="s">
        <v>26</v>
      </c>
      <c r="O2458"/>
    </row>
    <row r="2459" spans="1:15" x14ac:dyDescent="0.3">
      <c r="A2459" t="s">
        <v>2483</v>
      </c>
      <c r="B2459" s="1">
        <v>45786</v>
      </c>
      <c r="C2459" t="s">
        <v>25</v>
      </c>
      <c r="D2459" t="s">
        <v>13</v>
      </c>
      <c r="E2459" s="2">
        <v>8.99</v>
      </c>
      <c r="F2459" s="3">
        <v>24.84</v>
      </c>
      <c r="G2459" s="4">
        <v>123.6</v>
      </c>
      <c r="H2459">
        <v>1.2</v>
      </c>
      <c r="I2459" s="4">
        <v>148.32</v>
      </c>
      <c r="J2459">
        <v>4.0999999999999996</v>
      </c>
      <c r="K2459" t="s">
        <v>33</v>
      </c>
      <c r="L2459" t="s">
        <v>28</v>
      </c>
      <c r="O2459"/>
    </row>
    <row r="2460" spans="1:15" x14ac:dyDescent="0.3">
      <c r="A2460" t="s">
        <v>2484</v>
      </c>
      <c r="B2460" s="1">
        <v>45674</v>
      </c>
      <c r="C2460" t="s">
        <v>22</v>
      </c>
      <c r="D2460" t="s">
        <v>25</v>
      </c>
      <c r="E2460" s="2">
        <v>21.19</v>
      </c>
      <c r="F2460" s="3">
        <v>44.62</v>
      </c>
      <c r="G2460" s="4">
        <v>385.04</v>
      </c>
      <c r="H2460">
        <v>1.5</v>
      </c>
      <c r="I2460" s="4">
        <v>577.55999999999995</v>
      </c>
      <c r="J2460">
        <v>4.2</v>
      </c>
      <c r="K2460" t="s">
        <v>18</v>
      </c>
      <c r="L2460" t="s">
        <v>26</v>
      </c>
      <c r="O2460"/>
    </row>
    <row r="2461" spans="1:15" x14ac:dyDescent="0.3">
      <c r="A2461" t="s">
        <v>2485</v>
      </c>
      <c r="B2461" s="1">
        <v>45686</v>
      </c>
      <c r="C2461" t="s">
        <v>22</v>
      </c>
      <c r="D2461" t="s">
        <v>21</v>
      </c>
      <c r="E2461" s="2">
        <v>10.39</v>
      </c>
      <c r="F2461" s="3">
        <v>30.78</v>
      </c>
      <c r="G2461" s="4">
        <v>165.89</v>
      </c>
      <c r="H2461">
        <v>2</v>
      </c>
      <c r="I2461" s="4">
        <v>331.78</v>
      </c>
      <c r="J2461">
        <v>4.2</v>
      </c>
      <c r="K2461" t="s">
        <v>30</v>
      </c>
      <c r="L2461" t="s">
        <v>19</v>
      </c>
      <c r="O2461"/>
    </row>
    <row r="2462" spans="1:15" x14ac:dyDescent="0.3">
      <c r="A2462" t="s">
        <v>2486</v>
      </c>
      <c r="B2462" s="1">
        <v>46000</v>
      </c>
      <c r="C2462" t="s">
        <v>14</v>
      </c>
      <c r="D2462" t="s">
        <v>14</v>
      </c>
      <c r="E2462" s="2">
        <v>9.64</v>
      </c>
      <c r="F2462" s="3">
        <v>20.350000000000001</v>
      </c>
      <c r="G2462" s="4">
        <v>96.64</v>
      </c>
      <c r="H2462">
        <v>2</v>
      </c>
      <c r="I2462" s="4">
        <v>193.28</v>
      </c>
      <c r="J2462">
        <v>3.4</v>
      </c>
      <c r="K2462" t="s">
        <v>36</v>
      </c>
      <c r="L2462" t="s">
        <v>28</v>
      </c>
      <c r="O2462"/>
    </row>
    <row r="2463" spans="1:15" x14ac:dyDescent="0.3">
      <c r="A2463" t="s">
        <v>2487</v>
      </c>
      <c r="B2463" s="1">
        <v>45864</v>
      </c>
      <c r="C2463" t="s">
        <v>21</v>
      </c>
      <c r="D2463" t="s">
        <v>13</v>
      </c>
      <c r="E2463" s="2">
        <v>11.91</v>
      </c>
      <c r="F2463" s="3">
        <v>28.59</v>
      </c>
      <c r="G2463" s="4">
        <v>168.42</v>
      </c>
      <c r="H2463">
        <v>2</v>
      </c>
      <c r="I2463" s="4">
        <v>336.84</v>
      </c>
      <c r="J2463">
        <v>4.0999999999999996</v>
      </c>
      <c r="K2463" t="s">
        <v>18</v>
      </c>
      <c r="L2463" t="s">
        <v>26</v>
      </c>
      <c r="O2463"/>
    </row>
    <row r="2464" spans="1:15" x14ac:dyDescent="0.3">
      <c r="A2464" t="s">
        <v>2488</v>
      </c>
      <c r="B2464" s="1">
        <v>45802</v>
      </c>
      <c r="C2464" t="s">
        <v>21</v>
      </c>
      <c r="D2464" t="s">
        <v>22</v>
      </c>
      <c r="E2464" s="2">
        <v>9.4499999999999993</v>
      </c>
      <c r="F2464" s="3">
        <v>35.049999999999997</v>
      </c>
      <c r="G2464" s="4">
        <v>188.91</v>
      </c>
      <c r="H2464">
        <v>1.2</v>
      </c>
      <c r="I2464" s="4">
        <v>226.69</v>
      </c>
      <c r="J2464">
        <v>4.5</v>
      </c>
      <c r="K2464" t="s">
        <v>30</v>
      </c>
      <c r="L2464" t="s">
        <v>28</v>
      </c>
      <c r="O2464"/>
    </row>
    <row r="2465" spans="1:15" x14ac:dyDescent="0.3">
      <c r="A2465" t="s">
        <v>2489</v>
      </c>
      <c r="B2465" s="1">
        <v>45963</v>
      </c>
      <c r="C2465" t="s">
        <v>22</v>
      </c>
      <c r="D2465" t="s">
        <v>22</v>
      </c>
      <c r="E2465" s="2">
        <v>24</v>
      </c>
      <c r="F2465" s="3">
        <v>76.819999999999993</v>
      </c>
      <c r="G2465" s="4">
        <v>264.10000000000002</v>
      </c>
      <c r="H2465">
        <v>2</v>
      </c>
      <c r="I2465" s="4">
        <v>528.20000000000005</v>
      </c>
      <c r="J2465">
        <v>3.3</v>
      </c>
      <c r="K2465" t="s">
        <v>30</v>
      </c>
      <c r="L2465" t="s">
        <v>19</v>
      </c>
      <c r="O2465"/>
    </row>
    <row r="2466" spans="1:15" x14ac:dyDescent="0.3">
      <c r="A2466" t="s">
        <v>2490</v>
      </c>
      <c r="B2466" s="1">
        <v>45775</v>
      </c>
      <c r="C2466" t="s">
        <v>14</v>
      </c>
      <c r="D2466" t="s">
        <v>21</v>
      </c>
      <c r="E2466" s="2">
        <v>19.14</v>
      </c>
      <c r="F2466" s="3">
        <v>54.51</v>
      </c>
      <c r="G2466" s="4">
        <v>297.94</v>
      </c>
      <c r="H2466">
        <v>2</v>
      </c>
      <c r="I2466" s="4">
        <v>595.88</v>
      </c>
      <c r="J2466">
        <v>4.8</v>
      </c>
      <c r="K2466" t="s">
        <v>18</v>
      </c>
      <c r="L2466" t="s">
        <v>16</v>
      </c>
      <c r="O2466"/>
    </row>
    <row r="2467" spans="1:15" x14ac:dyDescent="0.3">
      <c r="A2467" t="s">
        <v>2491</v>
      </c>
      <c r="B2467" s="1">
        <v>45931</v>
      </c>
      <c r="C2467" t="s">
        <v>22</v>
      </c>
      <c r="D2467" t="s">
        <v>13</v>
      </c>
      <c r="E2467" s="2">
        <v>28.83</v>
      </c>
      <c r="F2467" s="3">
        <v>84.09</v>
      </c>
      <c r="G2467" s="4">
        <v>439.07</v>
      </c>
      <c r="H2467">
        <v>1</v>
      </c>
      <c r="I2467" s="4">
        <v>439.07</v>
      </c>
      <c r="J2467">
        <v>4.0999999999999996</v>
      </c>
      <c r="K2467" t="s">
        <v>18</v>
      </c>
      <c r="L2467" t="s">
        <v>28</v>
      </c>
      <c r="O2467"/>
    </row>
    <row r="2468" spans="1:15" x14ac:dyDescent="0.3">
      <c r="A2468" t="s">
        <v>2492</v>
      </c>
      <c r="B2468" s="1">
        <v>45730</v>
      </c>
      <c r="C2468" t="s">
        <v>25</v>
      </c>
      <c r="D2468" t="s">
        <v>14</v>
      </c>
      <c r="E2468" s="2">
        <v>29.16</v>
      </c>
      <c r="F2468" s="3">
        <v>104.18</v>
      </c>
      <c r="G2468" s="4">
        <v>449.87</v>
      </c>
      <c r="H2468">
        <v>1</v>
      </c>
      <c r="I2468" s="4">
        <v>449.87</v>
      </c>
      <c r="J2468">
        <v>4.9000000000000004</v>
      </c>
      <c r="K2468" t="s">
        <v>15</v>
      </c>
      <c r="L2468" t="s">
        <v>28</v>
      </c>
      <c r="O2468"/>
    </row>
    <row r="2469" spans="1:15" x14ac:dyDescent="0.3">
      <c r="A2469" t="s">
        <v>2493</v>
      </c>
      <c r="B2469" s="1">
        <v>45966</v>
      </c>
      <c r="C2469" t="s">
        <v>14</v>
      </c>
      <c r="D2469" t="s">
        <v>25</v>
      </c>
      <c r="E2469" s="2">
        <v>14.88</v>
      </c>
      <c r="F2469" s="3">
        <v>45.76</v>
      </c>
      <c r="G2469" s="4">
        <v>222</v>
      </c>
      <c r="H2469">
        <v>1.5</v>
      </c>
      <c r="I2469" s="4">
        <v>333</v>
      </c>
      <c r="J2469">
        <v>3.8</v>
      </c>
      <c r="K2469" t="s">
        <v>15</v>
      </c>
      <c r="L2469" t="s">
        <v>28</v>
      </c>
      <c r="O2469"/>
    </row>
    <row r="2470" spans="1:15" x14ac:dyDescent="0.3">
      <c r="A2470" t="s">
        <v>2494</v>
      </c>
      <c r="B2470" s="1">
        <v>45749</v>
      </c>
      <c r="C2470" t="s">
        <v>21</v>
      </c>
      <c r="D2470" t="s">
        <v>13</v>
      </c>
      <c r="E2470" s="2">
        <v>4.67</v>
      </c>
      <c r="F2470" s="3">
        <v>12.58</v>
      </c>
      <c r="G2470" s="4">
        <v>62.53</v>
      </c>
      <c r="H2470">
        <v>1.2</v>
      </c>
      <c r="I2470" s="4">
        <v>75.040000000000006</v>
      </c>
      <c r="J2470">
        <v>4.5999999999999996</v>
      </c>
      <c r="K2470" t="s">
        <v>30</v>
      </c>
      <c r="L2470" t="s">
        <v>16</v>
      </c>
      <c r="O2470"/>
    </row>
    <row r="2471" spans="1:15" x14ac:dyDescent="0.3">
      <c r="A2471" t="s">
        <v>2495</v>
      </c>
      <c r="B2471" s="1">
        <v>46004</v>
      </c>
      <c r="C2471" t="s">
        <v>25</v>
      </c>
      <c r="D2471" t="s">
        <v>21</v>
      </c>
      <c r="E2471" s="2">
        <v>19.96</v>
      </c>
      <c r="F2471" s="3">
        <v>73.89</v>
      </c>
      <c r="G2471" s="4">
        <v>385.55</v>
      </c>
      <c r="H2471">
        <v>1</v>
      </c>
      <c r="I2471" s="4">
        <v>385.55</v>
      </c>
      <c r="J2471">
        <v>4</v>
      </c>
      <c r="K2471" t="s">
        <v>30</v>
      </c>
      <c r="L2471" t="s">
        <v>19</v>
      </c>
      <c r="O2471"/>
    </row>
    <row r="2472" spans="1:15" x14ac:dyDescent="0.3">
      <c r="A2472" t="s">
        <v>2496</v>
      </c>
      <c r="B2472" s="1">
        <v>45772</v>
      </c>
      <c r="C2472" t="s">
        <v>14</v>
      </c>
      <c r="D2472" t="s">
        <v>21</v>
      </c>
      <c r="E2472" s="2">
        <v>5.05</v>
      </c>
      <c r="F2472" s="3">
        <v>18.72</v>
      </c>
      <c r="G2472" s="4">
        <v>70.7</v>
      </c>
      <c r="H2472">
        <v>1</v>
      </c>
      <c r="I2472" s="4">
        <v>70.7</v>
      </c>
      <c r="J2472">
        <v>3.4</v>
      </c>
      <c r="K2472" t="s">
        <v>18</v>
      </c>
      <c r="L2472" t="s">
        <v>16</v>
      </c>
      <c r="O2472"/>
    </row>
    <row r="2473" spans="1:15" x14ac:dyDescent="0.3">
      <c r="A2473" t="s">
        <v>2497</v>
      </c>
      <c r="B2473" s="1">
        <v>45688</v>
      </c>
      <c r="C2473" t="s">
        <v>25</v>
      </c>
      <c r="D2473" t="s">
        <v>22</v>
      </c>
      <c r="E2473" s="2">
        <v>20.29</v>
      </c>
      <c r="F2473" s="3">
        <v>69.5</v>
      </c>
      <c r="G2473" s="4">
        <v>381.86</v>
      </c>
      <c r="H2473">
        <v>1</v>
      </c>
      <c r="I2473" s="4">
        <v>381.86</v>
      </c>
      <c r="J2473">
        <v>3.3</v>
      </c>
      <c r="K2473" t="s">
        <v>30</v>
      </c>
      <c r="L2473" t="s">
        <v>19</v>
      </c>
      <c r="O2473"/>
    </row>
    <row r="2474" spans="1:15" x14ac:dyDescent="0.3">
      <c r="A2474" t="s">
        <v>2498</v>
      </c>
      <c r="B2474" s="1">
        <v>45957</v>
      </c>
      <c r="C2474" t="s">
        <v>25</v>
      </c>
      <c r="D2474" t="s">
        <v>13</v>
      </c>
      <c r="E2474" s="2">
        <v>16.28</v>
      </c>
      <c r="F2474" s="3">
        <v>50.58</v>
      </c>
      <c r="G2474" s="4">
        <v>310.5</v>
      </c>
      <c r="H2474">
        <v>1</v>
      </c>
      <c r="I2474" s="4">
        <v>310.5</v>
      </c>
      <c r="J2474">
        <v>4.0999999999999996</v>
      </c>
      <c r="K2474" t="s">
        <v>30</v>
      </c>
      <c r="L2474" t="s">
        <v>19</v>
      </c>
      <c r="O2474"/>
    </row>
    <row r="2475" spans="1:15" x14ac:dyDescent="0.3">
      <c r="A2475" t="s">
        <v>2499</v>
      </c>
      <c r="B2475" s="1">
        <v>45993</v>
      </c>
      <c r="C2475" t="s">
        <v>25</v>
      </c>
      <c r="D2475" t="s">
        <v>13</v>
      </c>
      <c r="E2475" s="2">
        <v>22.9</v>
      </c>
      <c r="F2475" s="3">
        <v>82.61</v>
      </c>
      <c r="G2475" s="4">
        <v>355.63</v>
      </c>
      <c r="H2475">
        <v>2</v>
      </c>
      <c r="I2475" s="4">
        <v>711.26</v>
      </c>
      <c r="J2475">
        <v>4.9000000000000004</v>
      </c>
      <c r="K2475" t="s">
        <v>15</v>
      </c>
      <c r="L2475" t="s">
        <v>26</v>
      </c>
      <c r="O2475"/>
    </row>
    <row r="2476" spans="1:15" x14ac:dyDescent="0.3">
      <c r="A2476" t="s">
        <v>2500</v>
      </c>
      <c r="B2476" s="1">
        <v>45930</v>
      </c>
      <c r="C2476" t="s">
        <v>13</v>
      </c>
      <c r="D2476" t="s">
        <v>22</v>
      </c>
      <c r="E2476" s="2">
        <v>3.43</v>
      </c>
      <c r="F2476" s="3">
        <v>9.19</v>
      </c>
      <c r="G2476" s="4">
        <v>44.96</v>
      </c>
      <c r="H2476">
        <v>2</v>
      </c>
      <c r="I2476" s="4">
        <v>89.92</v>
      </c>
      <c r="J2476">
        <v>3.3</v>
      </c>
      <c r="K2476" t="s">
        <v>36</v>
      </c>
      <c r="L2476" t="s">
        <v>28</v>
      </c>
      <c r="O2476"/>
    </row>
    <row r="2477" spans="1:15" x14ac:dyDescent="0.3">
      <c r="A2477" t="s">
        <v>2501</v>
      </c>
      <c r="B2477" s="1">
        <v>45738</v>
      </c>
      <c r="C2477" t="s">
        <v>13</v>
      </c>
      <c r="D2477" t="s">
        <v>25</v>
      </c>
      <c r="E2477" s="2">
        <v>20.14</v>
      </c>
      <c r="F2477" s="3">
        <v>61.13</v>
      </c>
      <c r="G2477" s="4">
        <v>235.11</v>
      </c>
      <c r="H2477">
        <v>1.2</v>
      </c>
      <c r="I2477" s="4">
        <v>282.13</v>
      </c>
      <c r="J2477">
        <v>4</v>
      </c>
      <c r="K2477" t="s">
        <v>18</v>
      </c>
      <c r="L2477" t="s">
        <v>28</v>
      </c>
      <c r="O2477"/>
    </row>
    <row r="2478" spans="1:15" x14ac:dyDescent="0.3">
      <c r="A2478" t="s">
        <v>2502</v>
      </c>
      <c r="B2478" s="1">
        <v>45780</v>
      </c>
      <c r="C2478" t="s">
        <v>14</v>
      </c>
      <c r="D2478" t="s">
        <v>13</v>
      </c>
      <c r="E2478" s="2">
        <v>4.0999999999999996</v>
      </c>
      <c r="F2478" s="3">
        <v>12.25</v>
      </c>
      <c r="G2478" s="4">
        <v>76.83</v>
      </c>
      <c r="H2478">
        <v>1.5</v>
      </c>
      <c r="I2478" s="4">
        <v>115.24</v>
      </c>
      <c r="J2478">
        <v>3.7</v>
      </c>
      <c r="K2478" t="s">
        <v>18</v>
      </c>
      <c r="L2478" t="s">
        <v>19</v>
      </c>
      <c r="O2478"/>
    </row>
    <row r="2479" spans="1:15" x14ac:dyDescent="0.3">
      <c r="A2479" t="s">
        <v>2503</v>
      </c>
      <c r="B2479" s="1">
        <v>45678</v>
      </c>
      <c r="C2479" t="s">
        <v>21</v>
      </c>
      <c r="D2479" t="s">
        <v>22</v>
      </c>
      <c r="E2479" s="2">
        <v>26.7</v>
      </c>
      <c r="F2479" s="3">
        <v>67.900000000000006</v>
      </c>
      <c r="G2479" s="4">
        <v>277.41000000000003</v>
      </c>
      <c r="H2479">
        <v>2</v>
      </c>
      <c r="I2479" s="4">
        <v>554.82000000000005</v>
      </c>
      <c r="J2479">
        <v>4.8</v>
      </c>
      <c r="K2479" t="s">
        <v>30</v>
      </c>
      <c r="L2479" t="s">
        <v>28</v>
      </c>
      <c r="O2479"/>
    </row>
    <row r="2480" spans="1:15" x14ac:dyDescent="0.3">
      <c r="A2480" t="s">
        <v>2504</v>
      </c>
      <c r="B2480" s="1">
        <v>45952</v>
      </c>
      <c r="C2480" t="s">
        <v>14</v>
      </c>
      <c r="D2480" t="s">
        <v>13</v>
      </c>
      <c r="E2480" s="2">
        <v>18.29</v>
      </c>
      <c r="F2480" s="3">
        <v>57.59</v>
      </c>
      <c r="G2480" s="4">
        <v>331.62</v>
      </c>
      <c r="H2480">
        <v>2</v>
      </c>
      <c r="I2480" s="4">
        <v>663.24</v>
      </c>
      <c r="J2480">
        <v>4.3</v>
      </c>
      <c r="K2480" t="s">
        <v>33</v>
      </c>
      <c r="L2480" t="s">
        <v>28</v>
      </c>
      <c r="O2480"/>
    </row>
    <row r="2481" spans="1:15" x14ac:dyDescent="0.3">
      <c r="A2481" t="s">
        <v>2505</v>
      </c>
      <c r="B2481" s="1">
        <v>45837</v>
      </c>
      <c r="C2481" t="s">
        <v>21</v>
      </c>
      <c r="D2481" t="s">
        <v>14</v>
      </c>
      <c r="E2481" s="2">
        <v>17.03</v>
      </c>
      <c r="F2481" s="3">
        <v>67.02</v>
      </c>
      <c r="G2481" s="4">
        <v>339.94</v>
      </c>
      <c r="H2481">
        <v>1.2</v>
      </c>
      <c r="I2481" s="4">
        <v>407.93</v>
      </c>
      <c r="J2481">
        <v>4.5</v>
      </c>
      <c r="K2481" t="s">
        <v>30</v>
      </c>
      <c r="L2481" t="s">
        <v>28</v>
      </c>
      <c r="O2481"/>
    </row>
    <row r="2482" spans="1:15" x14ac:dyDescent="0.3">
      <c r="A2482" t="s">
        <v>2506</v>
      </c>
      <c r="B2482" s="1">
        <v>46003</v>
      </c>
      <c r="C2482" t="s">
        <v>25</v>
      </c>
      <c r="D2482" t="s">
        <v>13</v>
      </c>
      <c r="E2482" s="2">
        <v>15.49</v>
      </c>
      <c r="F2482" s="3">
        <v>42.99</v>
      </c>
      <c r="G2482" s="4">
        <v>249.86</v>
      </c>
      <c r="H2482">
        <v>1.2</v>
      </c>
      <c r="I2482" s="4">
        <v>299.83</v>
      </c>
      <c r="J2482">
        <v>4.9000000000000004</v>
      </c>
      <c r="K2482" t="s">
        <v>15</v>
      </c>
      <c r="L2482" t="s">
        <v>26</v>
      </c>
      <c r="O2482"/>
    </row>
    <row r="2483" spans="1:15" x14ac:dyDescent="0.3">
      <c r="A2483" t="s">
        <v>2507</v>
      </c>
      <c r="B2483" s="1">
        <v>45878</v>
      </c>
      <c r="C2483" t="s">
        <v>22</v>
      </c>
      <c r="D2483" t="s">
        <v>21</v>
      </c>
      <c r="E2483" s="2">
        <v>26.26</v>
      </c>
      <c r="F2483" s="3">
        <v>63.73</v>
      </c>
      <c r="G2483" s="4">
        <v>374.57</v>
      </c>
      <c r="H2483">
        <v>1.2</v>
      </c>
      <c r="I2483" s="4">
        <v>449.48</v>
      </c>
      <c r="J2483">
        <v>3.5</v>
      </c>
      <c r="K2483" t="s">
        <v>30</v>
      </c>
      <c r="L2483" t="s">
        <v>16</v>
      </c>
      <c r="O2483"/>
    </row>
    <row r="2484" spans="1:15" x14ac:dyDescent="0.3">
      <c r="A2484" t="s">
        <v>2508</v>
      </c>
      <c r="B2484" s="1">
        <v>45701</v>
      </c>
      <c r="C2484" t="s">
        <v>22</v>
      </c>
      <c r="D2484" t="s">
        <v>21</v>
      </c>
      <c r="E2484" s="2">
        <v>11.39</v>
      </c>
      <c r="F2484" s="3">
        <v>32.82</v>
      </c>
      <c r="G2484" s="4">
        <v>173.07</v>
      </c>
      <c r="H2484">
        <v>1.5</v>
      </c>
      <c r="I2484" s="4">
        <v>259.60000000000002</v>
      </c>
      <c r="J2484">
        <v>3.6</v>
      </c>
      <c r="K2484" t="s">
        <v>33</v>
      </c>
      <c r="L2484" t="s">
        <v>16</v>
      </c>
      <c r="O2484"/>
    </row>
    <row r="2485" spans="1:15" x14ac:dyDescent="0.3">
      <c r="A2485" t="s">
        <v>2509</v>
      </c>
      <c r="B2485" s="1">
        <v>45802</v>
      </c>
      <c r="C2485" t="s">
        <v>25</v>
      </c>
      <c r="D2485" t="s">
        <v>21</v>
      </c>
      <c r="E2485" s="2">
        <v>14.11</v>
      </c>
      <c r="F2485" s="3">
        <v>51.29</v>
      </c>
      <c r="G2485" s="4">
        <v>216.41</v>
      </c>
      <c r="H2485">
        <v>1.2</v>
      </c>
      <c r="I2485" s="4">
        <v>259.69</v>
      </c>
      <c r="J2485">
        <v>3.1</v>
      </c>
      <c r="K2485" t="s">
        <v>15</v>
      </c>
      <c r="L2485" t="s">
        <v>16</v>
      </c>
      <c r="O2485"/>
    </row>
    <row r="2486" spans="1:15" x14ac:dyDescent="0.3">
      <c r="A2486" t="s">
        <v>2510</v>
      </c>
      <c r="B2486" s="1">
        <v>45999</v>
      </c>
      <c r="C2486" t="s">
        <v>13</v>
      </c>
      <c r="D2486" t="s">
        <v>25</v>
      </c>
      <c r="E2486" s="2">
        <v>11.63</v>
      </c>
      <c r="F2486" s="3">
        <v>37.72</v>
      </c>
      <c r="G2486" s="4">
        <v>123.85</v>
      </c>
      <c r="H2486">
        <v>2</v>
      </c>
      <c r="I2486" s="4">
        <v>247.7</v>
      </c>
      <c r="J2486">
        <v>3.6</v>
      </c>
      <c r="K2486" t="s">
        <v>18</v>
      </c>
      <c r="L2486" t="s">
        <v>28</v>
      </c>
      <c r="O2486"/>
    </row>
    <row r="2487" spans="1:15" x14ac:dyDescent="0.3">
      <c r="A2487" t="s">
        <v>2511</v>
      </c>
      <c r="B2487" s="1">
        <v>45877</v>
      </c>
      <c r="C2487" t="s">
        <v>21</v>
      </c>
      <c r="D2487" t="s">
        <v>13</v>
      </c>
      <c r="E2487" s="2">
        <v>21.46</v>
      </c>
      <c r="F2487" s="3">
        <v>77.13</v>
      </c>
      <c r="G2487" s="4">
        <v>360.89</v>
      </c>
      <c r="H2487">
        <v>2</v>
      </c>
      <c r="I2487" s="4">
        <v>721.78</v>
      </c>
      <c r="J2487">
        <v>3.5</v>
      </c>
      <c r="K2487" t="s">
        <v>30</v>
      </c>
      <c r="L2487" t="s">
        <v>28</v>
      </c>
      <c r="O2487"/>
    </row>
    <row r="2488" spans="1:15" x14ac:dyDescent="0.3">
      <c r="A2488" t="s">
        <v>2512</v>
      </c>
      <c r="B2488" s="1">
        <v>46018</v>
      </c>
      <c r="C2488" t="s">
        <v>25</v>
      </c>
      <c r="D2488" t="s">
        <v>21</v>
      </c>
      <c r="E2488" s="2">
        <v>25.06</v>
      </c>
      <c r="F2488" s="3">
        <v>84.98</v>
      </c>
      <c r="G2488" s="4">
        <v>394.71</v>
      </c>
      <c r="H2488">
        <v>2</v>
      </c>
      <c r="I2488" s="4">
        <v>789.42</v>
      </c>
      <c r="J2488">
        <v>3.2</v>
      </c>
      <c r="K2488" t="s">
        <v>18</v>
      </c>
      <c r="L2488" t="s">
        <v>26</v>
      </c>
      <c r="O2488"/>
    </row>
    <row r="2489" spans="1:15" x14ac:dyDescent="0.3">
      <c r="A2489" t="s">
        <v>2513</v>
      </c>
      <c r="B2489" s="1">
        <v>45885</v>
      </c>
      <c r="C2489" t="s">
        <v>22</v>
      </c>
      <c r="D2489" t="s">
        <v>21</v>
      </c>
      <c r="E2489" s="2">
        <v>1.91</v>
      </c>
      <c r="F2489" s="3">
        <v>4.2699999999999996</v>
      </c>
      <c r="G2489" s="4">
        <v>25.06</v>
      </c>
      <c r="H2489">
        <v>1</v>
      </c>
      <c r="I2489" s="4">
        <v>25.06</v>
      </c>
      <c r="J2489">
        <v>3.8</v>
      </c>
      <c r="K2489" t="s">
        <v>15</v>
      </c>
      <c r="L2489" t="s">
        <v>16</v>
      </c>
      <c r="O2489"/>
    </row>
    <row r="2490" spans="1:15" x14ac:dyDescent="0.3">
      <c r="A2490" t="s">
        <v>2514</v>
      </c>
      <c r="B2490" s="1">
        <v>45747</v>
      </c>
      <c r="C2490" t="s">
        <v>13</v>
      </c>
      <c r="D2490" t="s">
        <v>14</v>
      </c>
      <c r="E2490" s="2">
        <v>4.4800000000000004</v>
      </c>
      <c r="F2490" s="3">
        <v>15.46</v>
      </c>
      <c r="G2490" s="4">
        <v>70.319999999999993</v>
      </c>
      <c r="H2490">
        <v>1.2</v>
      </c>
      <c r="I2490" s="4">
        <v>84.38</v>
      </c>
      <c r="J2490">
        <v>5</v>
      </c>
      <c r="K2490" t="s">
        <v>33</v>
      </c>
      <c r="L2490" t="s">
        <v>19</v>
      </c>
      <c r="O2490"/>
    </row>
    <row r="2491" spans="1:15" x14ac:dyDescent="0.3">
      <c r="A2491" t="s">
        <v>2515</v>
      </c>
      <c r="B2491" s="1">
        <v>45769</v>
      </c>
      <c r="C2491" t="s">
        <v>13</v>
      </c>
      <c r="D2491" t="s">
        <v>13</v>
      </c>
      <c r="E2491" s="2">
        <v>29.32</v>
      </c>
      <c r="F2491" s="3">
        <v>61.56</v>
      </c>
      <c r="G2491" s="4">
        <v>346.16</v>
      </c>
      <c r="H2491">
        <v>2</v>
      </c>
      <c r="I2491" s="4">
        <v>692.32</v>
      </c>
      <c r="J2491">
        <v>3.1</v>
      </c>
      <c r="K2491" t="s">
        <v>18</v>
      </c>
      <c r="L2491" t="s">
        <v>26</v>
      </c>
      <c r="O2491"/>
    </row>
    <row r="2492" spans="1:15" x14ac:dyDescent="0.3">
      <c r="A2492" t="s">
        <v>2516</v>
      </c>
      <c r="B2492" s="1">
        <v>45776</v>
      </c>
      <c r="C2492" t="s">
        <v>21</v>
      </c>
      <c r="D2492" t="s">
        <v>22</v>
      </c>
      <c r="E2492" s="2">
        <v>18.09</v>
      </c>
      <c r="F2492" s="3">
        <v>56.72</v>
      </c>
      <c r="G2492" s="4">
        <v>356.55</v>
      </c>
      <c r="H2492">
        <v>1.5</v>
      </c>
      <c r="I2492" s="4">
        <v>534.83000000000004</v>
      </c>
      <c r="J2492">
        <v>3.5</v>
      </c>
      <c r="K2492" t="s">
        <v>18</v>
      </c>
      <c r="L2492" t="s">
        <v>19</v>
      </c>
      <c r="O2492"/>
    </row>
    <row r="2493" spans="1:15" x14ac:dyDescent="0.3">
      <c r="A2493" t="s">
        <v>2517</v>
      </c>
      <c r="B2493" s="1">
        <v>45914</v>
      </c>
      <c r="C2493" t="s">
        <v>14</v>
      </c>
      <c r="D2493" t="s">
        <v>21</v>
      </c>
      <c r="E2493" s="2">
        <v>4.29</v>
      </c>
      <c r="F2493" s="3">
        <v>16.03</v>
      </c>
      <c r="G2493" s="4">
        <v>48.44</v>
      </c>
      <c r="H2493">
        <v>1</v>
      </c>
      <c r="I2493" s="4">
        <v>48.44</v>
      </c>
      <c r="J2493">
        <v>5</v>
      </c>
      <c r="K2493" t="s">
        <v>18</v>
      </c>
      <c r="L2493" t="s">
        <v>28</v>
      </c>
      <c r="O2493"/>
    </row>
    <row r="2494" spans="1:15" x14ac:dyDescent="0.3">
      <c r="A2494" t="s">
        <v>2518</v>
      </c>
      <c r="B2494" s="1">
        <v>45722</v>
      </c>
      <c r="C2494" t="s">
        <v>25</v>
      </c>
      <c r="D2494" t="s">
        <v>13</v>
      </c>
      <c r="E2494" s="2">
        <v>19.350000000000001</v>
      </c>
      <c r="F2494" s="3">
        <v>40.729999999999997</v>
      </c>
      <c r="G2494" s="4">
        <v>250.25</v>
      </c>
      <c r="H2494">
        <v>1.5</v>
      </c>
      <c r="I2494" s="4">
        <v>375.38</v>
      </c>
      <c r="J2494">
        <v>3.4</v>
      </c>
      <c r="K2494" t="s">
        <v>15</v>
      </c>
      <c r="L2494" t="s">
        <v>26</v>
      </c>
      <c r="O2494"/>
    </row>
    <row r="2495" spans="1:15" x14ac:dyDescent="0.3">
      <c r="A2495" t="s">
        <v>2519</v>
      </c>
      <c r="B2495" s="1">
        <v>45677</v>
      </c>
      <c r="C2495" t="s">
        <v>13</v>
      </c>
      <c r="D2495" t="s">
        <v>13</v>
      </c>
      <c r="E2495" s="2">
        <v>2.89</v>
      </c>
      <c r="F2495" s="3">
        <v>8.34</v>
      </c>
      <c r="G2495" s="4">
        <v>53.48</v>
      </c>
      <c r="H2495">
        <v>1.5</v>
      </c>
      <c r="I2495" s="4">
        <v>80.22</v>
      </c>
      <c r="J2495">
        <v>4.8</v>
      </c>
      <c r="K2495" t="s">
        <v>30</v>
      </c>
      <c r="L2495" t="s">
        <v>19</v>
      </c>
      <c r="O2495"/>
    </row>
    <row r="2496" spans="1:15" x14ac:dyDescent="0.3">
      <c r="A2496" t="s">
        <v>2520</v>
      </c>
      <c r="B2496" s="1">
        <v>45837</v>
      </c>
      <c r="C2496" t="s">
        <v>14</v>
      </c>
      <c r="D2496" t="s">
        <v>14</v>
      </c>
      <c r="E2496" s="2">
        <v>27.09</v>
      </c>
      <c r="F2496" s="3">
        <v>60.58</v>
      </c>
      <c r="G2496" s="4">
        <v>355.06</v>
      </c>
      <c r="H2496">
        <v>1.5</v>
      </c>
      <c r="I2496" s="4">
        <v>532.59</v>
      </c>
      <c r="J2496">
        <v>4.8</v>
      </c>
      <c r="K2496" t="s">
        <v>30</v>
      </c>
      <c r="L2496" t="s">
        <v>19</v>
      </c>
      <c r="O2496"/>
    </row>
    <row r="2497" spans="1:15" x14ac:dyDescent="0.3">
      <c r="A2497" t="s">
        <v>2521</v>
      </c>
      <c r="B2497" s="1">
        <v>46004</v>
      </c>
      <c r="C2497" t="s">
        <v>13</v>
      </c>
      <c r="D2497" t="s">
        <v>13</v>
      </c>
      <c r="E2497" s="2">
        <v>25.14</v>
      </c>
      <c r="F2497" s="3">
        <v>55.89</v>
      </c>
      <c r="G2497" s="4">
        <v>482.83</v>
      </c>
      <c r="H2497">
        <v>1</v>
      </c>
      <c r="I2497" s="4">
        <v>482.83</v>
      </c>
      <c r="J2497">
        <v>4.9000000000000004</v>
      </c>
      <c r="K2497" t="s">
        <v>18</v>
      </c>
      <c r="L2497" t="s">
        <v>28</v>
      </c>
      <c r="O2497"/>
    </row>
    <row r="2498" spans="1:15" x14ac:dyDescent="0.3">
      <c r="A2498" t="s">
        <v>2522</v>
      </c>
      <c r="B2498" s="1">
        <v>45809</v>
      </c>
      <c r="C2498" t="s">
        <v>21</v>
      </c>
      <c r="D2498" t="s">
        <v>21</v>
      </c>
      <c r="E2498" s="2">
        <v>1.98</v>
      </c>
      <c r="F2498" s="3">
        <v>7.88</v>
      </c>
      <c r="G2498" s="4">
        <v>29.35</v>
      </c>
      <c r="H2498">
        <v>1</v>
      </c>
      <c r="I2498" s="4">
        <v>29.35</v>
      </c>
      <c r="J2498">
        <v>4.9000000000000004</v>
      </c>
      <c r="K2498" t="s">
        <v>33</v>
      </c>
      <c r="L2498" t="s">
        <v>19</v>
      </c>
      <c r="O2498"/>
    </row>
    <row r="2499" spans="1:15" x14ac:dyDescent="0.3">
      <c r="A2499" t="s">
        <v>2523</v>
      </c>
      <c r="B2499" s="1">
        <v>45899</v>
      </c>
      <c r="C2499" t="s">
        <v>14</v>
      </c>
      <c r="D2499" t="s">
        <v>21</v>
      </c>
      <c r="E2499" s="2">
        <v>23.9</v>
      </c>
      <c r="F2499" s="3">
        <v>86.61</v>
      </c>
      <c r="G2499" s="4">
        <v>285.35000000000002</v>
      </c>
      <c r="H2499">
        <v>1.2</v>
      </c>
      <c r="I2499" s="4">
        <v>342.42</v>
      </c>
      <c r="J2499">
        <v>4.4000000000000004</v>
      </c>
      <c r="K2499" t="s">
        <v>33</v>
      </c>
      <c r="L2499" t="s">
        <v>19</v>
      </c>
      <c r="O2499"/>
    </row>
    <row r="2500" spans="1:15" x14ac:dyDescent="0.3">
      <c r="A2500" t="s">
        <v>2524</v>
      </c>
      <c r="B2500" s="1">
        <v>45769</v>
      </c>
      <c r="C2500" t="s">
        <v>22</v>
      </c>
      <c r="D2500" t="s">
        <v>13</v>
      </c>
      <c r="E2500" s="2">
        <v>24.77</v>
      </c>
      <c r="F2500" s="3">
        <v>80.14</v>
      </c>
      <c r="G2500" s="4">
        <v>494.09</v>
      </c>
      <c r="H2500">
        <v>1</v>
      </c>
      <c r="I2500" s="4">
        <v>494.09</v>
      </c>
      <c r="J2500">
        <v>4.0999999999999996</v>
      </c>
      <c r="K2500" t="s">
        <v>18</v>
      </c>
      <c r="L2500" t="s">
        <v>26</v>
      </c>
      <c r="O2500"/>
    </row>
    <row r="2501" spans="1:15" x14ac:dyDescent="0.3">
      <c r="A2501" t="s">
        <v>2525</v>
      </c>
      <c r="B2501" s="1">
        <v>45838</v>
      </c>
      <c r="C2501" t="s">
        <v>13</v>
      </c>
      <c r="D2501" t="s">
        <v>25</v>
      </c>
      <c r="E2501" s="2">
        <v>25.55</v>
      </c>
      <c r="F2501" s="3">
        <v>72.290000000000006</v>
      </c>
      <c r="G2501" s="4">
        <v>264.74</v>
      </c>
      <c r="H2501">
        <v>1</v>
      </c>
      <c r="I2501" s="4">
        <v>264.74</v>
      </c>
      <c r="J2501">
        <v>4.3</v>
      </c>
      <c r="K2501" t="s">
        <v>36</v>
      </c>
      <c r="L2501" t="s">
        <v>26</v>
      </c>
      <c r="O2501"/>
    </row>
    <row r="2502" spans="1:15" x14ac:dyDescent="0.3">
      <c r="A2502" t="s">
        <v>2526</v>
      </c>
      <c r="B2502" s="1">
        <v>45932</v>
      </c>
      <c r="C2502" t="s">
        <v>13</v>
      </c>
      <c r="D2502" t="s">
        <v>22</v>
      </c>
      <c r="E2502" s="2">
        <v>28.85</v>
      </c>
      <c r="F2502" s="3">
        <v>73.63</v>
      </c>
      <c r="G2502" s="4">
        <v>359.62</v>
      </c>
      <c r="H2502">
        <v>1</v>
      </c>
      <c r="I2502" s="4">
        <v>359.62</v>
      </c>
      <c r="J2502">
        <v>4.2</v>
      </c>
      <c r="K2502" t="s">
        <v>30</v>
      </c>
      <c r="L2502" t="s">
        <v>28</v>
      </c>
      <c r="O2502"/>
    </row>
    <row r="2503" spans="1:15" x14ac:dyDescent="0.3">
      <c r="A2503" t="s">
        <v>2527</v>
      </c>
      <c r="B2503" s="1">
        <v>45987</v>
      </c>
      <c r="C2503" t="s">
        <v>22</v>
      </c>
      <c r="D2503" t="s">
        <v>25</v>
      </c>
      <c r="E2503" s="2">
        <v>22.65</v>
      </c>
      <c r="F2503" s="3">
        <v>70.67</v>
      </c>
      <c r="G2503" s="4">
        <v>369.51</v>
      </c>
      <c r="H2503">
        <v>1.5</v>
      </c>
      <c r="I2503" s="4">
        <v>554.26</v>
      </c>
      <c r="J2503">
        <v>3</v>
      </c>
      <c r="K2503" t="s">
        <v>18</v>
      </c>
      <c r="L2503" t="s">
        <v>28</v>
      </c>
      <c r="O2503"/>
    </row>
    <row r="2504" spans="1:15" x14ac:dyDescent="0.3">
      <c r="A2504" t="s">
        <v>2528</v>
      </c>
      <c r="B2504" s="1">
        <v>45701</v>
      </c>
      <c r="C2504" t="s">
        <v>25</v>
      </c>
      <c r="D2504" t="s">
        <v>14</v>
      </c>
      <c r="E2504" s="2">
        <v>8.41</v>
      </c>
      <c r="F2504" s="3">
        <v>31.7</v>
      </c>
      <c r="G2504" s="4">
        <v>93.57</v>
      </c>
      <c r="H2504">
        <v>1.5</v>
      </c>
      <c r="I2504" s="4">
        <v>140.35</v>
      </c>
      <c r="J2504">
        <v>3.6</v>
      </c>
      <c r="K2504" t="s">
        <v>30</v>
      </c>
      <c r="L2504" t="s">
        <v>16</v>
      </c>
      <c r="O2504"/>
    </row>
    <row r="2505" spans="1:15" x14ac:dyDescent="0.3">
      <c r="A2505" t="s">
        <v>2529</v>
      </c>
      <c r="B2505" s="1">
        <v>45786</v>
      </c>
      <c r="C2505" t="s">
        <v>25</v>
      </c>
      <c r="D2505" t="s">
        <v>25</v>
      </c>
      <c r="E2505" s="2">
        <v>14.79</v>
      </c>
      <c r="F2505" s="3">
        <v>38.44</v>
      </c>
      <c r="G2505" s="4">
        <v>195.71</v>
      </c>
      <c r="H2505">
        <v>1.5</v>
      </c>
      <c r="I2505" s="4">
        <v>293.56</v>
      </c>
      <c r="J2505">
        <v>4.3</v>
      </c>
      <c r="K2505" t="s">
        <v>15</v>
      </c>
      <c r="L2505" t="s">
        <v>16</v>
      </c>
      <c r="O2505"/>
    </row>
    <row r="2506" spans="1:15" x14ac:dyDescent="0.3">
      <c r="A2506" t="s">
        <v>2530</v>
      </c>
      <c r="B2506" s="1">
        <v>45769</v>
      </c>
      <c r="C2506" t="s">
        <v>21</v>
      </c>
      <c r="D2506" t="s">
        <v>25</v>
      </c>
      <c r="E2506" s="2">
        <v>11.61</v>
      </c>
      <c r="F2506" s="3">
        <v>40.090000000000003</v>
      </c>
      <c r="G2506" s="4">
        <v>169.05</v>
      </c>
      <c r="H2506">
        <v>2</v>
      </c>
      <c r="I2506" s="4">
        <v>338.1</v>
      </c>
      <c r="J2506">
        <v>3.9</v>
      </c>
      <c r="K2506" t="s">
        <v>15</v>
      </c>
      <c r="L2506" t="s">
        <v>16</v>
      </c>
      <c r="O2506"/>
    </row>
    <row r="2507" spans="1:15" x14ac:dyDescent="0.3">
      <c r="A2507" t="s">
        <v>2531</v>
      </c>
      <c r="B2507" s="1">
        <v>45922</v>
      </c>
      <c r="C2507" t="s">
        <v>25</v>
      </c>
      <c r="D2507" t="s">
        <v>25</v>
      </c>
      <c r="E2507" s="2">
        <v>28.65</v>
      </c>
      <c r="F2507" s="3">
        <v>105.41</v>
      </c>
      <c r="G2507" s="4">
        <v>408.55</v>
      </c>
      <c r="H2507">
        <v>1.5</v>
      </c>
      <c r="I2507" s="4">
        <v>612.83000000000004</v>
      </c>
      <c r="J2507">
        <v>3.3</v>
      </c>
      <c r="K2507" t="s">
        <v>15</v>
      </c>
      <c r="L2507" t="s">
        <v>28</v>
      </c>
      <c r="O2507"/>
    </row>
    <row r="2508" spans="1:15" x14ac:dyDescent="0.3">
      <c r="A2508" t="s">
        <v>2532</v>
      </c>
      <c r="B2508" s="1">
        <v>45746</v>
      </c>
      <c r="C2508" t="s">
        <v>13</v>
      </c>
      <c r="D2508" t="s">
        <v>25</v>
      </c>
      <c r="E2508" s="2">
        <v>17.260000000000002</v>
      </c>
      <c r="F2508" s="3">
        <v>68.400000000000006</v>
      </c>
      <c r="G2508" s="4">
        <v>262.06</v>
      </c>
      <c r="H2508">
        <v>1.2</v>
      </c>
      <c r="I2508" s="4">
        <v>314.47000000000003</v>
      </c>
      <c r="J2508">
        <v>4.8</v>
      </c>
      <c r="K2508" t="s">
        <v>30</v>
      </c>
      <c r="L2508" t="s">
        <v>26</v>
      </c>
      <c r="O2508"/>
    </row>
    <row r="2509" spans="1:15" x14ac:dyDescent="0.3">
      <c r="A2509" t="s">
        <v>2533</v>
      </c>
      <c r="B2509" s="1">
        <v>45724</v>
      </c>
      <c r="C2509" t="s">
        <v>22</v>
      </c>
      <c r="D2509" t="s">
        <v>22</v>
      </c>
      <c r="E2509" s="2">
        <v>17.8</v>
      </c>
      <c r="F2509" s="3">
        <v>37.1</v>
      </c>
      <c r="G2509" s="4">
        <v>282.44</v>
      </c>
      <c r="H2509">
        <v>1.5</v>
      </c>
      <c r="I2509" s="4">
        <v>423.66</v>
      </c>
      <c r="J2509">
        <v>3.8</v>
      </c>
      <c r="K2509" t="s">
        <v>30</v>
      </c>
      <c r="L2509" t="s">
        <v>19</v>
      </c>
      <c r="O2509"/>
    </row>
    <row r="2510" spans="1:15" x14ac:dyDescent="0.3">
      <c r="A2510" t="s">
        <v>2534</v>
      </c>
      <c r="B2510" s="1">
        <v>45780</v>
      </c>
      <c r="C2510" t="s">
        <v>13</v>
      </c>
      <c r="D2510" t="s">
        <v>25</v>
      </c>
      <c r="E2510" s="2">
        <v>24.8</v>
      </c>
      <c r="F2510" s="3">
        <v>63.28</v>
      </c>
      <c r="G2510" s="4">
        <v>445.54</v>
      </c>
      <c r="H2510">
        <v>1.5</v>
      </c>
      <c r="I2510" s="4">
        <v>668.31</v>
      </c>
      <c r="J2510">
        <v>3.3</v>
      </c>
      <c r="K2510" t="s">
        <v>36</v>
      </c>
      <c r="L2510" t="s">
        <v>16</v>
      </c>
      <c r="O2510"/>
    </row>
    <row r="2511" spans="1:15" x14ac:dyDescent="0.3">
      <c r="A2511" t="s">
        <v>2535</v>
      </c>
      <c r="B2511" s="1">
        <v>45809</v>
      </c>
      <c r="C2511" t="s">
        <v>21</v>
      </c>
      <c r="D2511" t="s">
        <v>13</v>
      </c>
      <c r="E2511" s="2">
        <v>29.24</v>
      </c>
      <c r="F2511" s="3">
        <v>79.63</v>
      </c>
      <c r="G2511" s="4">
        <v>468.24</v>
      </c>
      <c r="H2511">
        <v>1.5</v>
      </c>
      <c r="I2511" s="4">
        <v>702.36</v>
      </c>
      <c r="J2511">
        <v>3.2</v>
      </c>
      <c r="K2511" t="s">
        <v>36</v>
      </c>
      <c r="L2511" t="s">
        <v>19</v>
      </c>
      <c r="O2511"/>
    </row>
    <row r="2512" spans="1:15" x14ac:dyDescent="0.3">
      <c r="A2512" t="s">
        <v>2536</v>
      </c>
      <c r="B2512" s="1">
        <v>45685</v>
      </c>
      <c r="C2512" t="s">
        <v>14</v>
      </c>
      <c r="D2512" t="s">
        <v>14</v>
      </c>
      <c r="E2512" s="2">
        <v>15.69</v>
      </c>
      <c r="F2512" s="3">
        <v>39.81</v>
      </c>
      <c r="G2512" s="4">
        <v>239.99</v>
      </c>
      <c r="H2512">
        <v>1</v>
      </c>
      <c r="I2512" s="4">
        <v>239.99</v>
      </c>
      <c r="J2512">
        <v>3.4</v>
      </c>
      <c r="K2512" t="s">
        <v>15</v>
      </c>
      <c r="L2512" t="s">
        <v>28</v>
      </c>
      <c r="O2512"/>
    </row>
    <row r="2513" spans="1:15" x14ac:dyDescent="0.3">
      <c r="A2513" t="s">
        <v>2537</v>
      </c>
      <c r="B2513" s="1">
        <v>45885</v>
      </c>
      <c r="C2513" t="s">
        <v>13</v>
      </c>
      <c r="D2513" t="s">
        <v>22</v>
      </c>
      <c r="E2513" s="2">
        <v>8.8800000000000008</v>
      </c>
      <c r="F2513" s="3">
        <v>35.15</v>
      </c>
      <c r="G2513" s="4">
        <v>112.81</v>
      </c>
      <c r="H2513">
        <v>1.5</v>
      </c>
      <c r="I2513" s="4">
        <v>169.22</v>
      </c>
      <c r="J2513">
        <v>4.7</v>
      </c>
      <c r="K2513" t="s">
        <v>15</v>
      </c>
      <c r="L2513" t="s">
        <v>26</v>
      </c>
      <c r="O2513"/>
    </row>
    <row r="2514" spans="1:15" x14ac:dyDescent="0.3">
      <c r="A2514" t="s">
        <v>2538</v>
      </c>
      <c r="B2514" s="1">
        <v>45965</v>
      </c>
      <c r="C2514" t="s">
        <v>13</v>
      </c>
      <c r="D2514" t="s">
        <v>13</v>
      </c>
      <c r="E2514" s="2">
        <v>11.33</v>
      </c>
      <c r="F2514" s="3">
        <v>26.99</v>
      </c>
      <c r="G2514" s="4">
        <v>210.32</v>
      </c>
      <c r="H2514">
        <v>1.2</v>
      </c>
      <c r="I2514" s="4">
        <v>252.38</v>
      </c>
      <c r="J2514">
        <v>4.4000000000000004</v>
      </c>
      <c r="K2514" t="s">
        <v>15</v>
      </c>
      <c r="L2514" t="s">
        <v>16</v>
      </c>
      <c r="O2514"/>
    </row>
    <row r="2515" spans="1:15" x14ac:dyDescent="0.3">
      <c r="A2515" t="s">
        <v>2539</v>
      </c>
      <c r="B2515" s="1">
        <v>45833</v>
      </c>
      <c r="C2515" t="s">
        <v>25</v>
      </c>
      <c r="D2515" t="s">
        <v>25</v>
      </c>
      <c r="E2515" s="2">
        <v>24.88</v>
      </c>
      <c r="F2515" s="3">
        <v>67.59</v>
      </c>
      <c r="G2515" s="4">
        <v>273.44</v>
      </c>
      <c r="H2515">
        <v>2</v>
      </c>
      <c r="I2515" s="4">
        <v>546.88</v>
      </c>
      <c r="J2515">
        <v>4.4000000000000004</v>
      </c>
      <c r="K2515" t="s">
        <v>15</v>
      </c>
      <c r="L2515" t="s">
        <v>19</v>
      </c>
      <c r="O2515"/>
    </row>
    <row r="2516" spans="1:15" x14ac:dyDescent="0.3">
      <c r="A2516" t="s">
        <v>2540</v>
      </c>
      <c r="B2516" s="1">
        <v>45877</v>
      </c>
      <c r="C2516" t="s">
        <v>22</v>
      </c>
      <c r="D2516" t="s">
        <v>21</v>
      </c>
      <c r="E2516" s="2">
        <v>8.34</v>
      </c>
      <c r="F2516" s="3">
        <v>32.950000000000003</v>
      </c>
      <c r="G2516" s="4">
        <v>155.33000000000001</v>
      </c>
      <c r="H2516">
        <v>1.5</v>
      </c>
      <c r="I2516" s="4">
        <v>233</v>
      </c>
      <c r="J2516">
        <v>4.8</v>
      </c>
      <c r="K2516" t="s">
        <v>36</v>
      </c>
      <c r="L2516" t="s">
        <v>19</v>
      </c>
      <c r="O2516"/>
    </row>
    <row r="2517" spans="1:15" x14ac:dyDescent="0.3">
      <c r="A2517" t="s">
        <v>2541</v>
      </c>
      <c r="B2517" s="1">
        <v>45969</v>
      </c>
      <c r="C2517" t="s">
        <v>21</v>
      </c>
      <c r="D2517" t="s">
        <v>22</v>
      </c>
      <c r="E2517" s="2">
        <v>22.9</v>
      </c>
      <c r="F2517" s="3">
        <v>55.63</v>
      </c>
      <c r="G2517" s="4">
        <v>452.82</v>
      </c>
      <c r="H2517">
        <v>1</v>
      </c>
      <c r="I2517" s="4">
        <v>452.82</v>
      </c>
      <c r="J2517">
        <v>3.9</v>
      </c>
      <c r="K2517" t="s">
        <v>15</v>
      </c>
      <c r="L2517" t="s">
        <v>19</v>
      </c>
      <c r="O2517"/>
    </row>
    <row r="2518" spans="1:15" x14ac:dyDescent="0.3">
      <c r="A2518" t="s">
        <v>2542</v>
      </c>
      <c r="B2518" s="1">
        <v>45725</v>
      </c>
      <c r="C2518" t="s">
        <v>13</v>
      </c>
      <c r="D2518" t="s">
        <v>25</v>
      </c>
      <c r="E2518" s="2">
        <v>13.43</v>
      </c>
      <c r="F2518" s="3">
        <v>49</v>
      </c>
      <c r="G2518" s="4">
        <v>237.2</v>
      </c>
      <c r="H2518">
        <v>1</v>
      </c>
      <c r="I2518" s="4">
        <v>237.2</v>
      </c>
      <c r="J2518">
        <v>4.4000000000000004</v>
      </c>
      <c r="K2518" t="s">
        <v>36</v>
      </c>
      <c r="L2518" t="s">
        <v>28</v>
      </c>
      <c r="O2518"/>
    </row>
    <row r="2519" spans="1:15" x14ac:dyDescent="0.3">
      <c r="A2519" t="s">
        <v>2543</v>
      </c>
      <c r="B2519" s="1">
        <v>45827</v>
      </c>
      <c r="C2519" t="s">
        <v>21</v>
      </c>
      <c r="D2519" t="s">
        <v>22</v>
      </c>
      <c r="E2519" s="2">
        <v>25.23</v>
      </c>
      <c r="F2519" s="3">
        <v>51.38</v>
      </c>
      <c r="G2519" s="4">
        <v>454.69</v>
      </c>
      <c r="H2519">
        <v>1</v>
      </c>
      <c r="I2519" s="4">
        <v>454.69</v>
      </c>
      <c r="J2519">
        <v>3.3</v>
      </c>
      <c r="K2519" t="s">
        <v>15</v>
      </c>
      <c r="L2519" t="s">
        <v>28</v>
      </c>
      <c r="O2519"/>
    </row>
    <row r="2520" spans="1:15" x14ac:dyDescent="0.3">
      <c r="A2520" t="s">
        <v>2544</v>
      </c>
      <c r="B2520" s="1">
        <v>45978</v>
      </c>
      <c r="C2520" t="s">
        <v>22</v>
      </c>
      <c r="D2520" t="s">
        <v>22</v>
      </c>
      <c r="E2520" s="2">
        <v>2.3199999999999998</v>
      </c>
      <c r="F2520" s="3">
        <v>6.24</v>
      </c>
      <c r="G2520" s="4">
        <v>25.24</v>
      </c>
      <c r="H2520">
        <v>1</v>
      </c>
      <c r="I2520" s="4">
        <v>25.24</v>
      </c>
      <c r="J2520">
        <v>4.2</v>
      </c>
      <c r="K2520" t="s">
        <v>15</v>
      </c>
      <c r="L2520" t="s">
        <v>28</v>
      </c>
      <c r="O2520"/>
    </row>
    <row r="2521" spans="1:15" x14ac:dyDescent="0.3">
      <c r="A2521" t="s">
        <v>2545</v>
      </c>
      <c r="B2521" s="1">
        <v>45926</v>
      </c>
      <c r="C2521" t="s">
        <v>25</v>
      </c>
      <c r="D2521" t="s">
        <v>14</v>
      </c>
      <c r="E2521" s="2">
        <v>17.440000000000001</v>
      </c>
      <c r="F2521" s="3">
        <v>41.73</v>
      </c>
      <c r="G2521" s="4">
        <v>288.60000000000002</v>
      </c>
      <c r="H2521">
        <v>1.5</v>
      </c>
      <c r="I2521" s="4">
        <v>432.9</v>
      </c>
      <c r="J2521">
        <v>3.4</v>
      </c>
      <c r="K2521" t="s">
        <v>18</v>
      </c>
      <c r="L2521" t="s">
        <v>28</v>
      </c>
      <c r="O2521"/>
    </row>
    <row r="2522" spans="1:15" x14ac:dyDescent="0.3">
      <c r="A2522" t="s">
        <v>2546</v>
      </c>
      <c r="B2522" s="1">
        <v>45976</v>
      </c>
      <c r="C2522" t="s">
        <v>22</v>
      </c>
      <c r="D2522" t="s">
        <v>22</v>
      </c>
      <c r="E2522" s="2">
        <v>5.26</v>
      </c>
      <c r="F2522" s="3">
        <v>17.8</v>
      </c>
      <c r="G2522" s="4">
        <v>100.54</v>
      </c>
      <c r="H2522">
        <v>1.5</v>
      </c>
      <c r="I2522" s="4">
        <v>150.81</v>
      </c>
      <c r="J2522">
        <v>3.2</v>
      </c>
      <c r="K2522" t="s">
        <v>36</v>
      </c>
      <c r="L2522" t="s">
        <v>28</v>
      </c>
      <c r="O2522"/>
    </row>
    <row r="2523" spans="1:15" x14ac:dyDescent="0.3">
      <c r="A2523" t="s">
        <v>2547</v>
      </c>
      <c r="B2523" s="1">
        <v>45888</v>
      </c>
      <c r="C2523" t="s">
        <v>13</v>
      </c>
      <c r="D2523" t="s">
        <v>25</v>
      </c>
      <c r="E2523" s="2">
        <v>5.95</v>
      </c>
      <c r="F2523" s="3">
        <v>22.21</v>
      </c>
      <c r="G2523" s="4">
        <v>82.96</v>
      </c>
      <c r="H2523">
        <v>2</v>
      </c>
      <c r="I2523" s="4">
        <v>165.92</v>
      </c>
      <c r="J2523">
        <v>3.4</v>
      </c>
      <c r="K2523" t="s">
        <v>15</v>
      </c>
      <c r="L2523" t="s">
        <v>26</v>
      </c>
      <c r="O2523"/>
    </row>
    <row r="2524" spans="1:15" x14ac:dyDescent="0.3">
      <c r="A2524" t="s">
        <v>2548</v>
      </c>
      <c r="B2524" s="1">
        <v>45911</v>
      </c>
      <c r="C2524" t="s">
        <v>14</v>
      </c>
      <c r="D2524" t="s">
        <v>13</v>
      </c>
      <c r="E2524" s="2">
        <v>11.92</v>
      </c>
      <c r="F2524" s="3">
        <v>37.520000000000003</v>
      </c>
      <c r="G2524" s="4">
        <v>122.44</v>
      </c>
      <c r="H2524">
        <v>1</v>
      </c>
      <c r="I2524" s="4">
        <v>122.44</v>
      </c>
      <c r="J2524">
        <v>4.3</v>
      </c>
      <c r="K2524" t="s">
        <v>18</v>
      </c>
      <c r="L2524" t="s">
        <v>28</v>
      </c>
      <c r="O2524"/>
    </row>
    <row r="2525" spans="1:15" x14ac:dyDescent="0.3">
      <c r="A2525" t="s">
        <v>2549</v>
      </c>
      <c r="B2525" s="1">
        <v>45903</v>
      </c>
      <c r="C2525" t="s">
        <v>13</v>
      </c>
      <c r="D2525" t="s">
        <v>22</v>
      </c>
      <c r="E2525" s="2">
        <v>20.66</v>
      </c>
      <c r="F2525" s="3">
        <v>55.92</v>
      </c>
      <c r="G2525" s="4">
        <v>373.66</v>
      </c>
      <c r="H2525">
        <v>1.5</v>
      </c>
      <c r="I2525" s="4">
        <v>560.49</v>
      </c>
      <c r="J2525">
        <v>3.1</v>
      </c>
      <c r="K2525" t="s">
        <v>36</v>
      </c>
      <c r="L2525" t="s">
        <v>26</v>
      </c>
      <c r="O2525"/>
    </row>
    <row r="2526" spans="1:15" x14ac:dyDescent="0.3">
      <c r="A2526" t="s">
        <v>2550</v>
      </c>
      <c r="B2526" s="1">
        <v>45760</v>
      </c>
      <c r="C2526" t="s">
        <v>13</v>
      </c>
      <c r="D2526" t="s">
        <v>22</v>
      </c>
      <c r="E2526" s="2">
        <v>14.7</v>
      </c>
      <c r="F2526" s="3">
        <v>39.42</v>
      </c>
      <c r="G2526" s="4">
        <v>287.33999999999997</v>
      </c>
      <c r="H2526">
        <v>1.5</v>
      </c>
      <c r="I2526" s="4">
        <v>431.01</v>
      </c>
      <c r="J2526">
        <v>3.2</v>
      </c>
      <c r="K2526" t="s">
        <v>36</v>
      </c>
      <c r="L2526" t="s">
        <v>19</v>
      </c>
      <c r="O2526"/>
    </row>
    <row r="2527" spans="1:15" x14ac:dyDescent="0.3">
      <c r="A2527" t="s">
        <v>2551</v>
      </c>
      <c r="B2527" s="1">
        <v>45907</v>
      </c>
      <c r="C2527" t="s">
        <v>25</v>
      </c>
      <c r="D2527" t="s">
        <v>14</v>
      </c>
      <c r="E2527" s="2">
        <v>18.71</v>
      </c>
      <c r="F2527" s="3">
        <v>64.209999999999994</v>
      </c>
      <c r="G2527" s="4">
        <v>329.66</v>
      </c>
      <c r="H2527">
        <v>1.5</v>
      </c>
      <c r="I2527" s="4">
        <v>494.49</v>
      </c>
      <c r="J2527">
        <v>4.5999999999999996</v>
      </c>
      <c r="K2527" t="s">
        <v>15</v>
      </c>
      <c r="L2527" t="s">
        <v>26</v>
      </c>
      <c r="O2527"/>
    </row>
    <row r="2528" spans="1:15" x14ac:dyDescent="0.3">
      <c r="A2528" t="s">
        <v>2552</v>
      </c>
      <c r="B2528" s="1">
        <v>45829</v>
      </c>
      <c r="C2528" t="s">
        <v>21</v>
      </c>
      <c r="D2528" t="s">
        <v>22</v>
      </c>
      <c r="E2528" s="2">
        <v>1.05</v>
      </c>
      <c r="F2528" s="3">
        <v>2.84</v>
      </c>
      <c r="G2528" s="4">
        <v>13.04</v>
      </c>
      <c r="H2528">
        <v>1.2</v>
      </c>
      <c r="I2528" s="4">
        <v>15.65</v>
      </c>
      <c r="J2528">
        <v>3.9</v>
      </c>
      <c r="K2528" t="s">
        <v>30</v>
      </c>
      <c r="L2528" t="s">
        <v>16</v>
      </c>
      <c r="O2528"/>
    </row>
    <row r="2529" spans="1:15" x14ac:dyDescent="0.3">
      <c r="A2529" t="s">
        <v>2553</v>
      </c>
      <c r="B2529" s="1">
        <v>45905</v>
      </c>
      <c r="C2529" t="s">
        <v>22</v>
      </c>
      <c r="D2529" t="s">
        <v>22</v>
      </c>
      <c r="E2529" s="2">
        <v>8.66</v>
      </c>
      <c r="F2529" s="3">
        <v>28.45</v>
      </c>
      <c r="G2529" s="4">
        <v>147.51</v>
      </c>
      <c r="H2529">
        <v>1.2</v>
      </c>
      <c r="I2529" s="4">
        <v>177.01</v>
      </c>
      <c r="J2529">
        <v>4.2</v>
      </c>
      <c r="K2529" t="s">
        <v>30</v>
      </c>
      <c r="L2529" t="s">
        <v>28</v>
      </c>
      <c r="O2529"/>
    </row>
    <row r="2530" spans="1:15" x14ac:dyDescent="0.3">
      <c r="A2530" t="s">
        <v>2554</v>
      </c>
      <c r="B2530" s="1">
        <v>45664</v>
      </c>
      <c r="C2530" t="s">
        <v>13</v>
      </c>
      <c r="D2530" t="s">
        <v>14</v>
      </c>
      <c r="E2530" s="2">
        <v>6.96</v>
      </c>
      <c r="F2530" s="3">
        <v>21.5</v>
      </c>
      <c r="G2530" s="4">
        <v>125.58</v>
      </c>
      <c r="H2530">
        <v>1.5</v>
      </c>
      <c r="I2530" s="4">
        <v>188.37</v>
      </c>
      <c r="J2530">
        <v>3.8</v>
      </c>
      <c r="K2530" t="s">
        <v>36</v>
      </c>
      <c r="L2530" t="s">
        <v>26</v>
      </c>
      <c r="O2530"/>
    </row>
    <row r="2531" spans="1:15" x14ac:dyDescent="0.3">
      <c r="A2531" t="s">
        <v>2555</v>
      </c>
      <c r="B2531" s="1">
        <v>45944</v>
      </c>
      <c r="C2531" t="s">
        <v>22</v>
      </c>
      <c r="D2531" t="s">
        <v>25</v>
      </c>
      <c r="E2531" s="2">
        <v>2.7</v>
      </c>
      <c r="F2531" s="3">
        <v>8.58</v>
      </c>
      <c r="G2531" s="4">
        <v>42.17</v>
      </c>
      <c r="H2531">
        <v>1.5</v>
      </c>
      <c r="I2531" s="4">
        <v>63.26</v>
      </c>
      <c r="J2531">
        <v>3.9</v>
      </c>
      <c r="K2531" t="s">
        <v>33</v>
      </c>
      <c r="L2531" t="s">
        <v>26</v>
      </c>
      <c r="O2531"/>
    </row>
    <row r="2532" spans="1:15" x14ac:dyDescent="0.3">
      <c r="A2532" t="s">
        <v>2556</v>
      </c>
      <c r="B2532" s="1">
        <v>45772</v>
      </c>
      <c r="C2532" t="s">
        <v>21</v>
      </c>
      <c r="D2532" t="s">
        <v>21</v>
      </c>
      <c r="E2532" s="2">
        <v>22.05</v>
      </c>
      <c r="F2532" s="3">
        <v>78.95</v>
      </c>
      <c r="G2532" s="4">
        <v>284.18</v>
      </c>
      <c r="H2532">
        <v>1.2</v>
      </c>
      <c r="I2532" s="4">
        <v>341.02</v>
      </c>
      <c r="J2532">
        <v>4.5</v>
      </c>
      <c r="K2532" t="s">
        <v>36</v>
      </c>
      <c r="L2532" t="s">
        <v>16</v>
      </c>
      <c r="O2532"/>
    </row>
    <row r="2533" spans="1:15" x14ac:dyDescent="0.3">
      <c r="A2533" t="s">
        <v>2557</v>
      </c>
      <c r="B2533" s="1">
        <v>45932</v>
      </c>
      <c r="C2533" t="s">
        <v>14</v>
      </c>
      <c r="D2533" t="s">
        <v>14</v>
      </c>
      <c r="E2533" s="2">
        <v>17.05</v>
      </c>
      <c r="F2533" s="3">
        <v>66.87</v>
      </c>
      <c r="G2533" s="4">
        <v>202.36</v>
      </c>
      <c r="H2533">
        <v>1.2</v>
      </c>
      <c r="I2533" s="4">
        <v>242.83</v>
      </c>
      <c r="J2533">
        <v>3.1</v>
      </c>
      <c r="K2533" t="s">
        <v>18</v>
      </c>
      <c r="L2533" t="s">
        <v>19</v>
      </c>
      <c r="O2533"/>
    </row>
    <row r="2534" spans="1:15" x14ac:dyDescent="0.3">
      <c r="A2534" t="s">
        <v>2558</v>
      </c>
      <c r="B2534" s="1">
        <v>45898</v>
      </c>
      <c r="C2534" t="s">
        <v>13</v>
      </c>
      <c r="D2534" t="s">
        <v>21</v>
      </c>
      <c r="E2534" s="2">
        <v>26.17</v>
      </c>
      <c r="F2534" s="3">
        <v>100.98</v>
      </c>
      <c r="G2534" s="4">
        <v>349.64</v>
      </c>
      <c r="H2534">
        <v>1.2</v>
      </c>
      <c r="I2534" s="4">
        <v>419.57</v>
      </c>
      <c r="J2534">
        <v>3.5</v>
      </c>
      <c r="K2534" t="s">
        <v>30</v>
      </c>
      <c r="L2534" t="s">
        <v>19</v>
      </c>
      <c r="O2534"/>
    </row>
    <row r="2535" spans="1:15" x14ac:dyDescent="0.3">
      <c r="A2535" t="s">
        <v>2559</v>
      </c>
      <c r="B2535" s="1">
        <v>45916</v>
      </c>
      <c r="C2535" t="s">
        <v>14</v>
      </c>
      <c r="D2535" t="s">
        <v>14</v>
      </c>
      <c r="E2535" s="2">
        <v>12.44</v>
      </c>
      <c r="F2535" s="3">
        <v>49.42</v>
      </c>
      <c r="G2535" s="4">
        <v>178.02</v>
      </c>
      <c r="H2535">
        <v>1.5</v>
      </c>
      <c r="I2535" s="4">
        <v>267.02999999999997</v>
      </c>
      <c r="J2535">
        <v>3.7</v>
      </c>
      <c r="K2535" t="s">
        <v>18</v>
      </c>
      <c r="L2535" t="s">
        <v>16</v>
      </c>
      <c r="O2535"/>
    </row>
    <row r="2536" spans="1:15" x14ac:dyDescent="0.3">
      <c r="A2536" t="s">
        <v>2560</v>
      </c>
      <c r="B2536" s="1">
        <v>45829</v>
      </c>
      <c r="C2536" t="s">
        <v>25</v>
      </c>
      <c r="D2536" t="s">
        <v>22</v>
      </c>
      <c r="E2536" s="2">
        <v>24.82</v>
      </c>
      <c r="F2536" s="3">
        <v>53.66</v>
      </c>
      <c r="G2536" s="4">
        <v>326.76</v>
      </c>
      <c r="H2536">
        <v>1.5</v>
      </c>
      <c r="I2536" s="4">
        <v>490.14</v>
      </c>
      <c r="J2536">
        <v>4</v>
      </c>
      <c r="K2536" t="s">
        <v>18</v>
      </c>
      <c r="L2536" t="s">
        <v>16</v>
      </c>
      <c r="O2536"/>
    </row>
    <row r="2537" spans="1:15" x14ac:dyDescent="0.3">
      <c r="A2537" t="s">
        <v>2561</v>
      </c>
      <c r="B2537" s="1">
        <v>45788</v>
      </c>
      <c r="C2537" t="s">
        <v>21</v>
      </c>
      <c r="D2537" t="s">
        <v>25</v>
      </c>
      <c r="E2537" s="2">
        <v>22.54</v>
      </c>
      <c r="F2537" s="3">
        <v>61.15</v>
      </c>
      <c r="G2537" s="4">
        <v>356.53</v>
      </c>
      <c r="H2537">
        <v>2</v>
      </c>
      <c r="I2537" s="4">
        <v>713.06</v>
      </c>
      <c r="J2537">
        <v>4.0999999999999996</v>
      </c>
      <c r="K2537" t="s">
        <v>15</v>
      </c>
      <c r="L2537" t="s">
        <v>16</v>
      </c>
      <c r="O2537"/>
    </row>
    <row r="2538" spans="1:15" x14ac:dyDescent="0.3">
      <c r="A2538" t="s">
        <v>2562</v>
      </c>
      <c r="B2538" s="1">
        <v>45914</v>
      </c>
      <c r="C2538" t="s">
        <v>22</v>
      </c>
      <c r="D2538" t="s">
        <v>25</v>
      </c>
      <c r="E2538" s="2">
        <v>15.53</v>
      </c>
      <c r="F2538" s="3">
        <v>38.26</v>
      </c>
      <c r="G2538" s="4">
        <v>239.45</v>
      </c>
      <c r="H2538">
        <v>1.2</v>
      </c>
      <c r="I2538" s="4">
        <v>287.33999999999997</v>
      </c>
      <c r="J2538">
        <v>4.7</v>
      </c>
      <c r="K2538" t="s">
        <v>33</v>
      </c>
      <c r="L2538" t="s">
        <v>28</v>
      </c>
      <c r="O2538"/>
    </row>
    <row r="2539" spans="1:15" x14ac:dyDescent="0.3">
      <c r="A2539" t="s">
        <v>2563</v>
      </c>
      <c r="B2539" s="1">
        <v>45712</v>
      </c>
      <c r="C2539" t="s">
        <v>22</v>
      </c>
      <c r="D2539" t="s">
        <v>22</v>
      </c>
      <c r="E2539" s="2">
        <v>27.23</v>
      </c>
      <c r="F2539" s="3">
        <v>59.12</v>
      </c>
      <c r="G2539" s="4">
        <v>331.28</v>
      </c>
      <c r="H2539">
        <v>1</v>
      </c>
      <c r="I2539" s="4">
        <v>331.28</v>
      </c>
      <c r="J2539">
        <v>3.4</v>
      </c>
      <c r="K2539" t="s">
        <v>15</v>
      </c>
      <c r="L2539" t="s">
        <v>28</v>
      </c>
      <c r="O2539"/>
    </row>
    <row r="2540" spans="1:15" x14ac:dyDescent="0.3">
      <c r="A2540" t="s">
        <v>2564</v>
      </c>
      <c r="B2540" s="1">
        <v>45925</v>
      </c>
      <c r="C2540" t="s">
        <v>13</v>
      </c>
      <c r="D2540" t="s">
        <v>22</v>
      </c>
      <c r="E2540" s="2">
        <v>3.28</v>
      </c>
      <c r="F2540" s="3">
        <v>9.75</v>
      </c>
      <c r="G2540" s="4">
        <v>39.68</v>
      </c>
      <c r="H2540">
        <v>1</v>
      </c>
      <c r="I2540" s="4">
        <v>39.68</v>
      </c>
      <c r="J2540">
        <v>4.3</v>
      </c>
      <c r="K2540" t="s">
        <v>30</v>
      </c>
      <c r="L2540" t="s">
        <v>19</v>
      </c>
      <c r="O2540"/>
    </row>
    <row r="2541" spans="1:15" x14ac:dyDescent="0.3">
      <c r="A2541" t="s">
        <v>2565</v>
      </c>
      <c r="B2541" s="1">
        <v>45928</v>
      </c>
      <c r="C2541" t="s">
        <v>25</v>
      </c>
      <c r="D2541" t="s">
        <v>13</v>
      </c>
      <c r="E2541" s="2">
        <v>11.45</v>
      </c>
      <c r="F2541" s="3">
        <v>32.68</v>
      </c>
      <c r="G2541" s="4">
        <v>226.93</v>
      </c>
      <c r="H2541">
        <v>1.2</v>
      </c>
      <c r="I2541" s="4">
        <v>272.32</v>
      </c>
      <c r="J2541">
        <v>4.7</v>
      </c>
      <c r="K2541" t="s">
        <v>18</v>
      </c>
      <c r="L2541" t="s">
        <v>16</v>
      </c>
      <c r="O2541"/>
    </row>
    <row r="2542" spans="1:15" x14ac:dyDescent="0.3">
      <c r="A2542" t="s">
        <v>2566</v>
      </c>
      <c r="B2542" s="1">
        <v>45858</v>
      </c>
      <c r="C2542" t="s">
        <v>22</v>
      </c>
      <c r="D2542" t="s">
        <v>22</v>
      </c>
      <c r="E2542" s="2">
        <v>13.72</v>
      </c>
      <c r="F2542" s="3">
        <v>33.86</v>
      </c>
      <c r="G2542" s="4">
        <v>193.71</v>
      </c>
      <c r="H2542">
        <v>1.5</v>
      </c>
      <c r="I2542" s="4">
        <v>290.56</v>
      </c>
      <c r="J2542">
        <v>3.5</v>
      </c>
      <c r="K2542" t="s">
        <v>36</v>
      </c>
      <c r="L2542" t="s">
        <v>26</v>
      </c>
      <c r="O2542"/>
    </row>
    <row r="2543" spans="1:15" x14ac:dyDescent="0.3">
      <c r="A2543" t="s">
        <v>2567</v>
      </c>
      <c r="B2543" s="1">
        <v>45808</v>
      </c>
      <c r="C2543" t="s">
        <v>21</v>
      </c>
      <c r="D2543" t="s">
        <v>13</v>
      </c>
      <c r="E2543" s="2">
        <v>25.65</v>
      </c>
      <c r="F2543" s="3">
        <v>82.24</v>
      </c>
      <c r="G2543" s="4">
        <v>293.87</v>
      </c>
      <c r="H2543">
        <v>1.2</v>
      </c>
      <c r="I2543" s="4">
        <v>352.64</v>
      </c>
      <c r="J2543">
        <v>3</v>
      </c>
      <c r="K2543" t="s">
        <v>15</v>
      </c>
      <c r="L2543" t="s">
        <v>16</v>
      </c>
      <c r="O2543"/>
    </row>
    <row r="2544" spans="1:15" x14ac:dyDescent="0.3">
      <c r="A2544" t="s">
        <v>2568</v>
      </c>
      <c r="B2544" s="1">
        <v>45827</v>
      </c>
      <c r="C2544" t="s">
        <v>21</v>
      </c>
      <c r="D2544" t="s">
        <v>22</v>
      </c>
      <c r="E2544" s="2">
        <v>13.56</v>
      </c>
      <c r="F2544" s="3">
        <v>44.66</v>
      </c>
      <c r="G2544" s="4">
        <v>172.47</v>
      </c>
      <c r="H2544">
        <v>2</v>
      </c>
      <c r="I2544" s="4">
        <v>344.94</v>
      </c>
      <c r="J2544">
        <v>5</v>
      </c>
      <c r="K2544" t="s">
        <v>33</v>
      </c>
      <c r="L2544" t="s">
        <v>28</v>
      </c>
      <c r="O2544"/>
    </row>
    <row r="2545" spans="1:15" x14ac:dyDescent="0.3">
      <c r="A2545" t="s">
        <v>2569</v>
      </c>
      <c r="B2545" s="1">
        <v>45880</v>
      </c>
      <c r="C2545" t="s">
        <v>22</v>
      </c>
      <c r="D2545" t="s">
        <v>14</v>
      </c>
      <c r="E2545" s="2">
        <v>28.2</v>
      </c>
      <c r="F2545" s="3">
        <v>86.25</v>
      </c>
      <c r="G2545" s="4">
        <v>284.81</v>
      </c>
      <c r="H2545">
        <v>1.2</v>
      </c>
      <c r="I2545" s="4">
        <v>341.77</v>
      </c>
      <c r="J2545">
        <v>4.4000000000000004</v>
      </c>
      <c r="K2545" t="s">
        <v>33</v>
      </c>
      <c r="L2545" t="s">
        <v>16</v>
      </c>
      <c r="O2545"/>
    </row>
    <row r="2546" spans="1:15" x14ac:dyDescent="0.3">
      <c r="A2546" t="s">
        <v>2570</v>
      </c>
      <c r="B2546" s="1">
        <v>46017</v>
      </c>
      <c r="C2546" t="s">
        <v>25</v>
      </c>
      <c r="D2546" t="s">
        <v>22</v>
      </c>
      <c r="E2546" s="2">
        <v>10.84</v>
      </c>
      <c r="F2546" s="3">
        <v>31.14</v>
      </c>
      <c r="G2546" s="4">
        <v>176.98</v>
      </c>
      <c r="H2546">
        <v>2</v>
      </c>
      <c r="I2546" s="4">
        <v>353.96</v>
      </c>
      <c r="J2546">
        <v>4.2</v>
      </c>
      <c r="K2546" t="s">
        <v>18</v>
      </c>
      <c r="L2546" t="s">
        <v>26</v>
      </c>
      <c r="O2546"/>
    </row>
    <row r="2547" spans="1:15" x14ac:dyDescent="0.3">
      <c r="A2547" t="s">
        <v>2571</v>
      </c>
      <c r="B2547" s="1">
        <v>46004</v>
      </c>
      <c r="C2547" t="s">
        <v>22</v>
      </c>
      <c r="D2547" t="s">
        <v>22</v>
      </c>
      <c r="E2547" s="2">
        <v>15.72</v>
      </c>
      <c r="F2547" s="3">
        <v>41.36</v>
      </c>
      <c r="G2547" s="4">
        <v>313</v>
      </c>
      <c r="H2547">
        <v>1.5</v>
      </c>
      <c r="I2547" s="4">
        <v>469.5</v>
      </c>
      <c r="J2547">
        <v>3.6</v>
      </c>
      <c r="K2547" t="s">
        <v>30</v>
      </c>
      <c r="L2547" t="s">
        <v>26</v>
      </c>
      <c r="O2547"/>
    </row>
    <row r="2548" spans="1:15" x14ac:dyDescent="0.3">
      <c r="A2548" t="s">
        <v>2572</v>
      </c>
      <c r="B2548" s="1">
        <v>45951</v>
      </c>
      <c r="C2548" t="s">
        <v>25</v>
      </c>
      <c r="D2548" t="s">
        <v>25</v>
      </c>
      <c r="E2548" s="2">
        <v>27</v>
      </c>
      <c r="F2548" s="3">
        <v>99.14</v>
      </c>
      <c r="G2548" s="4">
        <v>282.66000000000003</v>
      </c>
      <c r="H2548">
        <v>1.2</v>
      </c>
      <c r="I2548" s="4">
        <v>339.19</v>
      </c>
      <c r="J2548">
        <v>3.1</v>
      </c>
      <c r="K2548" t="s">
        <v>36</v>
      </c>
      <c r="L2548" t="s">
        <v>16</v>
      </c>
      <c r="O2548"/>
    </row>
    <row r="2549" spans="1:15" x14ac:dyDescent="0.3">
      <c r="A2549" t="s">
        <v>2573</v>
      </c>
      <c r="B2549" s="1">
        <v>45922</v>
      </c>
      <c r="C2549" t="s">
        <v>14</v>
      </c>
      <c r="D2549" t="s">
        <v>21</v>
      </c>
      <c r="E2549" s="2">
        <v>22.66</v>
      </c>
      <c r="F2549" s="3">
        <v>60.07</v>
      </c>
      <c r="G2549" s="4">
        <v>378.02</v>
      </c>
      <c r="H2549">
        <v>1</v>
      </c>
      <c r="I2549" s="4">
        <v>378.02</v>
      </c>
      <c r="J2549">
        <v>3.6</v>
      </c>
      <c r="K2549" t="s">
        <v>30</v>
      </c>
      <c r="L2549" t="s">
        <v>19</v>
      </c>
      <c r="O2549"/>
    </row>
    <row r="2550" spans="1:15" x14ac:dyDescent="0.3">
      <c r="A2550" t="s">
        <v>2574</v>
      </c>
      <c r="B2550" s="1">
        <v>45759</v>
      </c>
      <c r="C2550" t="s">
        <v>25</v>
      </c>
      <c r="D2550" t="s">
        <v>21</v>
      </c>
      <c r="E2550" s="2">
        <v>28.8</v>
      </c>
      <c r="F2550" s="3">
        <v>58.83</v>
      </c>
      <c r="G2550" s="4">
        <v>500.73</v>
      </c>
      <c r="H2550">
        <v>2</v>
      </c>
      <c r="I2550" s="4">
        <v>1001.46</v>
      </c>
      <c r="J2550">
        <v>5</v>
      </c>
      <c r="K2550" t="s">
        <v>15</v>
      </c>
      <c r="L2550" t="s">
        <v>19</v>
      </c>
      <c r="O2550"/>
    </row>
    <row r="2551" spans="1:15" x14ac:dyDescent="0.3">
      <c r="A2551" t="s">
        <v>2575</v>
      </c>
      <c r="B2551" s="1">
        <v>46007</v>
      </c>
      <c r="C2551" t="s">
        <v>22</v>
      </c>
      <c r="D2551" t="s">
        <v>22</v>
      </c>
      <c r="E2551" s="2">
        <v>5.87</v>
      </c>
      <c r="F2551" s="3">
        <v>15.58</v>
      </c>
      <c r="G2551" s="4">
        <v>68.819999999999993</v>
      </c>
      <c r="H2551">
        <v>2</v>
      </c>
      <c r="I2551" s="4">
        <v>137.63999999999999</v>
      </c>
      <c r="J2551">
        <v>3.8</v>
      </c>
      <c r="K2551" t="s">
        <v>15</v>
      </c>
      <c r="L2551" t="s">
        <v>28</v>
      </c>
      <c r="O2551"/>
    </row>
    <row r="2552" spans="1:15" x14ac:dyDescent="0.3">
      <c r="A2552" t="s">
        <v>2576</v>
      </c>
      <c r="B2552" s="1">
        <v>45936</v>
      </c>
      <c r="C2552" t="s">
        <v>21</v>
      </c>
      <c r="D2552" t="s">
        <v>22</v>
      </c>
      <c r="E2552" s="2">
        <v>28.04</v>
      </c>
      <c r="F2552" s="3">
        <v>89.8</v>
      </c>
      <c r="G2552" s="4">
        <v>320.62</v>
      </c>
      <c r="H2552">
        <v>1.2</v>
      </c>
      <c r="I2552" s="4">
        <v>384.74</v>
      </c>
      <c r="J2552">
        <v>4.7</v>
      </c>
      <c r="K2552" t="s">
        <v>30</v>
      </c>
      <c r="L2552" t="s">
        <v>26</v>
      </c>
      <c r="O2552"/>
    </row>
    <row r="2553" spans="1:15" x14ac:dyDescent="0.3">
      <c r="A2553" t="s">
        <v>2577</v>
      </c>
      <c r="B2553" s="1">
        <v>45778</v>
      </c>
      <c r="C2553" t="s">
        <v>14</v>
      </c>
      <c r="D2553" t="s">
        <v>13</v>
      </c>
      <c r="E2553" s="2">
        <v>19.010000000000002</v>
      </c>
      <c r="F2553" s="3">
        <v>46.97</v>
      </c>
      <c r="G2553" s="4">
        <v>296.08</v>
      </c>
      <c r="H2553">
        <v>1.2</v>
      </c>
      <c r="I2553" s="4">
        <v>355.3</v>
      </c>
      <c r="J2553">
        <v>4.4000000000000004</v>
      </c>
      <c r="K2553" t="s">
        <v>30</v>
      </c>
      <c r="L2553" t="s">
        <v>19</v>
      </c>
      <c r="O2553"/>
    </row>
    <row r="2554" spans="1:15" x14ac:dyDescent="0.3">
      <c r="A2554" t="s">
        <v>2578</v>
      </c>
      <c r="B2554" s="1">
        <v>45937</v>
      </c>
      <c r="C2554" t="s">
        <v>25</v>
      </c>
      <c r="D2554" t="s">
        <v>13</v>
      </c>
      <c r="E2554" s="2">
        <v>17.38</v>
      </c>
      <c r="F2554" s="3">
        <v>60.74</v>
      </c>
      <c r="G2554" s="4">
        <v>251.08</v>
      </c>
      <c r="H2554">
        <v>1.5</v>
      </c>
      <c r="I2554" s="4">
        <v>376.62</v>
      </c>
      <c r="J2554">
        <v>3.2</v>
      </c>
      <c r="K2554" t="s">
        <v>15</v>
      </c>
      <c r="L2554" t="s">
        <v>28</v>
      </c>
      <c r="O2554"/>
    </row>
    <row r="2555" spans="1:15" x14ac:dyDescent="0.3">
      <c r="A2555" t="s">
        <v>2579</v>
      </c>
      <c r="B2555" s="1">
        <v>45875</v>
      </c>
      <c r="C2555" t="s">
        <v>25</v>
      </c>
      <c r="D2555" t="s">
        <v>21</v>
      </c>
      <c r="E2555" s="2">
        <v>2.81</v>
      </c>
      <c r="F2555" s="3">
        <v>9.2899999999999991</v>
      </c>
      <c r="G2555" s="4">
        <v>53.72</v>
      </c>
      <c r="H2555">
        <v>1.5</v>
      </c>
      <c r="I2555" s="4">
        <v>80.58</v>
      </c>
      <c r="J2555">
        <v>4.5</v>
      </c>
      <c r="K2555" t="s">
        <v>30</v>
      </c>
      <c r="L2555" t="s">
        <v>28</v>
      </c>
      <c r="O2555"/>
    </row>
    <row r="2556" spans="1:15" x14ac:dyDescent="0.3">
      <c r="A2556" t="s">
        <v>2580</v>
      </c>
      <c r="B2556" s="1">
        <v>45737</v>
      </c>
      <c r="C2556" t="s">
        <v>22</v>
      </c>
      <c r="D2556" t="s">
        <v>13</v>
      </c>
      <c r="E2556" s="2">
        <v>10.08</v>
      </c>
      <c r="F2556" s="3">
        <v>31.65</v>
      </c>
      <c r="G2556" s="4">
        <v>166.16</v>
      </c>
      <c r="H2556">
        <v>1.2</v>
      </c>
      <c r="I2556" s="4">
        <v>199.39</v>
      </c>
      <c r="J2556">
        <v>4.0999999999999996</v>
      </c>
      <c r="K2556" t="s">
        <v>36</v>
      </c>
      <c r="L2556" t="s">
        <v>28</v>
      </c>
      <c r="O2556"/>
    </row>
    <row r="2557" spans="1:15" x14ac:dyDescent="0.3">
      <c r="A2557" t="s">
        <v>2581</v>
      </c>
      <c r="B2557" s="1">
        <v>45846</v>
      </c>
      <c r="C2557" t="s">
        <v>22</v>
      </c>
      <c r="D2557" t="s">
        <v>14</v>
      </c>
      <c r="E2557" s="2">
        <v>7.8</v>
      </c>
      <c r="F2557" s="3">
        <v>19.690000000000001</v>
      </c>
      <c r="G2557" s="4">
        <v>132.91999999999999</v>
      </c>
      <c r="H2557">
        <v>1.2</v>
      </c>
      <c r="I2557" s="4">
        <v>159.5</v>
      </c>
      <c r="J2557">
        <v>4.9000000000000004</v>
      </c>
      <c r="K2557" t="s">
        <v>18</v>
      </c>
      <c r="L2557" t="s">
        <v>19</v>
      </c>
      <c r="O2557"/>
    </row>
    <row r="2558" spans="1:15" x14ac:dyDescent="0.3">
      <c r="A2558" t="s">
        <v>2582</v>
      </c>
      <c r="B2558" s="1">
        <v>45828</v>
      </c>
      <c r="C2558" t="s">
        <v>21</v>
      </c>
      <c r="D2558" t="s">
        <v>13</v>
      </c>
      <c r="E2558" s="2">
        <v>1.58</v>
      </c>
      <c r="F2558" s="3">
        <v>3.61</v>
      </c>
      <c r="G2558" s="4">
        <v>26.53</v>
      </c>
      <c r="H2558">
        <v>1</v>
      </c>
      <c r="I2558" s="4">
        <v>26.53</v>
      </c>
      <c r="J2558">
        <v>3.4</v>
      </c>
      <c r="K2558" t="s">
        <v>15</v>
      </c>
      <c r="L2558" t="s">
        <v>19</v>
      </c>
      <c r="O2558"/>
    </row>
    <row r="2559" spans="1:15" x14ac:dyDescent="0.3">
      <c r="A2559" t="s">
        <v>2583</v>
      </c>
      <c r="B2559" s="1">
        <v>45661</v>
      </c>
      <c r="C2559" t="s">
        <v>14</v>
      </c>
      <c r="D2559" t="s">
        <v>22</v>
      </c>
      <c r="E2559" s="2">
        <v>7.6</v>
      </c>
      <c r="F2559" s="3">
        <v>16.7</v>
      </c>
      <c r="G2559" s="4">
        <v>108.94</v>
      </c>
      <c r="H2559">
        <v>1</v>
      </c>
      <c r="I2559" s="4">
        <v>108.94</v>
      </c>
      <c r="J2559">
        <v>4</v>
      </c>
      <c r="K2559" t="s">
        <v>36</v>
      </c>
      <c r="L2559" t="s">
        <v>26</v>
      </c>
      <c r="O2559"/>
    </row>
    <row r="2560" spans="1:15" x14ac:dyDescent="0.3">
      <c r="A2560" t="s">
        <v>2584</v>
      </c>
      <c r="B2560" s="1">
        <v>45702</v>
      </c>
      <c r="C2560" t="s">
        <v>13</v>
      </c>
      <c r="D2560" t="s">
        <v>14</v>
      </c>
      <c r="E2560" s="2">
        <v>22.23</v>
      </c>
      <c r="F2560" s="3">
        <v>74.84</v>
      </c>
      <c r="G2560" s="4">
        <v>284.64999999999998</v>
      </c>
      <c r="H2560">
        <v>1.5</v>
      </c>
      <c r="I2560" s="4">
        <v>426.98</v>
      </c>
      <c r="J2560">
        <v>4.0999999999999996</v>
      </c>
      <c r="K2560" t="s">
        <v>30</v>
      </c>
      <c r="L2560" t="s">
        <v>19</v>
      </c>
      <c r="O2560"/>
    </row>
    <row r="2561" spans="1:15" x14ac:dyDescent="0.3">
      <c r="A2561" t="s">
        <v>2585</v>
      </c>
      <c r="B2561" s="1">
        <v>45885</v>
      </c>
      <c r="C2561" t="s">
        <v>25</v>
      </c>
      <c r="D2561" t="s">
        <v>21</v>
      </c>
      <c r="E2561" s="2">
        <v>10.54</v>
      </c>
      <c r="F2561" s="3">
        <v>33.130000000000003</v>
      </c>
      <c r="G2561" s="4">
        <v>131.28</v>
      </c>
      <c r="H2561">
        <v>1.5</v>
      </c>
      <c r="I2561" s="4">
        <v>196.92</v>
      </c>
      <c r="J2561">
        <v>3.7</v>
      </c>
      <c r="K2561" t="s">
        <v>15</v>
      </c>
      <c r="L2561" t="s">
        <v>16</v>
      </c>
      <c r="O2561"/>
    </row>
    <row r="2562" spans="1:15" x14ac:dyDescent="0.3">
      <c r="A2562" t="s">
        <v>2586</v>
      </c>
      <c r="B2562" s="1">
        <v>45999</v>
      </c>
      <c r="C2562" t="s">
        <v>21</v>
      </c>
      <c r="D2562" t="s">
        <v>13</v>
      </c>
      <c r="E2562" s="2">
        <v>14.32</v>
      </c>
      <c r="F2562" s="3">
        <v>48.1</v>
      </c>
      <c r="G2562" s="4">
        <v>236.55</v>
      </c>
      <c r="H2562">
        <v>1.2</v>
      </c>
      <c r="I2562" s="4">
        <v>283.86</v>
      </c>
      <c r="J2562">
        <v>4.7</v>
      </c>
      <c r="K2562" t="s">
        <v>36</v>
      </c>
      <c r="L2562" t="s">
        <v>16</v>
      </c>
      <c r="O2562"/>
    </row>
    <row r="2563" spans="1:15" x14ac:dyDescent="0.3">
      <c r="A2563" t="s">
        <v>2587</v>
      </c>
      <c r="B2563" s="1">
        <v>45779</v>
      </c>
      <c r="C2563" t="s">
        <v>25</v>
      </c>
      <c r="D2563" t="s">
        <v>13</v>
      </c>
      <c r="E2563" s="2">
        <v>28.23</v>
      </c>
      <c r="F2563" s="3">
        <v>100.52</v>
      </c>
      <c r="G2563" s="4">
        <v>542.37</v>
      </c>
      <c r="H2563">
        <v>1.2</v>
      </c>
      <c r="I2563" s="4">
        <v>650.84</v>
      </c>
      <c r="J2563">
        <v>3.7</v>
      </c>
      <c r="K2563" t="s">
        <v>15</v>
      </c>
      <c r="L2563" t="s">
        <v>19</v>
      </c>
      <c r="O2563"/>
    </row>
    <row r="2564" spans="1:15" x14ac:dyDescent="0.3">
      <c r="A2564" t="s">
        <v>2588</v>
      </c>
      <c r="B2564" s="1">
        <v>45986</v>
      </c>
      <c r="C2564" t="s">
        <v>21</v>
      </c>
      <c r="D2564" t="s">
        <v>13</v>
      </c>
      <c r="E2564" s="2">
        <v>2.29</v>
      </c>
      <c r="F2564" s="3">
        <v>5.99</v>
      </c>
      <c r="G2564" s="4">
        <v>38.46</v>
      </c>
      <c r="H2564">
        <v>1.2</v>
      </c>
      <c r="I2564" s="4">
        <v>46.15</v>
      </c>
      <c r="J2564">
        <v>4.5999999999999996</v>
      </c>
      <c r="K2564" t="s">
        <v>33</v>
      </c>
      <c r="L2564" t="s">
        <v>26</v>
      </c>
      <c r="O2564"/>
    </row>
    <row r="2565" spans="1:15" x14ac:dyDescent="0.3">
      <c r="A2565" t="s">
        <v>2589</v>
      </c>
      <c r="B2565" s="1">
        <v>45926</v>
      </c>
      <c r="C2565" t="s">
        <v>21</v>
      </c>
      <c r="D2565" t="s">
        <v>13</v>
      </c>
      <c r="E2565" s="2">
        <v>16.66</v>
      </c>
      <c r="F2565" s="3">
        <v>39.9</v>
      </c>
      <c r="G2565" s="4">
        <v>238.36</v>
      </c>
      <c r="H2565">
        <v>1.2</v>
      </c>
      <c r="I2565" s="4">
        <v>286.02999999999997</v>
      </c>
      <c r="J2565">
        <v>4.3</v>
      </c>
      <c r="K2565" t="s">
        <v>18</v>
      </c>
      <c r="L2565" t="s">
        <v>19</v>
      </c>
      <c r="O2565"/>
    </row>
    <row r="2566" spans="1:15" x14ac:dyDescent="0.3">
      <c r="A2566" t="s">
        <v>2590</v>
      </c>
      <c r="B2566" s="1">
        <v>45723</v>
      </c>
      <c r="C2566" t="s">
        <v>13</v>
      </c>
      <c r="D2566" t="s">
        <v>14</v>
      </c>
      <c r="E2566" s="2">
        <v>8.56</v>
      </c>
      <c r="F2566" s="3">
        <v>31.98</v>
      </c>
      <c r="G2566" s="4">
        <v>140.75</v>
      </c>
      <c r="H2566">
        <v>1.5</v>
      </c>
      <c r="I2566" s="4">
        <v>211.12</v>
      </c>
      <c r="J2566">
        <v>3.3</v>
      </c>
      <c r="K2566" t="s">
        <v>30</v>
      </c>
      <c r="L2566" t="s">
        <v>28</v>
      </c>
      <c r="O2566"/>
    </row>
    <row r="2567" spans="1:15" x14ac:dyDescent="0.3">
      <c r="A2567" t="s">
        <v>2591</v>
      </c>
      <c r="B2567" s="1">
        <v>45911</v>
      </c>
      <c r="C2567" t="s">
        <v>22</v>
      </c>
      <c r="D2567" t="s">
        <v>21</v>
      </c>
      <c r="E2567" s="2">
        <v>2.0299999999999998</v>
      </c>
      <c r="F2567" s="3">
        <v>8.11</v>
      </c>
      <c r="G2567" s="4">
        <v>38.01</v>
      </c>
      <c r="H2567">
        <v>2</v>
      </c>
      <c r="I2567" s="4">
        <v>76.02</v>
      </c>
      <c r="J2567">
        <v>3.5</v>
      </c>
      <c r="K2567" t="s">
        <v>36</v>
      </c>
      <c r="L2567" t="s">
        <v>16</v>
      </c>
      <c r="O2567"/>
    </row>
    <row r="2568" spans="1:15" x14ac:dyDescent="0.3">
      <c r="A2568" t="s">
        <v>2592</v>
      </c>
      <c r="B2568" s="1">
        <v>46014</v>
      </c>
      <c r="C2568" t="s">
        <v>25</v>
      </c>
      <c r="D2568" t="s">
        <v>14</v>
      </c>
      <c r="E2568" s="2">
        <v>12.78</v>
      </c>
      <c r="F2568" s="3">
        <v>47.88</v>
      </c>
      <c r="G2568" s="4">
        <v>131.91</v>
      </c>
      <c r="H2568">
        <v>2</v>
      </c>
      <c r="I2568" s="4">
        <v>263.82</v>
      </c>
      <c r="J2568">
        <v>4.2</v>
      </c>
      <c r="K2568" t="s">
        <v>30</v>
      </c>
      <c r="L2568" t="s">
        <v>19</v>
      </c>
      <c r="O2568"/>
    </row>
    <row r="2569" spans="1:15" x14ac:dyDescent="0.3">
      <c r="A2569" t="s">
        <v>2593</v>
      </c>
      <c r="B2569" s="1">
        <v>45910</v>
      </c>
      <c r="C2569" t="s">
        <v>21</v>
      </c>
      <c r="D2569" t="s">
        <v>22</v>
      </c>
      <c r="E2569" s="2">
        <v>22.39</v>
      </c>
      <c r="F2569" s="3">
        <v>44.9</v>
      </c>
      <c r="G2569" s="4">
        <v>364.56</v>
      </c>
      <c r="H2569">
        <v>1.5</v>
      </c>
      <c r="I2569" s="4">
        <v>546.84</v>
      </c>
      <c r="J2569">
        <v>4.7</v>
      </c>
      <c r="K2569" t="s">
        <v>18</v>
      </c>
      <c r="L2569" t="s">
        <v>26</v>
      </c>
      <c r="O2569"/>
    </row>
    <row r="2570" spans="1:15" x14ac:dyDescent="0.3">
      <c r="A2570" t="s">
        <v>2594</v>
      </c>
      <c r="B2570" s="1">
        <v>45693</v>
      </c>
      <c r="C2570" t="s">
        <v>22</v>
      </c>
      <c r="D2570" t="s">
        <v>13</v>
      </c>
      <c r="E2570" s="2">
        <v>23.79</v>
      </c>
      <c r="F2570" s="3">
        <v>74.03</v>
      </c>
      <c r="G2570" s="4">
        <v>441.8</v>
      </c>
      <c r="H2570">
        <v>1.2</v>
      </c>
      <c r="I2570" s="4">
        <v>530.16</v>
      </c>
      <c r="J2570">
        <v>4.0999999999999996</v>
      </c>
      <c r="K2570" t="s">
        <v>33</v>
      </c>
      <c r="L2570" t="s">
        <v>16</v>
      </c>
      <c r="O2570"/>
    </row>
    <row r="2571" spans="1:15" x14ac:dyDescent="0.3">
      <c r="A2571" t="s">
        <v>2595</v>
      </c>
      <c r="B2571" s="1">
        <v>45936</v>
      </c>
      <c r="C2571" t="s">
        <v>13</v>
      </c>
      <c r="D2571" t="s">
        <v>22</v>
      </c>
      <c r="E2571" s="2">
        <v>29.13</v>
      </c>
      <c r="F2571" s="3">
        <v>95.22</v>
      </c>
      <c r="G2571" s="4">
        <v>513.87</v>
      </c>
      <c r="H2571">
        <v>2</v>
      </c>
      <c r="I2571" s="4">
        <v>1027.74</v>
      </c>
      <c r="J2571">
        <v>4.0999999999999996</v>
      </c>
      <c r="K2571" t="s">
        <v>30</v>
      </c>
      <c r="L2571" t="s">
        <v>16</v>
      </c>
      <c r="O2571"/>
    </row>
    <row r="2572" spans="1:15" x14ac:dyDescent="0.3">
      <c r="A2572" t="s">
        <v>2596</v>
      </c>
      <c r="B2572" s="1">
        <v>45721</v>
      </c>
      <c r="C2572" t="s">
        <v>13</v>
      </c>
      <c r="D2572" t="s">
        <v>14</v>
      </c>
      <c r="E2572" s="2">
        <v>22.26</v>
      </c>
      <c r="F2572" s="3">
        <v>63.72</v>
      </c>
      <c r="G2572" s="4">
        <v>321.87</v>
      </c>
      <c r="H2572">
        <v>1.5</v>
      </c>
      <c r="I2572" s="4">
        <v>482.8</v>
      </c>
      <c r="J2572">
        <v>4.7</v>
      </c>
      <c r="K2572" t="s">
        <v>30</v>
      </c>
      <c r="L2572" t="s">
        <v>28</v>
      </c>
      <c r="O2572"/>
    </row>
    <row r="2573" spans="1:15" x14ac:dyDescent="0.3">
      <c r="A2573" t="s">
        <v>2597</v>
      </c>
      <c r="B2573" s="1">
        <v>45977</v>
      </c>
      <c r="C2573" t="s">
        <v>14</v>
      </c>
      <c r="D2573" t="s">
        <v>13</v>
      </c>
      <c r="E2573" s="2">
        <v>6.04</v>
      </c>
      <c r="F2573" s="3">
        <v>12.85</v>
      </c>
      <c r="G2573" s="4">
        <v>80.349999999999994</v>
      </c>
      <c r="H2573">
        <v>1.2</v>
      </c>
      <c r="I2573" s="4">
        <v>96.42</v>
      </c>
      <c r="J2573">
        <v>4.0999999999999996</v>
      </c>
      <c r="K2573" t="s">
        <v>30</v>
      </c>
      <c r="L2573" t="s">
        <v>28</v>
      </c>
      <c r="O2573"/>
    </row>
    <row r="2574" spans="1:15" x14ac:dyDescent="0.3">
      <c r="A2574" t="s">
        <v>2598</v>
      </c>
      <c r="B2574" s="1">
        <v>45797</v>
      </c>
      <c r="C2574" t="s">
        <v>14</v>
      </c>
      <c r="D2574" t="s">
        <v>25</v>
      </c>
      <c r="E2574" s="2">
        <v>2.59</v>
      </c>
      <c r="F2574" s="3">
        <v>6.09</v>
      </c>
      <c r="G2574" s="4">
        <v>40.11</v>
      </c>
      <c r="H2574">
        <v>1.2</v>
      </c>
      <c r="I2574" s="4">
        <v>48.13</v>
      </c>
      <c r="J2574">
        <v>3.7</v>
      </c>
      <c r="K2574" t="s">
        <v>30</v>
      </c>
      <c r="L2574" t="s">
        <v>19</v>
      </c>
      <c r="O2574"/>
    </row>
    <row r="2575" spans="1:15" x14ac:dyDescent="0.3">
      <c r="A2575" t="s">
        <v>2599</v>
      </c>
      <c r="B2575" s="1">
        <v>45669</v>
      </c>
      <c r="C2575" t="s">
        <v>22</v>
      </c>
      <c r="D2575" t="s">
        <v>21</v>
      </c>
      <c r="E2575" s="2">
        <v>29.65</v>
      </c>
      <c r="F2575" s="3">
        <v>98.37</v>
      </c>
      <c r="G2575" s="4">
        <v>404.84</v>
      </c>
      <c r="H2575">
        <v>1.5</v>
      </c>
      <c r="I2575" s="4">
        <v>607.26</v>
      </c>
      <c r="J2575">
        <v>3.9</v>
      </c>
      <c r="K2575" t="s">
        <v>33</v>
      </c>
      <c r="L2575" t="s">
        <v>28</v>
      </c>
      <c r="O2575"/>
    </row>
    <row r="2576" spans="1:15" x14ac:dyDescent="0.3">
      <c r="A2576" t="s">
        <v>2600</v>
      </c>
      <c r="B2576" s="1">
        <v>45755</v>
      </c>
      <c r="C2576" t="s">
        <v>14</v>
      </c>
      <c r="D2576" t="s">
        <v>13</v>
      </c>
      <c r="E2576" s="2">
        <v>19.82</v>
      </c>
      <c r="F2576" s="3">
        <v>74.63</v>
      </c>
      <c r="G2576" s="4">
        <v>234.69</v>
      </c>
      <c r="H2576">
        <v>1</v>
      </c>
      <c r="I2576" s="4">
        <v>234.69</v>
      </c>
      <c r="J2576">
        <v>4.9000000000000004</v>
      </c>
      <c r="K2576" t="s">
        <v>33</v>
      </c>
      <c r="L2576" t="s">
        <v>28</v>
      </c>
      <c r="O2576"/>
    </row>
    <row r="2577" spans="1:15" x14ac:dyDescent="0.3">
      <c r="A2577" t="s">
        <v>2601</v>
      </c>
      <c r="B2577" s="1">
        <v>45939</v>
      </c>
      <c r="C2577" t="s">
        <v>13</v>
      </c>
      <c r="D2577" t="s">
        <v>14</v>
      </c>
      <c r="E2577" s="2">
        <v>7.23</v>
      </c>
      <c r="F2577" s="3">
        <v>15</v>
      </c>
      <c r="G2577" s="4">
        <v>82.48</v>
      </c>
      <c r="H2577">
        <v>1.2</v>
      </c>
      <c r="I2577" s="4">
        <v>98.98</v>
      </c>
      <c r="J2577">
        <v>3.1</v>
      </c>
      <c r="K2577" t="s">
        <v>18</v>
      </c>
      <c r="L2577" t="s">
        <v>26</v>
      </c>
      <c r="O2577"/>
    </row>
    <row r="2578" spans="1:15" x14ac:dyDescent="0.3">
      <c r="A2578" t="s">
        <v>2602</v>
      </c>
      <c r="B2578" s="1">
        <v>45906</v>
      </c>
      <c r="C2578" t="s">
        <v>13</v>
      </c>
      <c r="D2578" t="s">
        <v>25</v>
      </c>
      <c r="E2578" s="2">
        <v>3.25</v>
      </c>
      <c r="F2578" s="3">
        <v>12.74</v>
      </c>
      <c r="G2578" s="4">
        <v>61.07</v>
      </c>
      <c r="H2578">
        <v>1.5</v>
      </c>
      <c r="I2578" s="4">
        <v>91.6</v>
      </c>
      <c r="J2578">
        <v>3.6</v>
      </c>
      <c r="K2578" t="s">
        <v>30</v>
      </c>
      <c r="L2578" t="s">
        <v>19</v>
      </c>
      <c r="O2578"/>
    </row>
    <row r="2579" spans="1:15" x14ac:dyDescent="0.3">
      <c r="A2579" t="s">
        <v>2603</v>
      </c>
      <c r="B2579" s="1">
        <v>45926</v>
      </c>
      <c r="C2579" t="s">
        <v>14</v>
      </c>
      <c r="D2579" t="s">
        <v>25</v>
      </c>
      <c r="E2579" s="2">
        <v>7.38</v>
      </c>
      <c r="F2579" s="3">
        <v>27.1</v>
      </c>
      <c r="G2579" s="4">
        <v>124.72</v>
      </c>
      <c r="H2579">
        <v>1.5</v>
      </c>
      <c r="I2579" s="4">
        <v>187.08</v>
      </c>
      <c r="J2579">
        <v>3.8</v>
      </c>
      <c r="K2579" t="s">
        <v>15</v>
      </c>
      <c r="L2579" t="s">
        <v>28</v>
      </c>
      <c r="O2579"/>
    </row>
    <row r="2580" spans="1:15" x14ac:dyDescent="0.3">
      <c r="A2580" t="s">
        <v>2604</v>
      </c>
      <c r="B2580" s="1">
        <v>45923</v>
      </c>
      <c r="C2580" t="s">
        <v>14</v>
      </c>
      <c r="D2580" t="s">
        <v>21</v>
      </c>
      <c r="E2580" s="2">
        <v>11.05</v>
      </c>
      <c r="F2580" s="3">
        <v>39.21</v>
      </c>
      <c r="G2580" s="4">
        <v>139.5</v>
      </c>
      <c r="H2580">
        <v>1</v>
      </c>
      <c r="I2580" s="4">
        <v>139.5</v>
      </c>
      <c r="J2580">
        <v>4.0999999999999996</v>
      </c>
      <c r="K2580" t="s">
        <v>30</v>
      </c>
      <c r="L2580" t="s">
        <v>19</v>
      </c>
      <c r="O2580"/>
    </row>
    <row r="2581" spans="1:15" x14ac:dyDescent="0.3">
      <c r="A2581" t="s">
        <v>2605</v>
      </c>
      <c r="B2581" s="1">
        <v>45889</v>
      </c>
      <c r="C2581" t="s">
        <v>14</v>
      </c>
      <c r="D2581" t="s">
        <v>14</v>
      </c>
      <c r="E2581" s="2">
        <v>28.12</v>
      </c>
      <c r="F2581" s="3">
        <v>72.61</v>
      </c>
      <c r="G2581" s="4">
        <v>427.6</v>
      </c>
      <c r="H2581">
        <v>1.2</v>
      </c>
      <c r="I2581" s="4">
        <v>513.12</v>
      </c>
      <c r="J2581">
        <v>3.4</v>
      </c>
      <c r="K2581" t="s">
        <v>36</v>
      </c>
      <c r="L2581" t="s">
        <v>26</v>
      </c>
      <c r="O2581"/>
    </row>
    <row r="2582" spans="1:15" x14ac:dyDescent="0.3">
      <c r="A2582" t="s">
        <v>2606</v>
      </c>
      <c r="B2582" s="1">
        <v>45958</v>
      </c>
      <c r="C2582" t="s">
        <v>13</v>
      </c>
      <c r="D2582" t="s">
        <v>21</v>
      </c>
      <c r="E2582" s="2">
        <v>10.72</v>
      </c>
      <c r="F2582" s="3">
        <v>38.130000000000003</v>
      </c>
      <c r="G2582" s="4">
        <v>198.9</v>
      </c>
      <c r="H2582">
        <v>1</v>
      </c>
      <c r="I2582" s="4">
        <v>198.9</v>
      </c>
      <c r="J2582">
        <v>3.8</v>
      </c>
      <c r="K2582" t="s">
        <v>36</v>
      </c>
      <c r="L2582" t="s">
        <v>16</v>
      </c>
      <c r="O2582"/>
    </row>
    <row r="2583" spans="1:15" x14ac:dyDescent="0.3">
      <c r="A2583" t="s">
        <v>2607</v>
      </c>
      <c r="B2583" s="1">
        <v>45867</v>
      </c>
      <c r="C2583" t="s">
        <v>21</v>
      </c>
      <c r="D2583" t="s">
        <v>13</v>
      </c>
      <c r="E2583" s="2">
        <v>22.68</v>
      </c>
      <c r="F2583" s="3">
        <v>86.77</v>
      </c>
      <c r="G2583" s="4">
        <v>398.02</v>
      </c>
      <c r="H2583">
        <v>2</v>
      </c>
      <c r="I2583" s="4">
        <v>796.04</v>
      </c>
      <c r="J2583">
        <v>4.5</v>
      </c>
      <c r="K2583" t="s">
        <v>18</v>
      </c>
      <c r="L2583" t="s">
        <v>26</v>
      </c>
      <c r="O2583"/>
    </row>
    <row r="2584" spans="1:15" x14ac:dyDescent="0.3">
      <c r="A2584" t="s">
        <v>2608</v>
      </c>
      <c r="B2584" s="1">
        <v>46016</v>
      </c>
      <c r="C2584" t="s">
        <v>13</v>
      </c>
      <c r="D2584" t="s">
        <v>25</v>
      </c>
      <c r="E2584" s="2">
        <v>12.24</v>
      </c>
      <c r="F2584" s="3">
        <v>38.590000000000003</v>
      </c>
      <c r="G2584" s="4">
        <v>224.17</v>
      </c>
      <c r="H2584">
        <v>1</v>
      </c>
      <c r="I2584" s="4">
        <v>224.17</v>
      </c>
      <c r="J2584">
        <v>4.3</v>
      </c>
      <c r="K2584" t="s">
        <v>33</v>
      </c>
      <c r="L2584" t="s">
        <v>19</v>
      </c>
      <c r="O2584"/>
    </row>
    <row r="2585" spans="1:15" x14ac:dyDescent="0.3">
      <c r="A2585" t="s">
        <v>2609</v>
      </c>
      <c r="B2585" s="1">
        <v>45888</v>
      </c>
      <c r="C2585" t="s">
        <v>25</v>
      </c>
      <c r="D2585" t="s">
        <v>13</v>
      </c>
      <c r="E2585" s="2">
        <v>18.29</v>
      </c>
      <c r="F2585" s="3">
        <v>69.260000000000005</v>
      </c>
      <c r="G2585" s="4">
        <v>214.35</v>
      </c>
      <c r="H2585">
        <v>1.5</v>
      </c>
      <c r="I2585" s="4">
        <v>321.52</v>
      </c>
      <c r="J2585">
        <v>3.1</v>
      </c>
      <c r="K2585" t="s">
        <v>18</v>
      </c>
      <c r="L2585" t="s">
        <v>16</v>
      </c>
      <c r="O2585"/>
    </row>
    <row r="2586" spans="1:15" x14ac:dyDescent="0.3">
      <c r="A2586" t="s">
        <v>2610</v>
      </c>
      <c r="B2586" s="1">
        <v>45727</v>
      </c>
      <c r="C2586" t="s">
        <v>21</v>
      </c>
      <c r="D2586" t="s">
        <v>21</v>
      </c>
      <c r="E2586" s="2">
        <v>1.56</v>
      </c>
      <c r="F2586" s="3">
        <v>3.47</v>
      </c>
      <c r="G2586" s="4">
        <v>31.05</v>
      </c>
      <c r="H2586">
        <v>2</v>
      </c>
      <c r="I2586" s="4">
        <v>62.1</v>
      </c>
      <c r="J2586">
        <v>4.2</v>
      </c>
      <c r="K2586" t="s">
        <v>36</v>
      </c>
      <c r="L2586" t="s">
        <v>26</v>
      </c>
      <c r="O2586"/>
    </row>
    <row r="2587" spans="1:15" x14ac:dyDescent="0.3">
      <c r="A2587" t="s">
        <v>2611</v>
      </c>
      <c r="B2587" s="1">
        <v>45692</v>
      </c>
      <c r="C2587" t="s">
        <v>22</v>
      </c>
      <c r="D2587" t="s">
        <v>13</v>
      </c>
      <c r="E2587" s="2">
        <v>6.29</v>
      </c>
      <c r="F2587" s="3">
        <v>17.12</v>
      </c>
      <c r="G2587" s="4">
        <v>110.26</v>
      </c>
      <c r="H2587">
        <v>1.5</v>
      </c>
      <c r="I2587" s="4">
        <v>165.39</v>
      </c>
      <c r="J2587">
        <v>3.7</v>
      </c>
      <c r="K2587" t="s">
        <v>15</v>
      </c>
      <c r="L2587" t="s">
        <v>28</v>
      </c>
      <c r="O2587"/>
    </row>
    <row r="2588" spans="1:15" x14ac:dyDescent="0.3">
      <c r="A2588" t="s">
        <v>2612</v>
      </c>
      <c r="B2588" s="1">
        <v>45883</v>
      </c>
      <c r="C2588" t="s">
        <v>22</v>
      </c>
      <c r="D2588" t="s">
        <v>21</v>
      </c>
      <c r="E2588" s="2">
        <v>13.92</v>
      </c>
      <c r="F2588" s="3">
        <v>29.29</v>
      </c>
      <c r="G2588" s="4">
        <v>181.01</v>
      </c>
      <c r="H2588">
        <v>2</v>
      </c>
      <c r="I2588" s="4">
        <v>362.02</v>
      </c>
      <c r="J2588">
        <v>3.3</v>
      </c>
      <c r="K2588" t="s">
        <v>30</v>
      </c>
      <c r="L2588" t="s">
        <v>26</v>
      </c>
      <c r="O2588"/>
    </row>
    <row r="2589" spans="1:15" x14ac:dyDescent="0.3">
      <c r="A2589" t="s">
        <v>2613</v>
      </c>
      <c r="B2589" s="1">
        <v>45862</v>
      </c>
      <c r="C2589" t="s">
        <v>21</v>
      </c>
      <c r="D2589" t="s">
        <v>22</v>
      </c>
      <c r="E2589" s="2">
        <v>29.99</v>
      </c>
      <c r="F2589" s="3">
        <v>83.3</v>
      </c>
      <c r="G2589" s="4">
        <v>415.96</v>
      </c>
      <c r="H2589">
        <v>1</v>
      </c>
      <c r="I2589" s="4">
        <v>415.96</v>
      </c>
      <c r="J2589">
        <v>3.1</v>
      </c>
      <c r="K2589" t="s">
        <v>15</v>
      </c>
      <c r="L2589" t="s">
        <v>19</v>
      </c>
      <c r="O2589"/>
    </row>
    <row r="2590" spans="1:15" x14ac:dyDescent="0.3">
      <c r="A2590" t="s">
        <v>2614</v>
      </c>
      <c r="B2590" s="1">
        <v>45810</v>
      </c>
      <c r="C2590" t="s">
        <v>21</v>
      </c>
      <c r="D2590" t="s">
        <v>14</v>
      </c>
      <c r="E2590" s="2">
        <v>26.41</v>
      </c>
      <c r="F2590" s="3">
        <v>83.05</v>
      </c>
      <c r="G2590" s="4">
        <v>314.83999999999997</v>
      </c>
      <c r="H2590">
        <v>1.2</v>
      </c>
      <c r="I2590" s="4">
        <v>377.81</v>
      </c>
      <c r="J2590">
        <v>4.4000000000000004</v>
      </c>
      <c r="K2590" t="s">
        <v>30</v>
      </c>
      <c r="L2590" t="s">
        <v>26</v>
      </c>
      <c r="O2590"/>
    </row>
    <row r="2591" spans="1:15" x14ac:dyDescent="0.3">
      <c r="A2591" t="s">
        <v>2615</v>
      </c>
      <c r="B2591" s="1">
        <v>45961</v>
      </c>
      <c r="C2591" t="s">
        <v>25</v>
      </c>
      <c r="D2591" t="s">
        <v>25</v>
      </c>
      <c r="E2591" s="2">
        <v>29.49</v>
      </c>
      <c r="F2591" s="3">
        <v>110.01</v>
      </c>
      <c r="G2591" s="4">
        <v>465.84</v>
      </c>
      <c r="H2591">
        <v>1</v>
      </c>
      <c r="I2591" s="4">
        <v>465.84</v>
      </c>
      <c r="J2591">
        <v>5</v>
      </c>
      <c r="K2591" t="s">
        <v>36</v>
      </c>
      <c r="L2591" t="s">
        <v>28</v>
      </c>
      <c r="O2591"/>
    </row>
    <row r="2592" spans="1:15" x14ac:dyDescent="0.3">
      <c r="A2592" t="s">
        <v>2616</v>
      </c>
      <c r="B2592" s="1">
        <v>45912</v>
      </c>
      <c r="C2592" t="s">
        <v>14</v>
      </c>
      <c r="D2592" t="s">
        <v>13</v>
      </c>
      <c r="E2592" s="2">
        <v>9.1</v>
      </c>
      <c r="F2592" s="3">
        <v>22.59</v>
      </c>
      <c r="G2592" s="4">
        <v>136.27000000000001</v>
      </c>
      <c r="H2592">
        <v>1</v>
      </c>
      <c r="I2592" s="4">
        <v>136.27000000000001</v>
      </c>
      <c r="J2592">
        <v>4.7</v>
      </c>
      <c r="K2592" t="s">
        <v>30</v>
      </c>
      <c r="L2592" t="s">
        <v>26</v>
      </c>
      <c r="O2592"/>
    </row>
    <row r="2593" spans="1:15" x14ac:dyDescent="0.3">
      <c r="A2593" t="s">
        <v>2617</v>
      </c>
      <c r="B2593" s="1">
        <v>45886</v>
      </c>
      <c r="C2593" t="s">
        <v>14</v>
      </c>
      <c r="D2593" t="s">
        <v>13</v>
      </c>
      <c r="E2593" s="2">
        <v>20.190000000000001</v>
      </c>
      <c r="F2593" s="3">
        <v>68.180000000000007</v>
      </c>
      <c r="G2593" s="4">
        <v>377.87</v>
      </c>
      <c r="H2593">
        <v>2</v>
      </c>
      <c r="I2593" s="4">
        <v>755.74</v>
      </c>
      <c r="J2593">
        <v>3.8</v>
      </c>
      <c r="K2593" t="s">
        <v>15</v>
      </c>
      <c r="L2593" t="s">
        <v>19</v>
      </c>
      <c r="O2593"/>
    </row>
    <row r="2594" spans="1:15" x14ac:dyDescent="0.3">
      <c r="A2594" t="s">
        <v>2618</v>
      </c>
      <c r="B2594" s="1">
        <v>45861</v>
      </c>
      <c r="C2594" t="s">
        <v>25</v>
      </c>
      <c r="D2594" t="s">
        <v>22</v>
      </c>
      <c r="E2594" s="2">
        <v>23.76</v>
      </c>
      <c r="F2594" s="3">
        <v>86.24</v>
      </c>
      <c r="G2594" s="4">
        <v>457.93</v>
      </c>
      <c r="H2594">
        <v>1.5</v>
      </c>
      <c r="I2594" s="4">
        <v>686.9</v>
      </c>
      <c r="J2594">
        <v>3.5</v>
      </c>
      <c r="K2594" t="s">
        <v>33</v>
      </c>
      <c r="L2594" t="s">
        <v>19</v>
      </c>
      <c r="O2594"/>
    </row>
    <row r="2595" spans="1:15" x14ac:dyDescent="0.3">
      <c r="A2595" t="s">
        <v>2619</v>
      </c>
      <c r="B2595" s="1">
        <v>45904</v>
      </c>
      <c r="C2595" t="s">
        <v>14</v>
      </c>
      <c r="D2595" t="s">
        <v>21</v>
      </c>
      <c r="E2595" s="2">
        <v>15.66</v>
      </c>
      <c r="F2595" s="3">
        <v>32.33</v>
      </c>
      <c r="G2595" s="4">
        <v>257.91000000000003</v>
      </c>
      <c r="H2595">
        <v>1.2</v>
      </c>
      <c r="I2595" s="4">
        <v>309.49</v>
      </c>
      <c r="J2595">
        <v>4.9000000000000004</v>
      </c>
      <c r="K2595" t="s">
        <v>33</v>
      </c>
      <c r="L2595" t="s">
        <v>26</v>
      </c>
      <c r="O2595"/>
    </row>
    <row r="2596" spans="1:15" x14ac:dyDescent="0.3">
      <c r="A2596" t="s">
        <v>2620</v>
      </c>
      <c r="B2596" s="1">
        <v>45911</v>
      </c>
      <c r="C2596" t="s">
        <v>25</v>
      </c>
      <c r="D2596" t="s">
        <v>14</v>
      </c>
      <c r="E2596" s="2">
        <v>24.09</v>
      </c>
      <c r="F2596" s="3">
        <v>64.209999999999994</v>
      </c>
      <c r="G2596" s="4">
        <v>383.67</v>
      </c>
      <c r="H2596">
        <v>1.2</v>
      </c>
      <c r="I2596" s="4">
        <v>460.4</v>
      </c>
      <c r="J2596">
        <v>4.7</v>
      </c>
      <c r="K2596" t="s">
        <v>33</v>
      </c>
      <c r="L2596" t="s">
        <v>26</v>
      </c>
      <c r="O2596"/>
    </row>
    <row r="2597" spans="1:15" x14ac:dyDescent="0.3">
      <c r="A2597" t="s">
        <v>2621</v>
      </c>
      <c r="B2597" s="1">
        <v>45748</v>
      </c>
      <c r="C2597" t="s">
        <v>22</v>
      </c>
      <c r="D2597" t="s">
        <v>25</v>
      </c>
      <c r="E2597" s="2">
        <v>22.68</v>
      </c>
      <c r="F2597" s="3">
        <v>78.5</v>
      </c>
      <c r="G2597" s="4">
        <v>237.31</v>
      </c>
      <c r="H2597">
        <v>1.5</v>
      </c>
      <c r="I2597" s="4">
        <v>355.96</v>
      </c>
      <c r="J2597">
        <v>3.2</v>
      </c>
      <c r="K2597" t="s">
        <v>33</v>
      </c>
      <c r="L2597" t="s">
        <v>19</v>
      </c>
      <c r="O2597"/>
    </row>
    <row r="2598" spans="1:15" x14ac:dyDescent="0.3">
      <c r="A2598" t="s">
        <v>2622</v>
      </c>
      <c r="B2598" s="1">
        <v>45676</v>
      </c>
      <c r="C2598" t="s">
        <v>22</v>
      </c>
      <c r="D2598" t="s">
        <v>13</v>
      </c>
      <c r="E2598" s="2">
        <v>29.02</v>
      </c>
      <c r="F2598" s="3">
        <v>114.56</v>
      </c>
      <c r="G2598" s="4">
        <v>301.55</v>
      </c>
      <c r="H2598">
        <v>2</v>
      </c>
      <c r="I2598" s="4">
        <v>603.1</v>
      </c>
      <c r="J2598">
        <v>3.5</v>
      </c>
      <c r="K2598" t="s">
        <v>30</v>
      </c>
      <c r="L2598" t="s">
        <v>16</v>
      </c>
      <c r="O2598"/>
    </row>
    <row r="2599" spans="1:15" x14ac:dyDescent="0.3">
      <c r="A2599" t="s">
        <v>2623</v>
      </c>
      <c r="B2599" s="1">
        <v>45759</v>
      </c>
      <c r="C2599" t="s">
        <v>14</v>
      </c>
      <c r="D2599" t="s">
        <v>22</v>
      </c>
      <c r="E2599" s="2">
        <v>28.33</v>
      </c>
      <c r="F2599" s="3">
        <v>94.68</v>
      </c>
      <c r="G2599" s="4">
        <v>481.96</v>
      </c>
      <c r="H2599">
        <v>1.5</v>
      </c>
      <c r="I2599" s="4">
        <v>722.94</v>
      </c>
      <c r="J2599">
        <v>4.7</v>
      </c>
      <c r="K2599" t="s">
        <v>18</v>
      </c>
      <c r="L2599" t="s">
        <v>16</v>
      </c>
      <c r="O2599"/>
    </row>
    <row r="2600" spans="1:15" x14ac:dyDescent="0.3">
      <c r="A2600" t="s">
        <v>2624</v>
      </c>
      <c r="B2600" s="1">
        <v>45721</v>
      </c>
      <c r="C2600" t="s">
        <v>22</v>
      </c>
      <c r="D2600" t="s">
        <v>14</v>
      </c>
      <c r="E2600" s="2">
        <v>16.88</v>
      </c>
      <c r="F2600" s="3">
        <v>36.57</v>
      </c>
      <c r="G2600" s="4">
        <v>323.29000000000002</v>
      </c>
      <c r="H2600">
        <v>2</v>
      </c>
      <c r="I2600" s="4">
        <v>646.58000000000004</v>
      </c>
      <c r="J2600">
        <v>3.3</v>
      </c>
      <c r="K2600" t="s">
        <v>30</v>
      </c>
      <c r="L2600" t="s">
        <v>19</v>
      </c>
      <c r="O2600"/>
    </row>
    <row r="2601" spans="1:15" x14ac:dyDescent="0.3">
      <c r="A2601" t="s">
        <v>2625</v>
      </c>
      <c r="B2601" s="1">
        <v>45699</v>
      </c>
      <c r="C2601" t="s">
        <v>25</v>
      </c>
      <c r="D2601" t="s">
        <v>14</v>
      </c>
      <c r="E2601" s="2">
        <v>29.54</v>
      </c>
      <c r="F2601" s="3">
        <v>70.13</v>
      </c>
      <c r="G2601" s="4">
        <v>550.86</v>
      </c>
      <c r="H2601">
        <v>1.5</v>
      </c>
      <c r="I2601" s="4">
        <v>826.29</v>
      </c>
      <c r="J2601">
        <v>4.5999999999999996</v>
      </c>
      <c r="K2601" t="s">
        <v>36</v>
      </c>
      <c r="L2601" t="s">
        <v>26</v>
      </c>
      <c r="O2601"/>
    </row>
    <row r="2602" spans="1:15" x14ac:dyDescent="0.3">
      <c r="A2602" t="s">
        <v>2626</v>
      </c>
      <c r="B2602" s="1">
        <v>45871</v>
      </c>
      <c r="C2602" t="s">
        <v>13</v>
      </c>
      <c r="D2602" t="s">
        <v>21</v>
      </c>
      <c r="E2602" s="2">
        <v>8.6199999999999992</v>
      </c>
      <c r="F2602" s="3">
        <v>18.010000000000002</v>
      </c>
      <c r="G2602" s="4">
        <v>109.3</v>
      </c>
      <c r="H2602">
        <v>2</v>
      </c>
      <c r="I2602" s="4">
        <v>218.6</v>
      </c>
      <c r="J2602">
        <v>3.1</v>
      </c>
      <c r="K2602" t="s">
        <v>18</v>
      </c>
      <c r="L2602" t="s">
        <v>16</v>
      </c>
      <c r="O2602"/>
    </row>
    <row r="2603" spans="1:15" x14ac:dyDescent="0.3">
      <c r="A2603" t="s">
        <v>2627</v>
      </c>
      <c r="B2603" s="1">
        <v>45914</v>
      </c>
      <c r="C2603" t="s">
        <v>13</v>
      </c>
      <c r="D2603" t="s">
        <v>21</v>
      </c>
      <c r="E2603" s="2">
        <v>20.190000000000001</v>
      </c>
      <c r="F2603" s="3">
        <v>76.180000000000007</v>
      </c>
      <c r="G2603" s="4">
        <v>346.72</v>
      </c>
      <c r="H2603">
        <v>2</v>
      </c>
      <c r="I2603" s="4">
        <v>693.44</v>
      </c>
      <c r="J2603">
        <v>4.0999999999999996</v>
      </c>
      <c r="K2603" t="s">
        <v>30</v>
      </c>
      <c r="L2603" t="s">
        <v>19</v>
      </c>
      <c r="O2603"/>
    </row>
    <row r="2604" spans="1:15" x14ac:dyDescent="0.3">
      <c r="A2604" t="s">
        <v>2628</v>
      </c>
      <c r="B2604" s="1">
        <v>45676</v>
      </c>
      <c r="C2604" t="s">
        <v>13</v>
      </c>
      <c r="D2604" t="s">
        <v>22</v>
      </c>
      <c r="E2604" s="2">
        <v>27.1</v>
      </c>
      <c r="F2604" s="3">
        <v>73.069999999999993</v>
      </c>
      <c r="G2604" s="4">
        <v>301.23</v>
      </c>
      <c r="H2604">
        <v>2</v>
      </c>
      <c r="I2604" s="4">
        <v>602.46</v>
      </c>
      <c r="J2604">
        <v>4.5999999999999996</v>
      </c>
      <c r="K2604" t="s">
        <v>36</v>
      </c>
      <c r="L2604" t="s">
        <v>19</v>
      </c>
      <c r="O2604"/>
    </row>
    <row r="2605" spans="1:15" x14ac:dyDescent="0.3">
      <c r="A2605" t="s">
        <v>2629</v>
      </c>
      <c r="B2605" s="1">
        <v>45736</v>
      </c>
      <c r="C2605" t="s">
        <v>13</v>
      </c>
      <c r="D2605" t="s">
        <v>13</v>
      </c>
      <c r="E2605" s="2">
        <v>27.01</v>
      </c>
      <c r="F2605" s="3">
        <v>56.86</v>
      </c>
      <c r="G2605" s="4">
        <v>308.37</v>
      </c>
      <c r="H2605">
        <v>2</v>
      </c>
      <c r="I2605" s="4">
        <v>616.74</v>
      </c>
      <c r="J2605">
        <v>4.5</v>
      </c>
      <c r="K2605" t="s">
        <v>33</v>
      </c>
      <c r="L2605" t="s">
        <v>28</v>
      </c>
      <c r="O2605"/>
    </row>
    <row r="2606" spans="1:15" x14ac:dyDescent="0.3">
      <c r="A2606" t="s">
        <v>2630</v>
      </c>
      <c r="B2606" s="1">
        <v>45813</v>
      </c>
      <c r="C2606" t="s">
        <v>22</v>
      </c>
      <c r="D2606" t="s">
        <v>25</v>
      </c>
      <c r="E2606" s="2">
        <v>1.97</v>
      </c>
      <c r="F2606" s="3">
        <v>5.5</v>
      </c>
      <c r="G2606" s="4">
        <v>31.21</v>
      </c>
      <c r="H2606">
        <v>1.2</v>
      </c>
      <c r="I2606" s="4">
        <v>37.450000000000003</v>
      </c>
      <c r="J2606">
        <v>4.2</v>
      </c>
      <c r="K2606" t="s">
        <v>36</v>
      </c>
      <c r="L2606" t="s">
        <v>28</v>
      </c>
      <c r="O2606"/>
    </row>
    <row r="2607" spans="1:15" x14ac:dyDescent="0.3">
      <c r="A2607" t="s">
        <v>2631</v>
      </c>
      <c r="B2607" s="1">
        <v>45811</v>
      </c>
      <c r="C2607" t="s">
        <v>21</v>
      </c>
      <c r="D2607" t="s">
        <v>21</v>
      </c>
      <c r="E2607" s="2">
        <v>15.03</v>
      </c>
      <c r="F2607" s="3">
        <v>54.53</v>
      </c>
      <c r="G2607" s="4">
        <v>293.67</v>
      </c>
      <c r="H2607">
        <v>1.5</v>
      </c>
      <c r="I2607" s="4">
        <v>440.5</v>
      </c>
      <c r="J2607">
        <v>3.9</v>
      </c>
      <c r="K2607" t="s">
        <v>18</v>
      </c>
      <c r="L2607" t="s">
        <v>16</v>
      </c>
      <c r="O2607"/>
    </row>
    <row r="2608" spans="1:15" x14ac:dyDescent="0.3">
      <c r="A2608" t="s">
        <v>2632</v>
      </c>
      <c r="B2608" s="1">
        <v>45805</v>
      </c>
      <c r="C2608" t="s">
        <v>14</v>
      </c>
      <c r="D2608" t="s">
        <v>21</v>
      </c>
      <c r="E2608" s="2">
        <v>28.25</v>
      </c>
      <c r="F2608" s="3">
        <v>78.87</v>
      </c>
      <c r="G2608" s="4">
        <v>485.43</v>
      </c>
      <c r="H2608">
        <v>1.5</v>
      </c>
      <c r="I2608" s="4">
        <v>728.14</v>
      </c>
      <c r="J2608">
        <v>4.9000000000000004</v>
      </c>
      <c r="K2608" t="s">
        <v>18</v>
      </c>
      <c r="L2608" t="s">
        <v>28</v>
      </c>
      <c r="O2608"/>
    </row>
    <row r="2609" spans="1:15" x14ac:dyDescent="0.3">
      <c r="A2609" t="s">
        <v>2633</v>
      </c>
      <c r="B2609" s="1">
        <v>45732</v>
      </c>
      <c r="C2609" t="s">
        <v>14</v>
      </c>
      <c r="D2609" t="s">
        <v>22</v>
      </c>
      <c r="E2609" s="2">
        <v>19.95</v>
      </c>
      <c r="F2609" s="3">
        <v>66.06</v>
      </c>
      <c r="G2609" s="4">
        <v>317.69</v>
      </c>
      <c r="H2609">
        <v>2</v>
      </c>
      <c r="I2609" s="4">
        <v>635.38</v>
      </c>
      <c r="J2609">
        <v>4</v>
      </c>
      <c r="K2609" t="s">
        <v>30</v>
      </c>
      <c r="L2609" t="s">
        <v>19</v>
      </c>
      <c r="O2609"/>
    </row>
    <row r="2610" spans="1:15" x14ac:dyDescent="0.3">
      <c r="A2610" t="s">
        <v>2634</v>
      </c>
      <c r="B2610" s="1">
        <v>45909</v>
      </c>
      <c r="C2610" t="s">
        <v>13</v>
      </c>
      <c r="D2610" t="s">
        <v>13</v>
      </c>
      <c r="E2610" s="2">
        <v>12.61</v>
      </c>
      <c r="F2610" s="3">
        <v>41.32</v>
      </c>
      <c r="G2610" s="4">
        <v>237.79</v>
      </c>
      <c r="H2610">
        <v>1.2</v>
      </c>
      <c r="I2610" s="4">
        <v>285.35000000000002</v>
      </c>
      <c r="J2610">
        <v>3.4</v>
      </c>
      <c r="K2610" t="s">
        <v>30</v>
      </c>
      <c r="L2610" t="s">
        <v>28</v>
      </c>
      <c r="O2610"/>
    </row>
    <row r="2611" spans="1:15" x14ac:dyDescent="0.3">
      <c r="A2611" t="s">
        <v>2635</v>
      </c>
      <c r="B2611" s="1">
        <v>45995</v>
      </c>
      <c r="C2611" t="s">
        <v>13</v>
      </c>
      <c r="D2611" t="s">
        <v>21</v>
      </c>
      <c r="E2611" s="2">
        <v>29.18</v>
      </c>
      <c r="F2611" s="3">
        <v>79.31</v>
      </c>
      <c r="G2611" s="4">
        <v>410.06</v>
      </c>
      <c r="H2611">
        <v>1</v>
      </c>
      <c r="I2611" s="4">
        <v>410.06</v>
      </c>
      <c r="J2611">
        <v>3.3</v>
      </c>
      <c r="K2611" t="s">
        <v>33</v>
      </c>
      <c r="L2611" t="s">
        <v>19</v>
      </c>
      <c r="O2611"/>
    </row>
    <row r="2612" spans="1:15" x14ac:dyDescent="0.3">
      <c r="A2612" t="s">
        <v>2636</v>
      </c>
      <c r="B2612" s="1">
        <v>45680</v>
      </c>
      <c r="C2612" t="s">
        <v>22</v>
      </c>
      <c r="D2612" t="s">
        <v>25</v>
      </c>
      <c r="E2612" s="2">
        <v>27.36</v>
      </c>
      <c r="F2612" s="3">
        <v>99.68</v>
      </c>
      <c r="G2612" s="4">
        <v>539.70000000000005</v>
      </c>
      <c r="H2612">
        <v>1.5</v>
      </c>
      <c r="I2612" s="4">
        <v>809.55</v>
      </c>
      <c r="J2612">
        <v>4.8</v>
      </c>
      <c r="K2612" t="s">
        <v>33</v>
      </c>
      <c r="L2612" t="s">
        <v>28</v>
      </c>
      <c r="O2612"/>
    </row>
    <row r="2613" spans="1:15" x14ac:dyDescent="0.3">
      <c r="A2613" t="s">
        <v>2637</v>
      </c>
      <c r="B2613" s="1">
        <v>45826</v>
      </c>
      <c r="C2613" t="s">
        <v>22</v>
      </c>
      <c r="D2613" t="s">
        <v>25</v>
      </c>
      <c r="E2613" s="2">
        <v>4.05</v>
      </c>
      <c r="F2613" s="3">
        <v>13.64</v>
      </c>
      <c r="G2613" s="4">
        <v>65.040000000000006</v>
      </c>
      <c r="H2613">
        <v>1</v>
      </c>
      <c r="I2613" s="4">
        <v>65.040000000000006</v>
      </c>
      <c r="J2613">
        <v>3.1</v>
      </c>
      <c r="K2613" t="s">
        <v>30</v>
      </c>
      <c r="L2613" t="s">
        <v>26</v>
      </c>
      <c r="O2613"/>
    </row>
    <row r="2614" spans="1:15" x14ac:dyDescent="0.3">
      <c r="A2614" t="s">
        <v>2638</v>
      </c>
      <c r="B2614" s="1">
        <v>45708</v>
      </c>
      <c r="C2614" t="s">
        <v>22</v>
      </c>
      <c r="D2614" t="s">
        <v>14</v>
      </c>
      <c r="E2614" s="2">
        <v>19.55</v>
      </c>
      <c r="F2614" s="3">
        <v>61.39</v>
      </c>
      <c r="G2614" s="4">
        <v>217.57</v>
      </c>
      <c r="H2614">
        <v>1.2</v>
      </c>
      <c r="I2614" s="4">
        <v>261.08</v>
      </c>
      <c r="J2614">
        <v>4</v>
      </c>
      <c r="K2614" t="s">
        <v>15</v>
      </c>
      <c r="L2614" t="s">
        <v>16</v>
      </c>
      <c r="O2614"/>
    </row>
    <row r="2615" spans="1:15" x14ac:dyDescent="0.3">
      <c r="A2615" t="s">
        <v>2639</v>
      </c>
      <c r="B2615" s="1">
        <v>45848</v>
      </c>
      <c r="C2615" t="s">
        <v>21</v>
      </c>
      <c r="D2615" t="s">
        <v>14</v>
      </c>
      <c r="E2615" s="2">
        <v>22.56</v>
      </c>
      <c r="F2615" s="3">
        <v>85.05</v>
      </c>
      <c r="G2615" s="4">
        <v>356.33</v>
      </c>
      <c r="H2615">
        <v>1.2</v>
      </c>
      <c r="I2615" s="4">
        <v>427.6</v>
      </c>
      <c r="J2615">
        <v>3.5</v>
      </c>
      <c r="K2615" t="s">
        <v>36</v>
      </c>
      <c r="L2615" t="s">
        <v>19</v>
      </c>
      <c r="O2615"/>
    </row>
    <row r="2616" spans="1:15" x14ac:dyDescent="0.3">
      <c r="A2616" t="s">
        <v>2640</v>
      </c>
      <c r="B2616" s="1">
        <v>45826</v>
      </c>
      <c r="C2616" t="s">
        <v>25</v>
      </c>
      <c r="D2616" t="s">
        <v>13</v>
      </c>
      <c r="E2616" s="2">
        <v>26.69</v>
      </c>
      <c r="F2616" s="3">
        <v>69.3</v>
      </c>
      <c r="G2616" s="4">
        <v>466.06</v>
      </c>
      <c r="H2616">
        <v>1.2</v>
      </c>
      <c r="I2616" s="4">
        <v>559.27</v>
      </c>
      <c r="J2616">
        <v>3.3</v>
      </c>
      <c r="K2616" t="s">
        <v>30</v>
      </c>
      <c r="L2616" t="s">
        <v>26</v>
      </c>
      <c r="O2616"/>
    </row>
    <row r="2617" spans="1:15" x14ac:dyDescent="0.3">
      <c r="A2617" t="s">
        <v>2641</v>
      </c>
      <c r="B2617" s="1">
        <v>45910</v>
      </c>
      <c r="C2617" t="s">
        <v>25</v>
      </c>
      <c r="D2617" t="s">
        <v>22</v>
      </c>
      <c r="E2617" s="2">
        <v>22.65</v>
      </c>
      <c r="F2617" s="3">
        <v>50.28</v>
      </c>
      <c r="G2617" s="4">
        <v>322.69</v>
      </c>
      <c r="H2617">
        <v>2</v>
      </c>
      <c r="I2617" s="4">
        <v>645.38</v>
      </c>
      <c r="J2617">
        <v>3.5</v>
      </c>
      <c r="K2617" t="s">
        <v>15</v>
      </c>
      <c r="L2617" t="s">
        <v>28</v>
      </c>
      <c r="O2617"/>
    </row>
    <row r="2618" spans="1:15" x14ac:dyDescent="0.3">
      <c r="A2618" t="s">
        <v>2642</v>
      </c>
      <c r="B2618" s="1">
        <v>45890</v>
      </c>
      <c r="C2618" t="s">
        <v>14</v>
      </c>
      <c r="D2618" t="s">
        <v>25</v>
      </c>
      <c r="E2618" s="2">
        <v>5.09</v>
      </c>
      <c r="F2618" s="3">
        <v>18.87</v>
      </c>
      <c r="G2618" s="4">
        <v>80.87</v>
      </c>
      <c r="H2618">
        <v>1.2</v>
      </c>
      <c r="I2618" s="4">
        <v>97.04</v>
      </c>
      <c r="J2618">
        <v>3.9</v>
      </c>
      <c r="K2618" t="s">
        <v>18</v>
      </c>
      <c r="L2618" t="s">
        <v>28</v>
      </c>
      <c r="O2618"/>
    </row>
    <row r="2619" spans="1:15" x14ac:dyDescent="0.3">
      <c r="A2619" t="s">
        <v>2643</v>
      </c>
      <c r="B2619" s="1">
        <v>45975</v>
      </c>
      <c r="C2619" t="s">
        <v>14</v>
      </c>
      <c r="D2619" t="s">
        <v>13</v>
      </c>
      <c r="E2619" s="2">
        <v>15.42</v>
      </c>
      <c r="F2619" s="3">
        <v>32.090000000000003</v>
      </c>
      <c r="G2619" s="4">
        <v>291.87</v>
      </c>
      <c r="H2619">
        <v>1.5</v>
      </c>
      <c r="I2619" s="4">
        <v>437.8</v>
      </c>
      <c r="J2619">
        <v>3.8</v>
      </c>
      <c r="K2619" t="s">
        <v>30</v>
      </c>
      <c r="L2619" t="s">
        <v>16</v>
      </c>
      <c r="O2619"/>
    </row>
    <row r="2620" spans="1:15" x14ac:dyDescent="0.3">
      <c r="A2620" t="s">
        <v>2644</v>
      </c>
      <c r="B2620" s="1">
        <v>45922</v>
      </c>
      <c r="C2620" t="s">
        <v>22</v>
      </c>
      <c r="D2620" t="s">
        <v>25</v>
      </c>
      <c r="E2620" s="2">
        <v>4.49</v>
      </c>
      <c r="F2620" s="3">
        <v>10.27</v>
      </c>
      <c r="G2620" s="4">
        <v>74.58</v>
      </c>
      <c r="H2620">
        <v>2</v>
      </c>
      <c r="I2620" s="4">
        <v>149.16</v>
      </c>
      <c r="J2620">
        <v>4.0999999999999996</v>
      </c>
      <c r="K2620" t="s">
        <v>15</v>
      </c>
      <c r="L2620" t="s">
        <v>16</v>
      </c>
      <c r="O2620"/>
    </row>
    <row r="2621" spans="1:15" x14ac:dyDescent="0.3">
      <c r="A2621" t="s">
        <v>2645</v>
      </c>
      <c r="B2621" s="1">
        <v>45673</v>
      </c>
      <c r="C2621" t="s">
        <v>21</v>
      </c>
      <c r="D2621" t="s">
        <v>21</v>
      </c>
      <c r="E2621" s="2">
        <v>14.04</v>
      </c>
      <c r="F2621" s="3">
        <v>45.29</v>
      </c>
      <c r="G2621" s="4">
        <v>237.04</v>
      </c>
      <c r="H2621">
        <v>1</v>
      </c>
      <c r="I2621" s="4">
        <v>237.04</v>
      </c>
      <c r="J2621">
        <v>3.2</v>
      </c>
      <c r="K2621" t="s">
        <v>36</v>
      </c>
      <c r="L2621" t="s">
        <v>16</v>
      </c>
      <c r="O2621"/>
    </row>
    <row r="2622" spans="1:15" x14ac:dyDescent="0.3">
      <c r="A2622" t="s">
        <v>2646</v>
      </c>
      <c r="B2622" s="1">
        <v>45727</v>
      </c>
      <c r="C2622" t="s">
        <v>14</v>
      </c>
      <c r="D2622" t="s">
        <v>25</v>
      </c>
      <c r="E2622" s="2">
        <v>19.71</v>
      </c>
      <c r="F2622" s="3">
        <v>61.4</v>
      </c>
      <c r="G2622" s="4">
        <v>324.02</v>
      </c>
      <c r="H2622">
        <v>2</v>
      </c>
      <c r="I2622" s="4">
        <v>648.04</v>
      </c>
      <c r="J2622">
        <v>3.7</v>
      </c>
      <c r="K2622" t="s">
        <v>33</v>
      </c>
      <c r="L2622" t="s">
        <v>16</v>
      </c>
      <c r="O2622"/>
    </row>
    <row r="2623" spans="1:15" x14ac:dyDescent="0.3">
      <c r="A2623" t="s">
        <v>2647</v>
      </c>
      <c r="B2623" s="1">
        <v>45893</v>
      </c>
      <c r="C2623" t="s">
        <v>13</v>
      </c>
      <c r="D2623" t="s">
        <v>22</v>
      </c>
      <c r="E2623" s="2">
        <v>19.64</v>
      </c>
      <c r="F2623" s="3">
        <v>59.7</v>
      </c>
      <c r="G2623" s="4">
        <v>330.3</v>
      </c>
      <c r="H2623">
        <v>2</v>
      </c>
      <c r="I2623" s="4">
        <v>660.6</v>
      </c>
      <c r="J2623">
        <v>3.3</v>
      </c>
      <c r="K2623" t="s">
        <v>33</v>
      </c>
      <c r="L2623" t="s">
        <v>16</v>
      </c>
      <c r="O2623"/>
    </row>
    <row r="2624" spans="1:15" x14ac:dyDescent="0.3">
      <c r="A2624" t="s">
        <v>2648</v>
      </c>
      <c r="B2624" s="1">
        <v>45822</v>
      </c>
      <c r="C2624" t="s">
        <v>25</v>
      </c>
      <c r="D2624" t="s">
        <v>22</v>
      </c>
      <c r="E2624" s="2">
        <v>1.04</v>
      </c>
      <c r="F2624" s="3">
        <v>3.24</v>
      </c>
      <c r="G2624" s="4">
        <v>16.54</v>
      </c>
      <c r="H2624">
        <v>2</v>
      </c>
      <c r="I2624" s="4">
        <v>33.08</v>
      </c>
      <c r="J2624">
        <v>4.0999999999999996</v>
      </c>
      <c r="K2624" t="s">
        <v>36</v>
      </c>
      <c r="L2624" t="s">
        <v>26</v>
      </c>
      <c r="O2624"/>
    </row>
    <row r="2625" spans="1:15" x14ac:dyDescent="0.3">
      <c r="A2625" t="s">
        <v>2649</v>
      </c>
      <c r="B2625" s="1">
        <v>45814</v>
      </c>
      <c r="C2625" t="s">
        <v>21</v>
      </c>
      <c r="D2625" t="s">
        <v>25</v>
      </c>
      <c r="E2625" s="2">
        <v>12.07</v>
      </c>
      <c r="F2625" s="3">
        <v>31.84</v>
      </c>
      <c r="G2625" s="4">
        <v>223.64</v>
      </c>
      <c r="H2625">
        <v>1.5</v>
      </c>
      <c r="I2625" s="4">
        <v>335.46</v>
      </c>
      <c r="J2625">
        <v>3.5</v>
      </c>
      <c r="K2625" t="s">
        <v>15</v>
      </c>
      <c r="L2625" t="s">
        <v>26</v>
      </c>
      <c r="O2625"/>
    </row>
    <row r="2626" spans="1:15" x14ac:dyDescent="0.3">
      <c r="A2626" t="s">
        <v>2650</v>
      </c>
      <c r="B2626" s="1">
        <v>45766</v>
      </c>
      <c r="C2626" t="s">
        <v>25</v>
      </c>
      <c r="D2626" t="s">
        <v>13</v>
      </c>
      <c r="E2626" s="2">
        <v>1.45</v>
      </c>
      <c r="F2626" s="3">
        <v>3.51</v>
      </c>
      <c r="G2626" s="4">
        <v>22.02</v>
      </c>
      <c r="H2626">
        <v>2</v>
      </c>
      <c r="I2626" s="4">
        <v>44.04</v>
      </c>
      <c r="J2626">
        <v>3.9</v>
      </c>
      <c r="K2626" t="s">
        <v>36</v>
      </c>
      <c r="L2626" t="s">
        <v>26</v>
      </c>
      <c r="O2626"/>
    </row>
    <row r="2627" spans="1:15" x14ac:dyDescent="0.3">
      <c r="A2627" t="s">
        <v>2651</v>
      </c>
      <c r="B2627" s="1">
        <v>45986</v>
      </c>
      <c r="C2627" t="s">
        <v>14</v>
      </c>
      <c r="D2627" t="s">
        <v>13</v>
      </c>
      <c r="E2627" s="2">
        <v>26.98</v>
      </c>
      <c r="F2627" s="3">
        <v>100.45</v>
      </c>
      <c r="G2627" s="4">
        <v>314.06</v>
      </c>
      <c r="H2627">
        <v>1.5</v>
      </c>
      <c r="I2627" s="4">
        <v>471.09</v>
      </c>
      <c r="J2627">
        <v>4.8</v>
      </c>
      <c r="K2627" t="s">
        <v>30</v>
      </c>
      <c r="L2627" t="s">
        <v>19</v>
      </c>
      <c r="O2627"/>
    </row>
    <row r="2628" spans="1:15" x14ac:dyDescent="0.3">
      <c r="A2628" t="s">
        <v>2652</v>
      </c>
      <c r="B2628" s="1">
        <v>45991</v>
      </c>
      <c r="C2628" t="s">
        <v>21</v>
      </c>
      <c r="D2628" t="s">
        <v>13</v>
      </c>
      <c r="E2628" s="2">
        <v>9.31</v>
      </c>
      <c r="F2628" s="3">
        <v>36.72</v>
      </c>
      <c r="G2628" s="4">
        <v>145.1</v>
      </c>
      <c r="H2628">
        <v>1.2</v>
      </c>
      <c r="I2628" s="4">
        <v>174.12</v>
      </c>
      <c r="J2628">
        <v>4.2</v>
      </c>
      <c r="K2628" t="s">
        <v>18</v>
      </c>
      <c r="L2628" t="s">
        <v>26</v>
      </c>
      <c r="O2628"/>
    </row>
    <row r="2629" spans="1:15" x14ac:dyDescent="0.3">
      <c r="A2629" t="s">
        <v>2653</v>
      </c>
      <c r="B2629" s="1">
        <v>45666</v>
      </c>
      <c r="C2629" t="s">
        <v>25</v>
      </c>
      <c r="D2629" t="s">
        <v>14</v>
      </c>
      <c r="E2629" s="2">
        <v>26.67</v>
      </c>
      <c r="F2629" s="3">
        <v>79.040000000000006</v>
      </c>
      <c r="G2629" s="4">
        <v>452.72</v>
      </c>
      <c r="H2629">
        <v>1.2</v>
      </c>
      <c r="I2629" s="4">
        <v>543.26</v>
      </c>
      <c r="J2629">
        <v>4.7</v>
      </c>
      <c r="K2629" t="s">
        <v>36</v>
      </c>
      <c r="L2629" t="s">
        <v>19</v>
      </c>
      <c r="O2629"/>
    </row>
    <row r="2630" spans="1:15" x14ac:dyDescent="0.3">
      <c r="A2630" t="s">
        <v>2654</v>
      </c>
      <c r="B2630" s="1">
        <v>45926</v>
      </c>
      <c r="C2630" t="s">
        <v>21</v>
      </c>
      <c r="D2630" t="s">
        <v>13</v>
      </c>
      <c r="E2630" s="2">
        <v>23.89</v>
      </c>
      <c r="F2630" s="3">
        <v>56.35</v>
      </c>
      <c r="G2630" s="4">
        <v>375.84</v>
      </c>
      <c r="H2630">
        <v>1</v>
      </c>
      <c r="I2630" s="4">
        <v>375.84</v>
      </c>
      <c r="J2630">
        <v>3.9</v>
      </c>
      <c r="K2630" t="s">
        <v>18</v>
      </c>
      <c r="L2630" t="s">
        <v>16</v>
      </c>
      <c r="O2630"/>
    </row>
    <row r="2631" spans="1:15" x14ac:dyDescent="0.3">
      <c r="A2631" t="s">
        <v>2655</v>
      </c>
      <c r="B2631" s="1">
        <v>45729</v>
      </c>
      <c r="C2631" t="s">
        <v>14</v>
      </c>
      <c r="D2631" t="s">
        <v>13</v>
      </c>
      <c r="E2631" s="2">
        <v>24.04</v>
      </c>
      <c r="F2631" s="3">
        <v>71.66</v>
      </c>
      <c r="G2631" s="4">
        <v>249.97</v>
      </c>
      <c r="H2631">
        <v>1.2</v>
      </c>
      <c r="I2631" s="4">
        <v>299.95999999999998</v>
      </c>
      <c r="J2631">
        <v>5</v>
      </c>
      <c r="K2631" t="s">
        <v>33</v>
      </c>
      <c r="L2631" t="s">
        <v>26</v>
      </c>
      <c r="O2631"/>
    </row>
    <row r="2632" spans="1:15" x14ac:dyDescent="0.3">
      <c r="A2632" t="s">
        <v>2656</v>
      </c>
      <c r="B2632" s="1">
        <v>45991</v>
      </c>
      <c r="C2632" t="s">
        <v>14</v>
      </c>
      <c r="D2632" t="s">
        <v>13</v>
      </c>
      <c r="E2632" s="2">
        <v>19.309999999999999</v>
      </c>
      <c r="F2632" s="3">
        <v>41.93</v>
      </c>
      <c r="G2632" s="4">
        <v>375.94</v>
      </c>
      <c r="H2632">
        <v>1</v>
      </c>
      <c r="I2632" s="4">
        <v>375.94</v>
      </c>
      <c r="J2632">
        <v>3.7</v>
      </c>
      <c r="K2632" t="s">
        <v>33</v>
      </c>
      <c r="L2632" t="s">
        <v>26</v>
      </c>
      <c r="O2632"/>
    </row>
    <row r="2633" spans="1:15" x14ac:dyDescent="0.3">
      <c r="A2633" t="s">
        <v>2657</v>
      </c>
      <c r="B2633" s="1">
        <v>45950</v>
      </c>
      <c r="C2633" t="s">
        <v>21</v>
      </c>
      <c r="D2633" t="s">
        <v>21</v>
      </c>
      <c r="E2633" s="2">
        <v>4.74</v>
      </c>
      <c r="F2633" s="3">
        <v>18.45</v>
      </c>
      <c r="G2633" s="4">
        <v>81.14</v>
      </c>
      <c r="H2633">
        <v>1</v>
      </c>
      <c r="I2633" s="4">
        <v>81.14</v>
      </c>
      <c r="J2633">
        <v>3.9</v>
      </c>
      <c r="K2633" t="s">
        <v>15</v>
      </c>
      <c r="L2633" t="s">
        <v>28</v>
      </c>
      <c r="O2633"/>
    </row>
    <row r="2634" spans="1:15" x14ac:dyDescent="0.3">
      <c r="A2634" t="s">
        <v>2658</v>
      </c>
      <c r="B2634" s="1">
        <v>45808</v>
      </c>
      <c r="C2634" t="s">
        <v>25</v>
      </c>
      <c r="D2634" t="s">
        <v>14</v>
      </c>
      <c r="E2634" s="2">
        <v>22.97</v>
      </c>
      <c r="F2634" s="3">
        <v>58.16</v>
      </c>
      <c r="G2634" s="4">
        <v>434.21</v>
      </c>
      <c r="H2634">
        <v>1.2</v>
      </c>
      <c r="I2634" s="4">
        <v>521.04999999999995</v>
      </c>
      <c r="J2634">
        <v>5</v>
      </c>
      <c r="K2634" t="s">
        <v>33</v>
      </c>
      <c r="L2634" t="s">
        <v>26</v>
      </c>
      <c r="O2634"/>
    </row>
    <row r="2635" spans="1:15" x14ac:dyDescent="0.3">
      <c r="A2635" t="s">
        <v>2659</v>
      </c>
      <c r="B2635" s="1">
        <v>45761</v>
      </c>
      <c r="C2635" t="s">
        <v>13</v>
      </c>
      <c r="D2635" t="s">
        <v>13</v>
      </c>
      <c r="E2635" s="2">
        <v>28.17</v>
      </c>
      <c r="F2635" s="3">
        <v>56.4</v>
      </c>
      <c r="G2635" s="4">
        <v>533.61</v>
      </c>
      <c r="H2635">
        <v>1.2</v>
      </c>
      <c r="I2635" s="4">
        <v>640.33000000000004</v>
      </c>
      <c r="J2635">
        <v>3.2</v>
      </c>
      <c r="K2635" t="s">
        <v>33</v>
      </c>
      <c r="L2635" t="s">
        <v>28</v>
      </c>
      <c r="O2635"/>
    </row>
    <row r="2636" spans="1:15" x14ac:dyDescent="0.3">
      <c r="A2636" t="s">
        <v>2660</v>
      </c>
      <c r="B2636" s="1">
        <v>45978</v>
      </c>
      <c r="C2636" t="s">
        <v>25</v>
      </c>
      <c r="D2636" t="s">
        <v>13</v>
      </c>
      <c r="E2636" s="2">
        <v>7.61</v>
      </c>
      <c r="F2636" s="3">
        <v>20.04</v>
      </c>
      <c r="G2636" s="4">
        <v>92.35</v>
      </c>
      <c r="H2636">
        <v>2</v>
      </c>
      <c r="I2636" s="4">
        <v>184.7</v>
      </c>
      <c r="J2636">
        <v>3.6</v>
      </c>
      <c r="K2636" t="s">
        <v>33</v>
      </c>
      <c r="L2636" t="s">
        <v>19</v>
      </c>
      <c r="O2636"/>
    </row>
    <row r="2637" spans="1:15" x14ac:dyDescent="0.3">
      <c r="A2637" t="s">
        <v>2661</v>
      </c>
      <c r="B2637" s="1">
        <v>46009</v>
      </c>
      <c r="C2637" t="s">
        <v>22</v>
      </c>
      <c r="D2637" t="s">
        <v>21</v>
      </c>
      <c r="E2637" s="2">
        <v>14.47</v>
      </c>
      <c r="F2637" s="3">
        <v>50.59</v>
      </c>
      <c r="G2637" s="4">
        <v>176.77</v>
      </c>
      <c r="H2637">
        <v>1.2</v>
      </c>
      <c r="I2637" s="4">
        <v>212.12</v>
      </c>
      <c r="J2637">
        <v>3.3</v>
      </c>
      <c r="K2637" t="s">
        <v>15</v>
      </c>
      <c r="L2637" t="s">
        <v>19</v>
      </c>
      <c r="O2637"/>
    </row>
    <row r="2638" spans="1:15" x14ac:dyDescent="0.3">
      <c r="A2638" t="s">
        <v>2662</v>
      </c>
      <c r="B2638" s="1">
        <v>45870</v>
      </c>
      <c r="C2638" t="s">
        <v>22</v>
      </c>
      <c r="D2638" t="s">
        <v>14</v>
      </c>
      <c r="E2638" s="2">
        <v>28.67</v>
      </c>
      <c r="F2638" s="3">
        <v>114.13</v>
      </c>
      <c r="G2638" s="4">
        <v>518.26</v>
      </c>
      <c r="H2638">
        <v>1.2</v>
      </c>
      <c r="I2638" s="4">
        <v>621.91</v>
      </c>
      <c r="J2638">
        <v>4.3</v>
      </c>
      <c r="K2638" t="s">
        <v>36</v>
      </c>
      <c r="L2638" t="s">
        <v>19</v>
      </c>
      <c r="O2638"/>
    </row>
    <row r="2639" spans="1:15" x14ac:dyDescent="0.3">
      <c r="A2639" t="s">
        <v>2663</v>
      </c>
      <c r="B2639" s="1">
        <v>45778</v>
      </c>
      <c r="C2639" t="s">
        <v>22</v>
      </c>
      <c r="D2639" t="s">
        <v>22</v>
      </c>
      <c r="E2639" s="2">
        <v>10.87</v>
      </c>
      <c r="F2639" s="3">
        <v>28.66</v>
      </c>
      <c r="G2639" s="4">
        <v>212.67</v>
      </c>
      <c r="H2639">
        <v>1.5</v>
      </c>
      <c r="I2639" s="4">
        <v>319</v>
      </c>
      <c r="J2639">
        <v>3.4</v>
      </c>
      <c r="K2639" t="s">
        <v>15</v>
      </c>
      <c r="L2639" t="s">
        <v>28</v>
      </c>
      <c r="O2639"/>
    </row>
    <row r="2640" spans="1:15" x14ac:dyDescent="0.3">
      <c r="A2640" t="s">
        <v>2664</v>
      </c>
      <c r="B2640" s="1">
        <v>45827</v>
      </c>
      <c r="C2640" t="s">
        <v>22</v>
      </c>
      <c r="D2640" t="s">
        <v>13</v>
      </c>
      <c r="E2640" s="2">
        <v>6.39</v>
      </c>
      <c r="F2640" s="3">
        <v>24.4</v>
      </c>
      <c r="G2640" s="4">
        <v>116.8</v>
      </c>
      <c r="H2640">
        <v>1.2</v>
      </c>
      <c r="I2640" s="4">
        <v>140.16</v>
      </c>
      <c r="J2640">
        <v>3.3</v>
      </c>
      <c r="K2640" t="s">
        <v>30</v>
      </c>
      <c r="L2640" t="s">
        <v>19</v>
      </c>
      <c r="O2640"/>
    </row>
    <row r="2641" spans="1:15" x14ac:dyDescent="0.3">
      <c r="A2641" t="s">
        <v>2665</v>
      </c>
      <c r="B2641" s="1">
        <v>45936</v>
      </c>
      <c r="C2641" t="s">
        <v>13</v>
      </c>
      <c r="D2641" t="s">
        <v>14</v>
      </c>
      <c r="E2641" s="2">
        <v>3.35</v>
      </c>
      <c r="F2641" s="3">
        <v>11.1</v>
      </c>
      <c r="G2641" s="4">
        <v>55.4</v>
      </c>
      <c r="H2641">
        <v>2</v>
      </c>
      <c r="I2641" s="4">
        <v>110.8</v>
      </c>
      <c r="J2641">
        <v>4.3</v>
      </c>
      <c r="K2641" t="s">
        <v>18</v>
      </c>
      <c r="L2641" t="s">
        <v>19</v>
      </c>
      <c r="O2641"/>
    </row>
    <row r="2642" spans="1:15" x14ac:dyDescent="0.3">
      <c r="A2642" t="s">
        <v>2666</v>
      </c>
      <c r="B2642" s="1">
        <v>45823</v>
      </c>
      <c r="C2642" t="s">
        <v>25</v>
      </c>
      <c r="D2642" t="s">
        <v>22</v>
      </c>
      <c r="E2642" s="2">
        <v>29.79</v>
      </c>
      <c r="F2642" s="3">
        <v>100</v>
      </c>
      <c r="G2642" s="4">
        <v>515.39</v>
      </c>
      <c r="H2642">
        <v>2</v>
      </c>
      <c r="I2642" s="4">
        <v>1030.78</v>
      </c>
      <c r="J2642">
        <v>3.7</v>
      </c>
      <c r="K2642" t="s">
        <v>15</v>
      </c>
      <c r="L2642" t="s">
        <v>26</v>
      </c>
      <c r="O2642"/>
    </row>
    <row r="2643" spans="1:15" x14ac:dyDescent="0.3">
      <c r="A2643" t="s">
        <v>2667</v>
      </c>
      <c r="B2643" s="1">
        <v>45755</v>
      </c>
      <c r="C2643" t="s">
        <v>14</v>
      </c>
      <c r="D2643" t="s">
        <v>21</v>
      </c>
      <c r="E2643" s="2">
        <v>9.0299999999999994</v>
      </c>
      <c r="F2643" s="3">
        <v>22.56</v>
      </c>
      <c r="G2643" s="4">
        <v>111.48</v>
      </c>
      <c r="H2643">
        <v>1.2</v>
      </c>
      <c r="I2643" s="4">
        <v>133.78</v>
      </c>
      <c r="J2643">
        <v>3.3</v>
      </c>
      <c r="K2643" t="s">
        <v>36</v>
      </c>
      <c r="L2643" t="s">
        <v>19</v>
      </c>
      <c r="O2643"/>
    </row>
    <row r="2644" spans="1:15" x14ac:dyDescent="0.3">
      <c r="A2644" t="s">
        <v>2668</v>
      </c>
      <c r="B2644" s="1">
        <v>45911</v>
      </c>
      <c r="C2644" t="s">
        <v>14</v>
      </c>
      <c r="D2644" t="s">
        <v>25</v>
      </c>
      <c r="E2644" s="2">
        <v>3.22</v>
      </c>
      <c r="F2644" s="3">
        <v>7.06</v>
      </c>
      <c r="G2644" s="4">
        <v>48.14</v>
      </c>
      <c r="H2644">
        <v>1.5</v>
      </c>
      <c r="I2644" s="4">
        <v>72.209999999999994</v>
      </c>
      <c r="J2644">
        <v>3</v>
      </c>
      <c r="K2644" t="s">
        <v>33</v>
      </c>
      <c r="L2644" t="s">
        <v>26</v>
      </c>
      <c r="O2644"/>
    </row>
    <row r="2645" spans="1:15" x14ac:dyDescent="0.3">
      <c r="A2645" t="s">
        <v>2669</v>
      </c>
      <c r="B2645" s="1">
        <v>45744</v>
      </c>
      <c r="C2645" t="s">
        <v>25</v>
      </c>
      <c r="D2645" t="s">
        <v>14</v>
      </c>
      <c r="E2645" s="2">
        <v>28.19</v>
      </c>
      <c r="F2645" s="3">
        <v>64.36</v>
      </c>
      <c r="G2645" s="4">
        <v>387.82</v>
      </c>
      <c r="H2645">
        <v>1.2</v>
      </c>
      <c r="I2645" s="4">
        <v>465.38</v>
      </c>
      <c r="J2645">
        <v>4</v>
      </c>
      <c r="K2645" t="s">
        <v>30</v>
      </c>
      <c r="L2645" t="s">
        <v>19</v>
      </c>
      <c r="O2645"/>
    </row>
    <row r="2646" spans="1:15" x14ac:dyDescent="0.3">
      <c r="A2646" t="s">
        <v>2670</v>
      </c>
      <c r="B2646" s="1">
        <v>45854</v>
      </c>
      <c r="C2646" t="s">
        <v>14</v>
      </c>
      <c r="D2646" t="s">
        <v>21</v>
      </c>
      <c r="E2646" s="2">
        <v>15.16</v>
      </c>
      <c r="F2646" s="3">
        <v>31.13</v>
      </c>
      <c r="G2646" s="4">
        <v>258.93</v>
      </c>
      <c r="H2646">
        <v>1</v>
      </c>
      <c r="I2646" s="4">
        <v>258.93</v>
      </c>
      <c r="J2646">
        <v>4.0999999999999996</v>
      </c>
      <c r="K2646" t="s">
        <v>36</v>
      </c>
      <c r="L2646" t="s">
        <v>28</v>
      </c>
      <c r="O2646"/>
    </row>
    <row r="2647" spans="1:15" x14ac:dyDescent="0.3">
      <c r="A2647" t="s">
        <v>2671</v>
      </c>
      <c r="B2647" s="1">
        <v>45661</v>
      </c>
      <c r="C2647" t="s">
        <v>21</v>
      </c>
      <c r="D2647" t="s">
        <v>13</v>
      </c>
      <c r="E2647" s="2">
        <v>26.92</v>
      </c>
      <c r="F2647" s="3">
        <v>67.66</v>
      </c>
      <c r="G2647" s="4">
        <v>333.88</v>
      </c>
      <c r="H2647">
        <v>1.5</v>
      </c>
      <c r="I2647" s="4">
        <v>500.82</v>
      </c>
      <c r="J2647">
        <v>4.9000000000000004</v>
      </c>
      <c r="K2647" t="s">
        <v>36</v>
      </c>
      <c r="L2647" t="s">
        <v>16</v>
      </c>
      <c r="O2647"/>
    </row>
    <row r="2648" spans="1:15" x14ac:dyDescent="0.3">
      <c r="A2648" t="s">
        <v>2672</v>
      </c>
      <c r="B2648" s="1">
        <v>45674</v>
      </c>
      <c r="C2648" t="s">
        <v>22</v>
      </c>
      <c r="D2648" t="s">
        <v>21</v>
      </c>
      <c r="E2648" s="2">
        <v>4.1100000000000003</v>
      </c>
      <c r="F2648" s="3">
        <v>13.95</v>
      </c>
      <c r="G2648" s="4">
        <v>49.62</v>
      </c>
      <c r="H2648">
        <v>1.5</v>
      </c>
      <c r="I2648" s="4">
        <v>74.430000000000007</v>
      </c>
      <c r="J2648">
        <v>5</v>
      </c>
      <c r="K2648" t="s">
        <v>33</v>
      </c>
      <c r="L2648" t="s">
        <v>16</v>
      </c>
      <c r="O2648"/>
    </row>
    <row r="2649" spans="1:15" x14ac:dyDescent="0.3">
      <c r="A2649" t="s">
        <v>2673</v>
      </c>
      <c r="B2649" s="1">
        <v>45891</v>
      </c>
      <c r="C2649" t="s">
        <v>14</v>
      </c>
      <c r="D2649" t="s">
        <v>14</v>
      </c>
      <c r="E2649" s="2">
        <v>8.41</v>
      </c>
      <c r="F2649" s="3">
        <v>21.82</v>
      </c>
      <c r="G2649" s="4">
        <v>148.72999999999999</v>
      </c>
      <c r="H2649">
        <v>1.5</v>
      </c>
      <c r="I2649" s="4">
        <v>223.09</v>
      </c>
      <c r="J2649">
        <v>3.4</v>
      </c>
      <c r="K2649" t="s">
        <v>15</v>
      </c>
      <c r="L2649" t="s">
        <v>28</v>
      </c>
      <c r="O2649"/>
    </row>
    <row r="2650" spans="1:15" x14ac:dyDescent="0.3">
      <c r="A2650" t="s">
        <v>2674</v>
      </c>
      <c r="B2650" s="1">
        <v>45746</v>
      </c>
      <c r="C2650" t="s">
        <v>25</v>
      </c>
      <c r="D2650" t="s">
        <v>22</v>
      </c>
      <c r="E2650" s="2">
        <v>3.46</v>
      </c>
      <c r="F2650" s="3">
        <v>12.05</v>
      </c>
      <c r="G2650" s="4">
        <v>58.59</v>
      </c>
      <c r="H2650">
        <v>1.2</v>
      </c>
      <c r="I2650" s="4">
        <v>70.31</v>
      </c>
      <c r="J2650">
        <v>4.7</v>
      </c>
      <c r="K2650" t="s">
        <v>36</v>
      </c>
      <c r="L2650" t="s">
        <v>16</v>
      </c>
      <c r="O2650"/>
    </row>
    <row r="2651" spans="1:15" x14ac:dyDescent="0.3">
      <c r="A2651" t="s">
        <v>2675</v>
      </c>
      <c r="B2651" s="1">
        <v>45810</v>
      </c>
      <c r="C2651" t="s">
        <v>21</v>
      </c>
      <c r="D2651" t="s">
        <v>25</v>
      </c>
      <c r="E2651" s="2">
        <v>19.239999999999998</v>
      </c>
      <c r="F2651" s="3">
        <v>67.81</v>
      </c>
      <c r="G2651" s="4">
        <v>361.04</v>
      </c>
      <c r="H2651">
        <v>2</v>
      </c>
      <c r="I2651" s="4">
        <v>722.08</v>
      </c>
      <c r="J2651">
        <v>3.4</v>
      </c>
      <c r="K2651" t="s">
        <v>15</v>
      </c>
      <c r="L2651" t="s">
        <v>26</v>
      </c>
      <c r="O2651"/>
    </row>
    <row r="2652" spans="1:15" x14ac:dyDescent="0.3">
      <c r="A2652" t="s">
        <v>2676</v>
      </c>
      <c r="B2652" s="1">
        <v>45909</v>
      </c>
      <c r="C2652" t="s">
        <v>25</v>
      </c>
      <c r="D2652" t="s">
        <v>14</v>
      </c>
      <c r="E2652" s="2">
        <v>17.86</v>
      </c>
      <c r="F2652" s="3">
        <v>68.180000000000007</v>
      </c>
      <c r="G2652" s="4">
        <v>323</v>
      </c>
      <c r="H2652">
        <v>1.5</v>
      </c>
      <c r="I2652" s="4">
        <v>484.5</v>
      </c>
      <c r="J2652">
        <v>4.7</v>
      </c>
      <c r="K2652" t="s">
        <v>33</v>
      </c>
      <c r="L2652" t="s">
        <v>16</v>
      </c>
      <c r="O2652"/>
    </row>
    <row r="2653" spans="1:15" x14ac:dyDescent="0.3">
      <c r="A2653" t="s">
        <v>2677</v>
      </c>
      <c r="B2653" s="1">
        <v>45967</v>
      </c>
      <c r="C2653" t="s">
        <v>25</v>
      </c>
      <c r="D2653" t="s">
        <v>14</v>
      </c>
      <c r="E2653" s="2">
        <v>2.06</v>
      </c>
      <c r="F2653" s="3">
        <v>6.58</v>
      </c>
      <c r="G2653" s="4">
        <v>28.61</v>
      </c>
      <c r="H2653">
        <v>1.5</v>
      </c>
      <c r="I2653" s="4">
        <v>42.92</v>
      </c>
      <c r="J2653">
        <v>3.8</v>
      </c>
      <c r="K2653" t="s">
        <v>33</v>
      </c>
      <c r="L2653" t="s">
        <v>16</v>
      </c>
      <c r="O2653"/>
    </row>
    <row r="2654" spans="1:15" x14ac:dyDescent="0.3">
      <c r="A2654" t="s">
        <v>2678</v>
      </c>
      <c r="B2654" s="1">
        <v>45710</v>
      </c>
      <c r="C2654" t="s">
        <v>25</v>
      </c>
      <c r="D2654" t="s">
        <v>22</v>
      </c>
      <c r="E2654" s="2">
        <v>13.53</v>
      </c>
      <c r="F2654" s="3">
        <v>41.35</v>
      </c>
      <c r="G2654" s="4">
        <v>172.24</v>
      </c>
      <c r="H2654">
        <v>2</v>
      </c>
      <c r="I2654" s="4">
        <v>344.48</v>
      </c>
      <c r="J2654">
        <v>3</v>
      </c>
      <c r="K2654" t="s">
        <v>18</v>
      </c>
      <c r="L2654" t="s">
        <v>28</v>
      </c>
      <c r="O2654"/>
    </row>
    <row r="2655" spans="1:15" x14ac:dyDescent="0.3">
      <c r="A2655" t="s">
        <v>2679</v>
      </c>
      <c r="B2655" s="1">
        <v>45740</v>
      </c>
      <c r="C2655" t="s">
        <v>21</v>
      </c>
      <c r="D2655" t="s">
        <v>14</v>
      </c>
      <c r="E2655" s="2">
        <v>6.06</v>
      </c>
      <c r="F2655" s="3">
        <v>19.260000000000002</v>
      </c>
      <c r="G2655" s="4">
        <v>76.010000000000005</v>
      </c>
      <c r="H2655">
        <v>2</v>
      </c>
      <c r="I2655" s="4">
        <v>152.02000000000001</v>
      </c>
      <c r="J2655">
        <v>3.2</v>
      </c>
      <c r="K2655" t="s">
        <v>18</v>
      </c>
      <c r="L2655" t="s">
        <v>28</v>
      </c>
      <c r="O2655"/>
    </row>
    <row r="2656" spans="1:15" x14ac:dyDescent="0.3">
      <c r="A2656" t="s">
        <v>2680</v>
      </c>
      <c r="B2656" s="1">
        <v>45836</v>
      </c>
      <c r="C2656" t="s">
        <v>14</v>
      </c>
      <c r="D2656" t="s">
        <v>14</v>
      </c>
      <c r="E2656" s="2">
        <v>19.93</v>
      </c>
      <c r="F2656" s="3">
        <v>44.7</v>
      </c>
      <c r="G2656" s="4">
        <v>234.28</v>
      </c>
      <c r="H2656">
        <v>1</v>
      </c>
      <c r="I2656" s="4">
        <v>234.28</v>
      </c>
      <c r="J2656">
        <v>4.3</v>
      </c>
      <c r="K2656" t="s">
        <v>18</v>
      </c>
      <c r="L2656" t="s">
        <v>26</v>
      </c>
      <c r="O2656"/>
    </row>
    <row r="2657" spans="1:15" x14ac:dyDescent="0.3">
      <c r="A2657" t="s">
        <v>2681</v>
      </c>
      <c r="B2657" s="1">
        <v>45801</v>
      </c>
      <c r="C2657" t="s">
        <v>13</v>
      </c>
      <c r="D2657" t="s">
        <v>21</v>
      </c>
      <c r="E2657" s="2">
        <v>12.52</v>
      </c>
      <c r="F2657" s="3">
        <v>40.04</v>
      </c>
      <c r="G2657" s="4">
        <v>155.44</v>
      </c>
      <c r="H2657">
        <v>2</v>
      </c>
      <c r="I2657" s="4">
        <v>310.88</v>
      </c>
      <c r="J2657">
        <v>3.3</v>
      </c>
      <c r="K2657" t="s">
        <v>15</v>
      </c>
      <c r="L2657" t="s">
        <v>28</v>
      </c>
      <c r="O2657"/>
    </row>
    <row r="2658" spans="1:15" x14ac:dyDescent="0.3">
      <c r="A2658" t="s">
        <v>2682</v>
      </c>
      <c r="B2658" s="1">
        <v>45884</v>
      </c>
      <c r="C2658" t="s">
        <v>14</v>
      </c>
      <c r="D2658" t="s">
        <v>25</v>
      </c>
      <c r="E2658" s="2">
        <v>2.0099999999999998</v>
      </c>
      <c r="F2658" s="3">
        <v>5.9</v>
      </c>
      <c r="G2658" s="4">
        <v>28.11</v>
      </c>
      <c r="H2658">
        <v>1</v>
      </c>
      <c r="I2658" s="4">
        <v>28.11</v>
      </c>
      <c r="J2658">
        <v>4</v>
      </c>
      <c r="K2658" t="s">
        <v>30</v>
      </c>
      <c r="L2658" t="s">
        <v>28</v>
      </c>
      <c r="O2658"/>
    </row>
    <row r="2659" spans="1:15" x14ac:dyDescent="0.3">
      <c r="A2659" t="s">
        <v>2683</v>
      </c>
      <c r="B2659" s="1">
        <v>45826</v>
      </c>
      <c r="C2659" t="s">
        <v>25</v>
      </c>
      <c r="D2659" t="s">
        <v>21</v>
      </c>
      <c r="E2659" s="2">
        <v>29.79</v>
      </c>
      <c r="F2659" s="3">
        <v>83.15</v>
      </c>
      <c r="G2659" s="4">
        <v>483.96</v>
      </c>
      <c r="H2659">
        <v>2</v>
      </c>
      <c r="I2659" s="4">
        <v>967.92</v>
      </c>
      <c r="J2659">
        <v>3.2</v>
      </c>
      <c r="K2659" t="s">
        <v>36</v>
      </c>
      <c r="L2659" t="s">
        <v>28</v>
      </c>
      <c r="O2659"/>
    </row>
    <row r="2660" spans="1:15" x14ac:dyDescent="0.3">
      <c r="A2660" t="s">
        <v>2684</v>
      </c>
      <c r="B2660" s="1">
        <v>45745</v>
      </c>
      <c r="C2660" t="s">
        <v>13</v>
      </c>
      <c r="D2660" t="s">
        <v>21</v>
      </c>
      <c r="E2660" s="2">
        <v>22.39</v>
      </c>
      <c r="F2660" s="3">
        <v>50.52</v>
      </c>
      <c r="G2660" s="4">
        <v>338.56</v>
      </c>
      <c r="H2660">
        <v>1</v>
      </c>
      <c r="I2660" s="4">
        <v>338.56</v>
      </c>
      <c r="J2660">
        <v>3.8</v>
      </c>
      <c r="K2660" t="s">
        <v>36</v>
      </c>
      <c r="L2660" t="s">
        <v>16</v>
      </c>
      <c r="O2660"/>
    </row>
    <row r="2661" spans="1:15" x14ac:dyDescent="0.3">
      <c r="A2661" t="s">
        <v>2685</v>
      </c>
      <c r="B2661" s="1">
        <v>45920</v>
      </c>
      <c r="C2661" t="s">
        <v>22</v>
      </c>
      <c r="D2661" t="s">
        <v>21</v>
      </c>
      <c r="E2661" s="2">
        <v>13.36</v>
      </c>
      <c r="F2661" s="3">
        <v>30.22</v>
      </c>
      <c r="G2661" s="4">
        <v>226.98</v>
      </c>
      <c r="H2661">
        <v>1</v>
      </c>
      <c r="I2661" s="4">
        <v>226.98</v>
      </c>
      <c r="J2661">
        <v>3.3</v>
      </c>
      <c r="K2661" t="s">
        <v>36</v>
      </c>
      <c r="L2661" t="s">
        <v>26</v>
      </c>
      <c r="O2661"/>
    </row>
    <row r="2662" spans="1:15" x14ac:dyDescent="0.3">
      <c r="A2662" t="s">
        <v>2686</v>
      </c>
      <c r="B2662" s="1">
        <v>45842</v>
      </c>
      <c r="C2662" t="s">
        <v>21</v>
      </c>
      <c r="D2662" t="s">
        <v>25</v>
      </c>
      <c r="E2662" s="2">
        <v>27.74</v>
      </c>
      <c r="F2662" s="3">
        <v>99.35</v>
      </c>
      <c r="G2662" s="4">
        <v>333.09</v>
      </c>
      <c r="H2662">
        <v>1</v>
      </c>
      <c r="I2662" s="4">
        <v>333.09</v>
      </c>
      <c r="J2662">
        <v>3.2</v>
      </c>
      <c r="K2662" t="s">
        <v>30</v>
      </c>
      <c r="L2662" t="s">
        <v>26</v>
      </c>
      <c r="O2662"/>
    </row>
    <row r="2663" spans="1:15" x14ac:dyDescent="0.3">
      <c r="A2663" t="s">
        <v>2687</v>
      </c>
      <c r="B2663" s="1">
        <v>45698</v>
      </c>
      <c r="C2663" t="s">
        <v>21</v>
      </c>
      <c r="D2663" t="s">
        <v>25</v>
      </c>
      <c r="E2663" s="2">
        <v>26.21</v>
      </c>
      <c r="F2663" s="3">
        <v>56.21</v>
      </c>
      <c r="G2663" s="4">
        <v>491.67</v>
      </c>
      <c r="H2663">
        <v>1.2</v>
      </c>
      <c r="I2663" s="4">
        <v>590</v>
      </c>
      <c r="J2663">
        <v>4</v>
      </c>
      <c r="K2663" t="s">
        <v>30</v>
      </c>
      <c r="L2663" t="s">
        <v>26</v>
      </c>
      <c r="O2663"/>
    </row>
    <row r="2664" spans="1:15" x14ac:dyDescent="0.3">
      <c r="A2664" t="s">
        <v>2688</v>
      </c>
      <c r="B2664" s="1">
        <v>45932</v>
      </c>
      <c r="C2664" t="s">
        <v>25</v>
      </c>
      <c r="D2664" t="s">
        <v>14</v>
      </c>
      <c r="E2664" s="2">
        <v>9.98</v>
      </c>
      <c r="F2664" s="3">
        <v>25.89</v>
      </c>
      <c r="G2664" s="4">
        <v>130.32</v>
      </c>
      <c r="H2664">
        <v>2</v>
      </c>
      <c r="I2664" s="4">
        <v>260.64</v>
      </c>
      <c r="J2664">
        <v>3.5</v>
      </c>
      <c r="K2664" t="s">
        <v>36</v>
      </c>
      <c r="L2664" t="s">
        <v>28</v>
      </c>
      <c r="O2664"/>
    </row>
    <row r="2665" spans="1:15" x14ac:dyDescent="0.3">
      <c r="A2665" t="s">
        <v>2689</v>
      </c>
      <c r="B2665" s="1">
        <v>46017</v>
      </c>
      <c r="C2665" t="s">
        <v>21</v>
      </c>
      <c r="D2665" t="s">
        <v>14</v>
      </c>
      <c r="E2665" s="2">
        <v>20.420000000000002</v>
      </c>
      <c r="F2665" s="3">
        <v>73.459999999999994</v>
      </c>
      <c r="G2665" s="4">
        <v>256.7</v>
      </c>
      <c r="H2665">
        <v>2</v>
      </c>
      <c r="I2665" s="4">
        <v>513.4</v>
      </c>
      <c r="J2665">
        <v>3.1</v>
      </c>
      <c r="K2665" t="s">
        <v>18</v>
      </c>
      <c r="L2665" t="s">
        <v>16</v>
      </c>
      <c r="O2665"/>
    </row>
    <row r="2666" spans="1:15" x14ac:dyDescent="0.3">
      <c r="A2666" t="s">
        <v>2690</v>
      </c>
      <c r="B2666" s="1">
        <v>45862</v>
      </c>
      <c r="C2666" t="s">
        <v>21</v>
      </c>
      <c r="D2666" t="s">
        <v>13</v>
      </c>
      <c r="E2666" s="2">
        <v>23.69</v>
      </c>
      <c r="F2666" s="3">
        <v>62.03</v>
      </c>
      <c r="G2666" s="4">
        <v>389.27</v>
      </c>
      <c r="H2666">
        <v>1.2</v>
      </c>
      <c r="I2666" s="4">
        <v>467.12</v>
      </c>
      <c r="J2666">
        <v>4.0999999999999996</v>
      </c>
      <c r="K2666" t="s">
        <v>15</v>
      </c>
      <c r="L2666" t="s">
        <v>26</v>
      </c>
      <c r="O2666"/>
    </row>
    <row r="2667" spans="1:15" x14ac:dyDescent="0.3">
      <c r="A2667" t="s">
        <v>2691</v>
      </c>
      <c r="B2667" s="1">
        <v>45766</v>
      </c>
      <c r="C2667" t="s">
        <v>22</v>
      </c>
      <c r="D2667" t="s">
        <v>21</v>
      </c>
      <c r="E2667" s="2">
        <v>2.93</v>
      </c>
      <c r="F2667" s="3">
        <v>8.8800000000000008</v>
      </c>
      <c r="G2667" s="4">
        <v>39.44</v>
      </c>
      <c r="H2667">
        <v>2</v>
      </c>
      <c r="I2667" s="4">
        <v>78.88</v>
      </c>
      <c r="J2667">
        <v>3.6</v>
      </c>
      <c r="K2667" t="s">
        <v>36</v>
      </c>
      <c r="L2667" t="s">
        <v>19</v>
      </c>
      <c r="O2667"/>
    </row>
    <row r="2668" spans="1:15" x14ac:dyDescent="0.3">
      <c r="A2668" t="s">
        <v>2692</v>
      </c>
      <c r="B2668" s="1">
        <v>45900</v>
      </c>
      <c r="C2668" t="s">
        <v>21</v>
      </c>
      <c r="D2668" t="s">
        <v>14</v>
      </c>
      <c r="E2668" s="2">
        <v>14.52</v>
      </c>
      <c r="F2668" s="3">
        <v>48.05</v>
      </c>
      <c r="G2668" s="4">
        <v>160.22999999999999</v>
      </c>
      <c r="H2668">
        <v>1</v>
      </c>
      <c r="I2668" s="4">
        <v>160.22999999999999</v>
      </c>
      <c r="J2668">
        <v>4.4000000000000004</v>
      </c>
      <c r="K2668" t="s">
        <v>36</v>
      </c>
      <c r="L2668" t="s">
        <v>26</v>
      </c>
      <c r="O2668"/>
    </row>
    <row r="2669" spans="1:15" x14ac:dyDescent="0.3">
      <c r="A2669" t="s">
        <v>2693</v>
      </c>
      <c r="B2669" s="1">
        <v>45769</v>
      </c>
      <c r="C2669" t="s">
        <v>14</v>
      </c>
      <c r="D2669" t="s">
        <v>14</v>
      </c>
      <c r="E2669" s="2">
        <v>20.43</v>
      </c>
      <c r="F2669" s="3">
        <v>41.41</v>
      </c>
      <c r="G2669" s="4">
        <v>246.1</v>
      </c>
      <c r="H2669">
        <v>1.2</v>
      </c>
      <c r="I2669" s="4">
        <v>295.32</v>
      </c>
      <c r="J2669">
        <v>3.9</v>
      </c>
      <c r="K2669" t="s">
        <v>36</v>
      </c>
      <c r="L2669" t="s">
        <v>16</v>
      </c>
      <c r="O2669"/>
    </row>
    <row r="2670" spans="1:15" x14ac:dyDescent="0.3">
      <c r="A2670" t="s">
        <v>2694</v>
      </c>
      <c r="B2670" s="1">
        <v>45878</v>
      </c>
      <c r="C2670" t="s">
        <v>13</v>
      </c>
      <c r="D2670" t="s">
        <v>14</v>
      </c>
      <c r="E2670" s="2">
        <v>25.36</v>
      </c>
      <c r="F2670" s="3">
        <v>65.540000000000006</v>
      </c>
      <c r="G2670" s="4">
        <v>489.71</v>
      </c>
      <c r="H2670">
        <v>1.2</v>
      </c>
      <c r="I2670" s="4">
        <v>587.65</v>
      </c>
      <c r="J2670">
        <v>4.5</v>
      </c>
      <c r="K2670" t="s">
        <v>30</v>
      </c>
      <c r="L2670" t="s">
        <v>19</v>
      </c>
      <c r="O2670"/>
    </row>
    <row r="2671" spans="1:15" x14ac:dyDescent="0.3">
      <c r="A2671" t="s">
        <v>2695</v>
      </c>
      <c r="B2671" s="1">
        <v>45660</v>
      </c>
      <c r="C2671" t="s">
        <v>14</v>
      </c>
      <c r="D2671" t="s">
        <v>13</v>
      </c>
      <c r="E2671" s="2">
        <v>18.309999999999999</v>
      </c>
      <c r="F2671" s="3">
        <v>41.11</v>
      </c>
      <c r="G2671" s="4">
        <v>359.45</v>
      </c>
      <c r="H2671">
        <v>1.5</v>
      </c>
      <c r="I2671" s="4">
        <v>539.16999999999996</v>
      </c>
      <c r="J2671">
        <v>3.3</v>
      </c>
      <c r="K2671" t="s">
        <v>15</v>
      </c>
      <c r="L2671" t="s">
        <v>26</v>
      </c>
      <c r="O2671"/>
    </row>
    <row r="2672" spans="1:15" x14ac:dyDescent="0.3">
      <c r="A2672" t="s">
        <v>2696</v>
      </c>
      <c r="B2672" s="1">
        <v>45878</v>
      </c>
      <c r="C2672" t="s">
        <v>13</v>
      </c>
      <c r="D2672" t="s">
        <v>25</v>
      </c>
      <c r="E2672" s="2">
        <v>24.6</v>
      </c>
      <c r="F2672" s="3">
        <v>79.63</v>
      </c>
      <c r="G2672" s="4">
        <v>452.18</v>
      </c>
      <c r="H2672">
        <v>2</v>
      </c>
      <c r="I2672" s="4">
        <v>904.36</v>
      </c>
      <c r="J2672">
        <v>3.9</v>
      </c>
      <c r="K2672" t="s">
        <v>33</v>
      </c>
      <c r="L2672" t="s">
        <v>28</v>
      </c>
      <c r="O2672"/>
    </row>
    <row r="2673" spans="1:15" x14ac:dyDescent="0.3">
      <c r="A2673" t="s">
        <v>2697</v>
      </c>
      <c r="B2673" s="1">
        <v>45980</v>
      </c>
      <c r="C2673" t="s">
        <v>21</v>
      </c>
      <c r="D2673" t="s">
        <v>14</v>
      </c>
      <c r="E2673" s="2">
        <v>27.73</v>
      </c>
      <c r="F2673" s="3">
        <v>57.47</v>
      </c>
      <c r="G2673" s="4">
        <v>514.70000000000005</v>
      </c>
      <c r="H2673">
        <v>1.5</v>
      </c>
      <c r="I2673" s="4">
        <v>772.05</v>
      </c>
      <c r="J2673">
        <v>4.4000000000000004</v>
      </c>
      <c r="K2673" t="s">
        <v>18</v>
      </c>
      <c r="L2673" t="s">
        <v>19</v>
      </c>
      <c r="O2673"/>
    </row>
    <row r="2674" spans="1:15" x14ac:dyDescent="0.3">
      <c r="A2674" t="s">
        <v>2698</v>
      </c>
      <c r="B2674" s="1">
        <v>45748</v>
      </c>
      <c r="C2674" t="s">
        <v>21</v>
      </c>
      <c r="D2674" t="s">
        <v>22</v>
      </c>
      <c r="E2674" s="2">
        <v>5.04</v>
      </c>
      <c r="F2674" s="3">
        <v>15.93</v>
      </c>
      <c r="G2674" s="4">
        <v>95.16</v>
      </c>
      <c r="H2674">
        <v>1.5</v>
      </c>
      <c r="I2674" s="4">
        <v>142.74</v>
      </c>
      <c r="J2674">
        <v>4</v>
      </c>
      <c r="K2674" t="s">
        <v>30</v>
      </c>
      <c r="L2674" t="s">
        <v>28</v>
      </c>
      <c r="O2674"/>
    </row>
    <row r="2675" spans="1:15" x14ac:dyDescent="0.3">
      <c r="A2675" t="s">
        <v>2699</v>
      </c>
      <c r="B2675" s="1">
        <v>45783</v>
      </c>
      <c r="C2675" t="s">
        <v>14</v>
      </c>
      <c r="D2675" t="s">
        <v>13</v>
      </c>
      <c r="E2675" s="2">
        <v>11.99</v>
      </c>
      <c r="F2675" s="3">
        <v>46.38</v>
      </c>
      <c r="G2675" s="4">
        <v>145.44</v>
      </c>
      <c r="H2675">
        <v>1.2</v>
      </c>
      <c r="I2675" s="4">
        <v>174.53</v>
      </c>
      <c r="J2675">
        <v>3.1</v>
      </c>
      <c r="K2675" t="s">
        <v>33</v>
      </c>
      <c r="L2675" t="s">
        <v>16</v>
      </c>
      <c r="O2675"/>
    </row>
    <row r="2676" spans="1:15" x14ac:dyDescent="0.3">
      <c r="A2676" t="s">
        <v>2700</v>
      </c>
      <c r="B2676" s="1">
        <v>45770</v>
      </c>
      <c r="C2676" t="s">
        <v>22</v>
      </c>
      <c r="D2676" t="s">
        <v>25</v>
      </c>
      <c r="E2676" s="2">
        <v>22.63</v>
      </c>
      <c r="F2676" s="3">
        <v>73.599999999999994</v>
      </c>
      <c r="G2676" s="4">
        <v>320.39</v>
      </c>
      <c r="H2676">
        <v>1</v>
      </c>
      <c r="I2676" s="4">
        <v>320.39</v>
      </c>
      <c r="J2676">
        <v>3.1</v>
      </c>
      <c r="K2676" t="s">
        <v>18</v>
      </c>
      <c r="L2676" t="s">
        <v>28</v>
      </c>
      <c r="O2676"/>
    </row>
    <row r="2677" spans="1:15" x14ac:dyDescent="0.3">
      <c r="A2677" t="s">
        <v>2701</v>
      </c>
      <c r="B2677" s="1">
        <v>45950</v>
      </c>
      <c r="C2677" t="s">
        <v>25</v>
      </c>
      <c r="D2677" t="s">
        <v>22</v>
      </c>
      <c r="E2677" s="2">
        <v>2.79</v>
      </c>
      <c r="F2677" s="3">
        <v>9.74</v>
      </c>
      <c r="G2677" s="4">
        <v>28.57</v>
      </c>
      <c r="H2677">
        <v>1.5</v>
      </c>
      <c r="I2677" s="4">
        <v>42.86</v>
      </c>
      <c r="J2677">
        <v>4.8</v>
      </c>
      <c r="K2677" t="s">
        <v>33</v>
      </c>
      <c r="L2677" t="s">
        <v>16</v>
      </c>
      <c r="O2677"/>
    </row>
    <row r="2678" spans="1:15" x14ac:dyDescent="0.3">
      <c r="A2678" t="s">
        <v>2702</v>
      </c>
      <c r="B2678" s="1">
        <v>45979</v>
      </c>
      <c r="C2678" t="s">
        <v>14</v>
      </c>
      <c r="D2678" t="s">
        <v>22</v>
      </c>
      <c r="E2678" s="2">
        <v>29.43</v>
      </c>
      <c r="F2678" s="3">
        <v>95.13</v>
      </c>
      <c r="G2678" s="4">
        <v>348.29</v>
      </c>
      <c r="H2678">
        <v>1.5</v>
      </c>
      <c r="I2678" s="4">
        <v>522.44000000000005</v>
      </c>
      <c r="J2678">
        <v>4.2</v>
      </c>
      <c r="K2678" t="s">
        <v>33</v>
      </c>
      <c r="L2678" t="s">
        <v>26</v>
      </c>
      <c r="O2678"/>
    </row>
    <row r="2679" spans="1:15" x14ac:dyDescent="0.3">
      <c r="A2679" t="s">
        <v>2703</v>
      </c>
      <c r="B2679" s="1">
        <v>45757</v>
      </c>
      <c r="C2679" t="s">
        <v>14</v>
      </c>
      <c r="D2679" t="s">
        <v>21</v>
      </c>
      <c r="E2679" s="2">
        <v>13.45</v>
      </c>
      <c r="F2679" s="3">
        <v>50.08</v>
      </c>
      <c r="G2679" s="4">
        <v>154.77000000000001</v>
      </c>
      <c r="H2679">
        <v>1.5</v>
      </c>
      <c r="I2679" s="4">
        <v>232.16</v>
      </c>
      <c r="J2679">
        <v>4.9000000000000004</v>
      </c>
      <c r="K2679" t="s">
        <v>30</v>
      </c>
      <c r="L2679" t="s">
        <v>16</v>
      </c>
      <c r="O2679"/>
    </row>
    <row r="2680" spans="1:15" x14ac:dyDescent="0.3">
      <c r="A2680" t="s">
        <v>2704</v>
      </c>
      <c r="B2680" s="1">
        <v>45658</v>
      </c>
      <c r="C2680" t="s">
        <v>14</v>
      </c>
      <c r="D2680" t="s">
        <v>21</v>
      </c>
      <c r="E2680" s="2">
        <v>7.12</v>
      </c>
      <c r="F2680" s="3">
        <v>17.64</v>
      </c>
      <c r="G2680" s="4">
        <v>136.54</v>
      </c>
      <c r="H2680">
        <v>2</v>
      </c>
      <c r="I2680" s="4">
        <v>273.08</v>
      </c>
      <c r="J2680">
        <v>4.9000000000000004</v>
      </c>
      <c r="K2680" t="s">
        <v>33</v>
      </c>
      <c r="L2680" t="s">
        <v>26</v>
      </c>
      <c r="O2680"/>
    </row>
    <row r="2681" spans="1:15" x14ac:dyDescent="0.3">
      <c r="A2681" t="s">
        <v>2705</v>
      </c>
      <c r="B2681" s="1">
        <v>45707</v>
      </c>
      <c r="C2681" t="s">
        <v>21</v>
      </c>
      <c r="D2681" t="s">
        <v>21</v>
      </c>
      <c r="E2681" s="2">
        <v>16.440000000000001</v>
      </c>
      <c r="F2681" s="3">
        <v>62.43</v>
      </c>
      <c r="G2681" s="4">
        <v>328.42</v>
      </c>
      <c r="H2681">
        <v>1.5</v>
      </c>
      <c r="I2681" s="4">
        <v>492.63</v>
      </c>
      <c r="J2681">
        <v>3.2</v>
      </c>
      <c r="K2681" t="s">
        <v>18</v>
      </c>
      <c r="L2681" t="s">
        <v>16</v>
      </c>
      <c r="O2681"/>
    </row>
    <row r="2682" spans="1:15" x14ac:dyDescent="0.3">
      <c r="A2682" t="s">
        <v>2706</v>
      </c>
      <c r="B2682" s="1">
        <v>45690</v>
      </c>
      <c r="C2682" t="s">
        <v>14</v>
      </c>
      <c r="D2682" t="s">
        <v>13</v>
      </c>
      <c r="E2682" s="2">
        <v>23.83</v>
      </c>
      <c r="F2682" s="3">
        <v>93.57</v>
      </c>
      <c r="G2682" s="4">
        <v>406.84</v>
      </c>
      <c r="H2682">
        <v>1</v>
      </c>
      <c r="I2682" s="4">
        <v>406.84</v>
      </c>
      <c r="J2682">
        <v>4.5</v>
      </c>
      <c r="K2682" t="s">
        <v>36</v>
      </c>
      <c r="L2682" t="s">
        <v>19</v>
      </c>
      <c r="O2682"/>
    </row>
    <row r="2683" spans="1:15" x14ac:dyDescent="0.3">
      <c r="A2683" t="s">
        <v>2707</v>
      </c>
      <c r="B2683" s="1">
        <v>45954</v>
      </c>
      <c r="C2683" t="s">
        <v>14</v>
      </c>
      <c r="D2683" t="s">
        <v>21</v>
      </c>
      <c r="E2683" s="2">
        <v>19.75</v>
      </c>
      <c r="F2683" s="3">
        <v>53.35</v>
      </c>
      <c r="G2683" s="4">
        <v>251.49</v>
      </c>
      <c r="H2683">
        <v>1</v>
      </c>
      <c r="I2683" s="4">
        <v>251.49</v>
      </c>
      <c r="J2683">
        <v>4.5999999999999996</v>
      </c>
      <c r="K2683" t="s">
        <v>15</v>
      </c>
      <c r="L2683" t="s">
        <v>19</v>
      </c>
      <c r="O2683"/>
    </row>
    <row r="2684" spans="1:15" x14ac:dyDescent="0.3">
      <c r="A2684" t="s">
        <v>2708</v>
      </c>
      <c r="B2684" s="1">
        <v>45747</v>
      </c>
      <c r="C2684" t="s">
        <v>13</v>
      </c>
      <c r="D2684" t="s">
        <v>21</v>
      </c>
      <c r="E2684" s="2">
        <v>2.0099999999999998</v>
      </c>
      <c r="F2684" s="3">
        <v>7.11</v>
      </c>
      <c r="G2684" s="4">
        <v>34.630000000000003</v>
      </c>
      <c r="H2684">
        <v>2</v>
      </c>
      <c r="I2684" s="4">
        <v>69.260000000000005</v>
      </c>
      <c r="J2684">
        <v>4.3</v>
      </c>
      <c r="K2684" t="s">
        <v>33</v>
      </c>
      <c r="L2684" t="s">
        <v>26</v>
      </c>
      <c r="O2684"/>
    </row>
    <row r="2685" spans="1:15" x14ac:dyDescent="0.3">
      <c r="A2685" t="s">
        <v>2709</v>
      </c>
      <c r="B2685" s="1">
        <v>45919</v>
      </c>
      <c r="C2685" t="s">
        <v>21</v>
      </c>
      <c r="D2685" t="s">
        <v>22</v>
      </c>
      <c r="E2685" s="2">
        <v>23.1</v>
      </c>
      <c r="F2685" s="3">
        <v>70.239999999999995</v>
      </c>
      <c r="G2685" s="4">
        <v>278.19</v>
      </c>
      <c r="H2685">
        <v>1.5</v>
      </c>
      <c r="I2685" s="4">
        <v>417.28</v>
      </c>
      <c r="J2685">
        <v>3.7</v>
      </c>
      <c r="K2685" t="s">
        <v>33</v>
      </c>
      <c r="L2685" t="s">
        <v>28</v>
      </c>
      <c r="O2685"/>
    </row>
    <row r="2686" spans="1:15" x14ac:dyDescent="0.3">
      <c r="A2686" t="s">
        <v>2710</v>
      </c>
      <c r="B2686" s="1">
        <v>45803</v>
      </c>
      <c r="C2686" t="s">
        <v>22</v>
      </c>
      <c r="D2686" t="s">
        <v>25</v>
      </c>
      <c r="E2686" s="2">
        <v>23.9</v>
      </c>
      <c r="F2686" s="3">
        <v>57.13</v>
      </c>
      <c r="G2686" s="4">
        <v>382.33</v>
      </c>
      <c r="H2686">
        <v>1</v>
      </c>
      <c r="I2686" s="4">
        <v>382.33</v>
      </c>
      <c r="J2686">
        <v>3.1</v>
      </c>
      <c r="K2686" t="s">
        <v>30</v>
      </c>
      <c r="L2686" t="s">
        <v>16</v>
      </c>
      <c r="O2686"/>
    </row>
    <row r="2687" spans="1:15" x14ac:dyDescent="0.3">
      <c r="A2687" t="s">
        <v>2711</v>
      </c>
      <c r="B2687" s="1">
        <v>45735</v>
      </c>
      <c r="C2687" t="s">
        <v>25</v>
      </c>
      <c r="D2687" t="s">
        <v>22</v>
      </c>
      <c r="E2687" s="2">
        <v>6.81</v>
      </c>
      <c r="F2687" s="3">
        <v>15.16</v>
      </c>
      <c r="G2687" s="4">
        <v>125.49</v>
      </c>
      <c r="H2687">
        <v>2</v>
      </c>
      <c r="I2687" s="4">
        <v>250.98</v>
      </c>
      <c r="J2687">
        <v>4.7</v>
      </c>
      <c r="K2687" t="s">
        <v>15</v>
      </c>
      <c r="L2687" t="s">
        <v>26</v>
      </c>
      <c r="O2687"/>
    </row>
    <row r="2688" spans="1:15" x14ac:dyDescent="0.3">
      <c r="A2688" t="s">
        <v>2712</v>
      </c>
      <c r="B2688" s="1">
        <v>45688</v>
      </c>
      <c r="C2688" t="s">
        <v>22</v>
      </c>
      <c r="D2688" t="s">
        <v>14</v>
      </c>
      <c r="E2688" s="2">
        <v>28.84</v>
      </c>
      <c r="F2688" s="3">
        <v>79.55</v>
      </c>
      <c r="G2688" s="4">
        <v>291.16000000000003</v>
      </c>
      <c r="H2688">
        <v>1.5</v>
      </c>
      <c r="I2688" s="4">
        <v>436.74</v>
      </c>
      <c r="J2688">
        <v>3.3</v>
      </c>
      <c r="K2688" t="s">
        <v>33</v>
      </c>
      <c r="L2688" t="s">
        <v>28</v>
      </c>
      <c r="O2688"/>
    </row>
    <row r="2689" spans="1:15" x14ac:dyDescent="0.3">
      <c r="A2689" t="s">
        <v>2713</v>
      </c>
      <c r="B2689" s="1">
        <v>45734</v>
      </c>
      <c r="C2689" t="s">
        <v>21</v>
      </c>
      <c r="D2689" t="s">
        <v>14</v>
      </c>
      <c r="E2689" s="2">
        <v>3.25</v>
      </c>
      <c r="F2689" s="3">
        <v>10.36</v>
      </c>
      <c r="G2689" s="4">
        <v>38.65</v>
      </c>
      <c r="H2689">
        <v>2</v>
      </c>
      <c r="I2689" s="4">
        <v>77.3</v>
      </c>
      <c r="J2689">
        <v>3.1</v>
      </c>
      <c r="K2689" t="s">
        <v>36</v>
      </c>
      <c r="L2689" t="s">
        <v>28</v>
      </c>
      <c r="O2689"/>
    </row>
    <row r="2690" spans="1:15" x14ac:dyDescent="0.3">
      <c r="A2690" t="s">
        <v>2714</v>
      </c>
      <c r="B2690" s="1">
        <v>45852</v>
      </c>
      <c r="C2690" t="s">
        <v>22</v>
      </c>
      <c r="D2690" t="s">
        <v>25</v>
      </c>
      <c r="E2690" s="2">
        <v>13.31</v>
      </c>
      <c r="F2690" s="3">
        <v>51</v>
      </c>
      <c r="G2690" s="4">
        <v>199.38</v>
      </c>
      <c r="H2690">
        <v>1.2</v>
      </c>
      <c r="I2690" s="4">
        <v>239.26</v>
      </c>
      <c r="J2690">
        <v>3.6</v>
      </c>
      <c r="K2690" t="s">
        <v>18</v>
      </c>
      <c r="L2690" t="s">
        <v>19</v>
      </c>
      <c r="O2690"/>
    </row>
    <row r="2691" spans="1:15" x14ac:dyDescent="0.3">
      <c r="A2691" t="s">
        <v>2715</v>
      </c>
      <c r="B2691" s="1">
        <v>45977</v>
      </c>
      <c r="C2691" t="s">
        <v>25</v>
      </c>
      <c r="D2691" t="s">
        <v>22</v>
      </c>
      <c r="E2691" s="2">
        <v>3.12</v>
      </c>
      <c r="F2691" s="3">
        <v>6.8</v>
      </c>
      <c r="G2691" s="4">
        <v>51.54</v>
      </c>
      <c r="H2691">
        <v>1.5</v>
      </c>
      <c r="I2691" s="4">
        <v>77.31</v>
      </c>
      <c r="J2691">
        <v>3.4</v>
      </c>
      <c r="K2691" t="s">
        <v>33</v>
      </c>
      <c r="L2691" t="s">
        <v>16</v>
      </c>
      <c r="O2691"/>
    </row>
    <row r="2692" spans="1:15" x14ac:dyDescent="0.3">
      <c r="A2692" t="s">
        <v>2716</v>
      </c>
      <c r="B2692" s="1">
        <v>45754</v>
      </c>
      <c r="C2692" t="s">
        <v>14</v>
      </c>
      <c r="D2692" t="s">
        <v>21</v>
      </c>
      <c r="E2692" s="2">
        <v>27.57</v>
      </c>
      <c r="F2692" s="3">
        <v>76.55</v>
      </c>
      <c r="G2692" s="4">
        <v>440.13</v>
      </c>
      <c r="H2692">
        <v>1</v>
      </c>
      <c r="I2692" s="4">
        <v>440.13</v>
      </c>
      <c r="J2692">
        <v>4.5999999999999996</v>
      </c>
      <c r="K2692" t="s">
        <v>15</v>
      </c>
      <c r="L2692" t="s">
        <v>28</v>
      </c>
      <c r="O2692"/>
    </row>
    <row r="2693" spans="1:15" x14ac:dyDescent="0.3">
      <c r="A2693" t="s">
        <v>2717</v>
      </c>
      <c r="B2693" s="1">
        <v>45803</v>
      </c>
      <c r="C2693" t="s">
        <v>25</v>
      </c>
      <c r="D2693" t="s">
        <v>13</v>
      </c>
      <c r="E2693" s="2">
        <v>25.1</v>
      </c>
      <c r="F2693" s="3">
        <v>95.97</v>
      </c>
      <c r="G2693" s="4">
        <v>314.83999999999997</v>
      </c>
      <c r="H2693">
        <v>1.2</v>
      </c>
      <c r="I2693" s="4">
        <v>377.81</v>
      </c>
      <c r="J2693">
        <v>3.7</v>
      </c>
      <c r="K2693" t="s">
        <v>18</v>
      </c>
      <c r="L2693" t="s">
        <v>26</v>
      </c>
      <c r="O2693"/>
    </row>
    <row r="2694" spans="1:15" x14ac:dyDescent="0.3">
      <c r="A2694" t="s">
        <v>2718</v>
      </c>
      <c r="B2694" s="1">
        <v>45794</v>
      </c>
      <c r="C2694" t="s">
        <v>25</v>
      </c>
      <c r="D2694" t="s">
        <v>25</v>
      </c>
      <c r="E2694" s="2">
        <v>17.64</v>
      </c>
      <c r="F2694" s="3">
        <v>55.61</v>
      </c>
      <c r="G2694" s="4">
        <v>344.37</v>
      </c>
      <c r="H2694">
        <v>1.2</v>
      </c>
      <c r="I2694" s="4">
        <v>413.24</v>
      </c>
      <c r="J2694">
        <v>3.3</v>
      </c>
      <c r="K2694" t="s">
        <v>18</v>
      </c>
      <c r="L2694" t="s">
        <v>26</v>
      </c>
      <c r="O2694"/>
    </row>
    <row r="2695" spans="1:15" x14ac:dyDescent="0.3">
      <c r="A2695" t="s">
        <v>2719</v>
      </c>
      <c r="B2695" s="1">
        <v>45759</v>
      </c>
      <c r="C2695" t="s">
        <v>21</v>
      </c>
      <c r="D2695" t="s">
        <v>14</v>
      </c>
      <c r="E2695" s="2">
        <v>9</v>
      </c>
      <c r="F2695" s="3">
        <v>24.31</v>
      </c>
      <c r="G2695" s="4">
        <v>109.51</v>
      </c>
      <c r="H2695">
        <v>2</v>
      </c>
      <c r="I2695" s="4">
        <v>219.02</v>
      </c>
      <c r="J2695">
        <v>4</v>
      </c>
      <c r="K2695" t="s">
        <v>30</v>
      </c>
      <c r="L2695" t="s">
        <v>16</v>
      </c>
      <c r="O2695"/>
    </row>
    <row r="2696" spans="1:15" x14ac:dyDescent="0.3">
      <c r="A2696" t="s">
        <v>2720</v>
      </c>
      <c r="B2696" s="1">
        <v>46019</v>
      </c>
      <c r="C2696" t="s">
        <v>25</v>
      </c>
      <c r="D2696" t="s">
        <v>22</v>
      </c>
      <c r="E2696" s="2">
        <v>20.059999999999999</v>
      </c>
      <c r="F2696" s="3">
        <v>40.75</v>
      </c>
      <c r="G2696" s="4">
        <v>213.51</v>
      </c>
      <c r="H2696">
        <v>1</v>
      </c>
      <c r="I2696" s="4">
        <v>213.51</v>
      </c>
      <c r="J2696">
        <v>4</v>
      </c>
      <c r="K2696" t="s">
        <v>18</v>
      </c>
      <c r="L2696" t="s">
        <v>16</v>
      </c>
      <c r="O2696"/>
    </row>
    <row r="2697" spans="1:15" x14ac:dyDescent="0.3">
      <c r="A2697" t="s">
        <v>2721</v>
      </c>
      <c r="B2697" s="1">
        <v>45996</v>
      </c>
      <c r="C2697" t="s">
        <v>22</v>
      </c>
      <c r="D2697" t="s">
        <v>14</v>
      </c>
      <c r="E2697" s="2">
        <v>26.76</v>
      </c>
      <c r="F2697" s="3">
        <v>66.62</v>
      </c>
      <c r="G2697" s="4">
        <v>421.3</v>
      </c>
      <c r="H2697">
        <v>1.2</v>
      </c>
      <c r="I2697" s="4">
        <v>505.56</v>
      </c>
      <c r="J2697">
        <v>4.2</v>
      </c>
      <c r="K2697" t="s">
        <v>33</v>
      </c>
      <c r="L2697" t="s">
        <v>28</v>
      </c>
      <c r="O2697"/>
    </row>
    <row r="2698" spans="1:15" x14ac:dyDescent="0.3">
      <c r="A2698" t="s">
        <v>2722</v>
      </c>
      <c r="B2698" s="1">
        <v>45982</v>
      </c>
      <c r="C2698" t="s">
        <v>25</v>
      </c>
      <c r="D2698" t="s">
        <v>13</v>
      </c>
      <c r="E2698" s="2">
        <v>12.86</v>
      </c>
      <c r="F2698" s="3">
        <v>39.200000000000003</v>
      </c>
      <c r="G2698" s="4">
        <v>145.94</v>
      </c>
      <c r="H2698">
        <v>1</v>
      </c>
      <c r="I2698" s="4">
        <v>145.94</v>
      </c>
      <c r="J2698">
        <v>3.9</v>
      </c>
      <c r="K2698" t="s">
        <v>15</v>
      </c>
      <c r="L2698" t="s">
        <v>26</v>
      </c>
      <c r="O2698"/>
    </row>
    <row r="2699" spans="1:15" x14ac:dyDescent="0.3">
      <c r="A2699" t="s">
        <v>2723</v>
      </c>
      <c r="B2699" s="1">
        <v>45810</v>
      </c>
      <c r="C2699" t="s">
        <v>13</v>
      </c>
      <c r="D2699" t="s">
        <v>21</v>
      </c>
      <c r="E2699" s="2">
        <v>25.16</v>
      </c>
      <c r="F2699" s="3">
        <v>90.69</v>
      </c>
      <c r="G2699" s="4">
        <v>276.77</v>
      </c>
      <c r="H2699">
        <v>2</v>
      </c>
      <c r="I2699" s="4">
        <v>553.54</v>
      </c>
      <c r="J2699">
        <v>3.2</v>
      </c>
      <c r="K2699" t="s">
        <v>15</v>
      </c>
      <c r="L2699" t="s">
        <v>16</v>
      </c>
      <c r="O2699"/>
    </row>
    <row r="2700" spans="1:15" x14ac:dyDescent="0.3">
      <c r="A2700" t="s">
        <v>2724</v>
      </c>
      <c r="B2700" s="1">
        <v>45677</v>
      </c>
      <c r="C2700" t="s">
        <v>13</v>
      </c>
      <c r="D2700" t="s">
        <v>14</v>
      </c>
      <c r="E2700" s="2">
        <v>19.399999999999999</v>
      </c>
      <c r="F2700" s="3">
        <v>64.89</v>
      </c>
      <c r="G2700" s="4">
        <v>325.89999999999998</v>
      </c>
      <c r="H2700">
        <v>1</v>
      </c>
      <c r="I2700" s="4">
        <v>325.89999999999998</v>
      </c>
      <c r="J2700">
        <v>3.8</v>
      </c>
      <c r="K2700" t="s">
        <v>33</v>
      </c>
      <c r="L2700" t="s">
        <v>19</v>
      </c>
      <c r="O2700"/>
    </row>
    <row r="2701" spans="1:15" x14ac:dyDescent="0.3">
      <c r="A2701" t="s">
        <v>2725</v>
      </c>
      <c r="B2701" s="1">
        <v>45958</v>
      </c>
      <c r="C2701" t="s">
        <v>21</v>
      </c>
      <c r="D2701" t="s">
        <v>14</v>
      </c>
      <c r="E2701" s="2">
        <v>16.91</v>
      </c>
      <c r="F2701" s="3">
        <v>40.57</v>
      </c>
      <c r="G2701" s="4">
        <v>172.53</v>
      </c>
      <c r="H2701">
        <v>1.2</v>
      </c>
      <c r="I2701" s="4">
        <v>207.04</v>
      </c>
      <c r="J2701">
        <v>4</v>
      </c>
      <c r="K2701" t="s">
        <v>15</v>
      </c>
      <c r="L2701" t="s">
        <v>19</v>
      </c>
      <c r="O2701"/>
    </row>
    <row r="2702" spans="1:15" x14ac:dyDescent="0.3">
      <c r="A2702" t="s">
        <v>2726</v>
      </c>
      <c r="B2702" s="1">
        <v>45783</v>
      </c>
      <c r="C2702" t="s">
        <v>13</v>
      </c>
      <c r="D2702" t="s">
        <v>13</v>
      </c>
      <c r="E2702" s="2">
        <v>20.05</v>
      </c>
      <c r="F2702" s="3">
        <v>45.98</v>
      </c>
      <c r="G2702" s="4">
        <v>369.11</v>
      </c>
      <c r="H2702">
        <v>1.2</v>
      </c>
      <c r="I2702" s="4">
        <v>442.93</v>
      </c>
      <c r="J2702">
        <v>4.9000000000000004</v>
      </c>
      <c r="K2702" t="s">
        <v>18</v>
      </c>
      <c r="L2702" t="s">
        <v>16</v>
      </c>
      <c r="O2702"/>
    </row>
    <row r="2703" spans="1:15" x14ac:dyDescent="0.3">
      <c r="A2703" t="s">
        <v>2727</v>
      </c>
      <c r="B2703" s="1">
        <v>45782</v>
      </c>
      <c r="C2703" t="s">
        <v>13</v>
      </c>
      <c r="D2703" t="s">
        <v>25</v>
      </c>
      <c r="E2703" s="2">
        <v>14.04</v>
      </c>
      <c r="F2703" s="3">
        <v>43.52</v>
      </c>
      <c r="G2703" s="4">
        <v>266.27999999999997</v>
      </c>
      <c r="H2703">
        <v>1.2</v>
      </c>
      <c r="I2703" s="4">
        <v>319.54000000000002</v>
      </c>
      <c r="J2703">
        <v>4.9000000000000004</v>
      </c>
      <c r="K2703" t="s">
        <v>36</v>
      </c>
      <c r="L2703" t="s">
        <v>16</v>
      </c>
      <c r="O2703"/>
    </row>
    <row r="2704" spans="1:15" x14ac:dyDescent="0.3">
      <c r="A2704" t="s">
        <v>2728</v>
      </c>
      <c r="B2704" s="1">
        <v>46018</v>
      </c>
      <c r="C2704" t="s">
        <v>22</v>
      </c>
      <c r="D2704" t="s">
        <v>21</v>
      </c>
      <c r="E2704" s="2">
        <v>13.93</v>
      </c>
      <c r="F2704" s="3">
        <v>34.67</v>
      </c>
      <c r="G2704" s="4">
        <v>212.83</v>
      </c>
      <c r="H2704">
        <v>1</v>
      </c>
      <c r="I2704" s="4">
        <v>212.83</v>
      </c>
      <c r="J2704">
        <v>3.4</v>
      </c>
      <c r="K2704" t="s">
        <v>18</v>
      </c>
      <c r="L2704" t="s">
        <v>16</v>
      </c>
      <c r="O2704"/>
    </row>
    <row r="2705" spans="1:15" x14ac:dyDescent="0.3">
      <c r="A2705" t="s">
        <v>2729</v>
      </c>
      <c r="B2705" s="1">
        <v>45787</v>
      </c>
      <c r="C2705" t="s">
        <v>25</v>
      </c>
      <c r="D2705" t="s">
        <v>14</v>
      </c>
      <c r="E2705" s="2">
        <v>18.61</v>
      </c>
      <c r="F2705" s="3">
        <v>37.229999999999997</v>
      </c>
      <c r="G2705" s="4">
        <v>336</v>
      </c>
      <c r="H2705">
        <v>2</v>
      </c>
      <c r="I2705" s="4">
        <v>672</v>
      </c>
      <c r="J2705">
        <v>4.2</v>
      </c>
      <c r="K2705" t="s">
        <v>30</v>
      </c>
      <c r="L2705" t="s">
        <v>16</v>
      </c>
      <c r="O2705"/>
    </row>
    <row r="2706" spans="1:15" x14ac:dyDescent="0.3">
      <c r="A2706" t="s">
        <v>2730</v>
      </c>
      <c r="B2706" s="1">
        <v>46012</v>
      </c>
      <c r="C2706" t="s">
        <v>25</v>
      </c>
      <c r="D2706" t="s">
        <v>22</v>
      </c>
      <c r="E2706" s="2">
        <v>12.11</v>
      </c>
      <c r="F2706" s="3">
        <v>39.479999999999997</v>
      </c>
      <c r="G2706" s="4">
        <v>174.63</v>
      </c>
      <c r="H2706">
        <v>1</v>
      </c>
      <c r="I2706" s="4">
        <v>174.63</v>
      </c>
      <c r="J2706">
        <v>4.5999999999999996</v>
      </c>
      <c r="K2706" t="s">
        <v>33</v>
      </c>
      <c r="L2706" t="s">
        <v>28</v>
      </c>
      <c r="O2706"/>
    </row>
    <row r="2707" spans="1:15" x14ac:dyDescent="0.3">
      <c r="A2707" t="s">
        <v>2731</v>
      </c>
      <c r="B2707" s="1">
        <v>45868</v>
      </c>
      <c r="C2707" t="s">
        <v>13</v>
      </c>
      <c r="D2707" t="s">
        <v>22</v>
      </c>
      <c r="E2707" s="2">
        <v>7.23</v>
      </c>
      <c r="F2707" s="3">
        <v>17.16</v>
      </c>
      <c r="G2707" s="4">
        <v>105.19</v>
      </c>
      <c r="H2707">
        <v>1</v>
      </c>
      <c r="I2707" s="4">
        <v>105.19</v>
      </c>
      <c r="J2707">
        <v>4.2</v>
      </c>
      <c r="K2707" t="s">
        <v>33</v>
      </c>
      <c r="L2707" t="s">
        <v>28</v>
      </c>
      <c r="O2707"/>
    </row>
    <row r="2708" spans="1:15" x14ac:dyDescent="0.3">
      <c r="A2708" t="s">
        <v>2732</v>
      </c>
      <c r="B2708" s="1">
        <v>46022</v>
      </c>
      <c r="C2708" t="s">
        <v>21</v>
      </c>
      <c r="D2708" t="s">
        <v>13</v>
      </c>
      <c r="E2708" s="2">
        <v>1.58</v>
      </c>
      <c r="F2708" s="3">
        <v>4.87</v>
      </c>
      <c r="G2708" s="4">
        <v>30.91</v>
      </c>
      <c r="H2708">
        <v>2</v>
      </c>
      <c r="I2708" s="4">
        <v>61.82</v>
      </c>
      <c r="J2708">
        <v>4.0999999999999996</v>
      </c>
      <c r="K2708" t="s">
        <v>18</v>
      </c>
      <c r="L2708" t="s">
        <v>26</v>
      </c>
      <c r="O2708"/>
    </row>
    <row r="2709" spans="1:15" x14ac:dyDescent="0.3">
      <c r="A2709" t="s">
        <v>2733</v>
      </c>
      <c r="B2709" s="1">
        <v>45760</v>
      </c>
      <c r="C2709" t="s">
        <v>21</v>
      </c>
      <c r="D2709" t="s">
        <v>25</v>
      </c>
      <c r="E2709" s="2">
        <v>29.1</v>
      </c>
      <c r="F2709" s="3">
        <v>98.63</v>
      </c>
      <c r="G2709" s="4">
        <v>500.28</v>
      </c>
      <c r="H2709">
        <v>2</v>
      </c>
      <c r="I2709" s="4">
        <v>1000.56</v>
      </c>
      <c r="J2709">
        <v>4.4000000000000004</v>
      </c>
      <c r="K2709" t="s">
        <v>36</v>
      </c>
      <c r="L2709" t="s">
        <v>26</v>
      </c>
      <c r="O2709"/>
    </row>
    <row r="2710" spans="1:15" x14ac:dyDescent="0.3">
      <c r="A2710" t="s">
        <v>2734</v>
      </c>
      <c r="B2710" s="1">
        <v>45665</v>
      </c>
      <c r="C2710" t="s">
        <v>22</v>
      </c>
      <c r="D2710" t="s">
        <v>22</v>
      </c>
      <c r="E2710" s="2">
        <v>20.98</v>
      </c>
      <c r="F2710" s="3">
        <v>79.52</v>
      </c>
      <c r="G2710" s="4">
        <v>356.53</v>
      </c>
      <c r="H2710">
        <v>2</v>
      </c>
      <c r="I2710" s="4">
        <v>713.06</v>
      </c>
      <c r="J2710">
        <v>4.7</v>
      </c>
      <c r="K2710" t="s">
        <v>33</v>
      </c>
      <c r="L2710" t="s">
        <v>28</v>
      </c>
      <c r="O2710"/>
    </row>
    <row r="2711" spans="1:15" x14ac:dyDescent="0.3">
      <c r="A2711" t="s">
        <v>2735</v>
      </c>
      <c r="B2711" s="1">
        <v>45987</v>
      </c>
      <c r="C2711" t="s">
        <v>14</v>
      </c>
      <c r="D2711" t="s">
        <v>22</v>
      </c>
      <c r="E2711" s="2">
        <v>23.71</v>
      </c>
      <c r="F2711" s="3">
        <v>61.49</v>
      </c>
      <c r="G2711" s="4">
        <v>370.53</v>
      </c>
      <c r="H2711">
        <v>1.5</v>
      </c>
      <c r="I2711" s="4">
        <v>555.79</v>
      </c>
      <c r="J2711">
        <v>4.3</v>
      </c>
      <c r="K2711" t="s">
        <v>15</v>
      </c>
      <c r="L2711" t="s">
        <v>16</v>
      </c>
      <c r="O2711"/>
    </row>
    <row r="2712" spans="1:15" x14ac:dyDescent="0.3">
      <c r="A2712" t="s">
        <v>2736</v>
      </c>
      <c r="B2712" s="1">
        <v>45804</v>
      </c>
      <c r="C2712" t="s">
        <v>14</v>
      </c>
      <c r="D2712" t="s">
        <v>22</v>
      </c>
      <c r="E2712" s="2">
        <v>4.2</v>
      </c>
      <c r="F2712" s="3">
        <v>15.37</v>
      </c>
      <c r="G2712" s="4">
        <v>67.31</v>
      </c>
      <c r="H2712">
        <v>2</v>
      </c>
      <c r="I2712" s="4">
        <v>134.62</v>
      </c>
      <c r="J2712">
        <v>3.2</v>
      </c>
      <c r="K2712" t="s">
        <v>33</v>
      </c>
      <c r="L2712" t="s">
        <v>16</v>
      </c>
      <c r="O2712"/>
    </row>
    <row r="2713" spans="1:15" x14ac:dyDescent="0.3">
      <c r="A2713" t="s">
        <v>2737</v>
      </c>
      <c r="B2713" s="1">
        <v>45823</v>
      </c>
      <c r="C2713" t="s">
        <v>14</v>
      </c>
      <c r="D2713" t="s">
        <v>21</v>
      </c>
      <c r="E2713" s="2">
        <v>9.19</v>
      </c>
      <c r="F2713" s="3">
        <v>24.33</v>
      </c>
      <c r="G2713" s="4">
        <v>124.21</v>
      </c>
      <c r="H2713">
        <v>1</v>
      </c>
      <c r="I2713" s="4">
        <v>124.21</v>
      </c>
      <c r="J2713">
        <v>3.9</v>
      </c>
      <c r="K2713" t="s">
        <v>30</v>
      </c>
      <c r="L2713" t="s">
        <v>28</v>
      </c>
      <c r="O2713"/>
    </row>
    <row r="2714" spans="1:15" x14ac:dyDescent="0.3">
      <c r="A2714" t="s">
        <v>2738</v>
      </c>
      <c r="B2714" s="1">
        <v>45951</v>
      </c>
      <c r="C2714" t="s">
        <v>14</v>
      </c>
      <c r="D2714" t="s">
        <v>22</v>
      </c>
      <c r="E2714" s="2">
        <v>1.91</v>
      </c>
      <c r="F2714" s="3">
        <v>6.35</v>
      </c>
      <c r="G2714" s="4">
        <v>26.19</v>
      </c>
      <c r="H2714">
        <v>1</v>
      </c>
      <c r="I2714" s="4">
        <v>26.19</v>
      </c>
      <c r="J2714">
        <v>4</v>
      </c>
      <c r="K2714" t="s">
        <v>36</v>
      </c>
      <c r="L2714" t="s">
        <v>16</v>
      </c>
      <c r="O2714"/>
    </row>
    <row r="2715" spans="1:15" x14ac:dyDescent="0.3">
      <c r="A2715" t="s">
        <v>2739</v>
      </c>
      <c r="B2715" s="1">
        <v>45757</v>
      </c>
      <c r="C2715" t="s">
        <v>25</v>
      </c>
      <c r="D2715" t="s">
        <v>13</v>
      </c>
      <c r="E2715" s="2">
        <v>20.54</v>
      </c>
      <c r="F2715" s="3">
        <v>71.040000000000006</v>
      </c>
      <c r="G2715" s="4">
        <v>347.24</v>
      </c>
      <c r="H2715">
        <v>1</v>
      </c>
      <c r="I2715" s="4">
        <v>347.24</v>
      </c>
      <c r="J2715">
        <v>3.4</v>
      </c>
      <c r="K2715" t="s">
        <v>30</v>
      </c>
      <c r="L2715" t="s">
        <v>26</v>
      </c>
      <c r="O2715"/>
    </row>
    <row r="2716" spans="1:15" x14ac:dyDescent="0.3">
      <c r="A2716" t="s">
        <v>2740</v>
      </c>
      <c r="B2716" s="1">
        <v>45894</v>
      </c>
      <c r="C2716" t="s">
        <v>13</v>
      </c>
      <c r="D2716" t="s">
        <v>13</v>
      </c>
      <c r="E2716" s="2">
        <v>9.1199999999999992</v>
      </c>
      <c r="F2716" s="3">
        <v>18.77</v>
      </c>
      <c r="G2716" s="4">
        <v>129.03</v>
      </c>
      <c r="H2716">
        <v>1.2</v>
      </c>
      <c r="I2716" s="4">
        <v>154.84</v>
      </c>
      <c r="J2716">
        <v>3.5</v>
      </c>
      <c r="K2716" t="s">
        <v>33</v>
      </c>
      <c r="L2716" t="s">
        <v>26</v>
      </c>
      <c r="O2716"/>
    </row>
    <row r="2717" spans="1:15" x14ac:dyDescent="0.3">
      <c r="A2717" t="s">
        <v>2741</v>
      </c>
      <c r="B2717" s="1">
        <v>45755</v>
      </c>
      <c r="C2717" t="s">
        <v>13</v>
      </c>
      <c r="D2717" t="s">
        <v>21</v>
      </c>
      <c r="E2717" s="2">
        <v>21.44</v>
      </c>
      <c r="F2717" s="3">
        <v>56.12</v>
      </c>
      <c r="G2717" s="4">
        <v>282</v>
      </c>
      <c r="H2717">
        <v>2</v>
      </c>
      <c r="I2717" s="4">
        <v>564</v>
      </c>
      <c r="J2717">
        <v>3.5</v>
      </c>
      <c r="K2717" t="s">
        <v>18</v>
      </c>
      <c r="L2717" t="s">
        <v>26</v>
      </c>
      <c r="O2717"/>
    </row>
    <row r="2718" spans="1:15" x14ac:dyDescent="0.3">
      <c r="A2718" t="s">
        <v>2742</v>
      </c>
      <c r="B2718" s="1">
        <v>45885</v>
      </c>
      <c r="C2718" t="s">
        <v>14</v>
      </c>
      <c r="D2718" t="s">
        <v>14</v>
      </c>
      <c r="E2718" s="2">
        <v>26.72</v>
      </c>
      <c r="F2718" s="3">
        <v>92.55</v>
      </c>
      <c r="G2718" s="4">
        <v>417.08</v>
      </c>
      <c r="H2718">
        <v>1</v>
      </c>
      <c r="I2718" s="4">
        <v>417.08</v>
      </c>
      <c r="J2718">
        <v>3.9</v>
      </c>
      <c r="K2718" t="s">
        <v>36</v>
      </c>
      <c r="L2718" t="s">
        <v>28</v>
      </c>
      <c r="O2718"/>
    </row>
    <row r="2719" spans="1:15" x14ac:dyDescent="0.3">
      <c r="A2719" t="s">
        <v>2743</v>
      </c>
      <c r="B2719" s="1">
        <v>45732</v>
      </c>
      <c r="C2719" t="s">
        <v>14</v>
      </c>
      <c r="D2719" t="s">
        <v>25</v>
      </c>
      <c r="E2719" s="2">
        <v>16.100000000000001</v>
      </c>
      <c r="F2719" s="3">
        <v>51.21</v>
      </c>
      <c r="G2719" s="4">
        <v>170.67</v>
      </c>
      <c r="H2719">
        <v>1.5</v>
      </c>
      <c r="I2719" s="4">
        <v>256</v>
      </c>
      <c r="J2719">
        <v>3.3</v>
      </c>
      <c r="K2719" t="s">
        <v>33</v>
      </c>
      <c r="L2719" t="s">
        <v>26</v>
      </c>
      <c r="O2719"/>
    </row>
    <row r="2720" spans="1:15" x14ac:dyDescent="0.3">
      <c r="A2720" t="s">
        <v>2744</v>
      </c>
      <c r="B2720" s="1">
        <v>46018</v>
      </c>
      <c r="C2720" t="s">
        <v>13</v>
      </c>
      <c r="D2720" t="s">
        <v>25</v>
      </c>
      <c r="E2720" s="2">
        <v>27.87</v>
      </c>
      <c r="F2720" s="3">
        <v>56.29</v>
      </c>
      <c r="G2720" s="4">
        <v>347.69</v>
      </c>
      <c r="H2720">
        <v>1.2</v>
      </c>
      <c r="I2720" s="4">
        <v>417.23</v>
      </c>
      <c r="J2720">
        <v>3.3</v>
      </c>
      <c r="K2720" t="s">
        <v>30</v>
      </c>
      <c r="L2720" t="s">
        <v>19</v>
      </c>
      <c r="O2720"/>
    </row>
    <row r="2721" spans="1:15" x14ac:dyDescent="0.3">
      <c r="A2721" t="s">
        <v>2745</v>
      </c>
      <c r="B2721" s="1">
        <v>45923</v>
      </c>
      <c r="C2721" t="s">
        <v>14</v>
      </c>
      <c r="D2721" t="s">
        <v>14</v>
      </c>
      <c r="E2721" s="2">
        <v>25.14</v>
      </c>
      <c r="F2721" s="3">
        <v>94.56</v>
      </c>
      <c r="G2721" s="4">
        <v>403.96</v>
      </c>
      <c r="H2721">
        <v>1.2</v>
      </c>
      <c r="I2721" s="4">
        <v>484.75</v>
      </c>
      <c r="J2721">
        <v>4.3</v>
      </c>
      <c r="K2721" t="s">
        <v>15</v>
      </c>
      <c r="L2721" t="s">
        <v>26</v>
      </c>
      <c r="O2721"/>
    </row>
    <row r="2722" spans="1:15" x14ac:dyDescent="0.3">
      <c r="A2722" t="s">
        <v>2746</v>
      </c>
      <c r="B2722" s="1">
        <v>45770</v>
      </c>
      <c r="C2722" t="s">
        <v>22</v>
      </c>
      <c r="D2722" t="s">
        <v>22</v>
      </c>
      <c r="E2722" s="2">
        <v>4.1100000000000003</v>
      </c>
      <c r="F2722" s="3">
        <v>8.98</v>
      </c>
      <c r="G2722" s="4">
        <v>70.39</v>
      </c>
      <c r="H2722">
        <v>1</v>
      </c>
      <c r="I2722" s="4">
        <v>70.39</v>
      </c>
      <c r="J2722">
        <v>4.8</v>
      </c>
      <c r="K2722" t="s">
        <v>18</v>
      </c>
      <c r="L2722" t="s">
        <v>28</v>
      </c>
      <c r="O2722"/>
    </row>
    <row r="2723" spans="1:15" x14ac:dyDescent="0.3">
      <c r="A2723" t="s">
        <v>2747</v>
      </c>
      <c r="B2723" s="1">
        <v>45979</v>
      </c>
      <c r="C2723" t="s">
        <v>14</v>
      </c>
      <c r="D2723" t="s">
        <v>14</v>
      </c>
      <c r="E2723" s="2">
        <v>14.71</v>
      </c>
      <c r="F2723" s="3">
        <v>38.56</v>
      </c>
      <c r="G2723" s="4">
        <v>275.14</v>
      </c>
      <c r="H2723">
        <v>2</v>
      </c>
      <c r="I2723" s="4">
        <v>550.28</v>
      </c>
      <c r="J2723">
        <v>3.3</v>
      </c>
      <c r="K2723" t="s">
        <v>15</v>
      </c>
      <c r="L2723" t="s">
        <v>26</v>
      </c>
      <c r="O2723"/>
    </row>
    <row r="2724" spans="1:15" x14ac:dyDescent="0.3">
      <c r="A2724" t="s">
        <v>2748</v>
      </c>
      <c r="B2724" s="1">
        <v>45713</v>
      </c>
      <c r="C2724" t="s">
        <v>13</v>
      </c>
      <c r="D2724" t="s">
        <v>14</v>
      </c>
      <c r="E2724" s="2">
        <v>23.45</v>
      </c>
      <c r="F2724" s="3">
        <v>48.33</v>
      </c>
      <c r="G2724" s="4">
        <v>392.31</v>
      </c>
      <c r="H2724">
        <v>1.5</v>
      </c>
      <c r="I2724" s="4">
        <v>588.46</v>
      </c>
      <c r="J2724">
        <v>5</v>
      </c>
      <c r="K2724" t="s">
        <v>18</v>
      </c>
      <c r="L2724" t="s">
        <v>26</v>
      </c>
      <c r="O2724"/>
    </row>
    <row r="2725" spans="1:15" x14ac:dyDescent="0.3">
      <c r="A2725" t="s">
        <v>2749</v>
      </c>
      <c r="B2725" s="1">
        <v>45672</v>
      </c>
      <c r="C2725" t="s">
        <v>14</v>
      </c>
      <c r="D2725" t="s">
        <v>14</v>
      </c>
      <c r="E2725" s="2">
        <v>5.08</v>
      </c>
      <c r="F2725" s="3">
        <v>15.45</v>
      </c>
      <c r="G2725" s="4">
        <v>92.92</v>
      </c>
      <c r="H2725">
        <v>1.5</v>
      </c>
      <c r="I2725" s="4">
        <v>139.38</v>
      </c>
      <c r="J2725">
        <v>3.5</v>
      </c>
      <c r="K2725" t="s">
        <v>30</v>
      </c>
      <c r="L2725" t="s">
        <v>19</v>
      </c>
      <c r="O2725"/>
    </row>
    <row r="2726" spans="1:15" x14ac:dyDescent="0.3">
      <c r="A2726" t="s">
        <v>2750</v>
      </c>
      <c r="B2726" s="1">
        <v>45965</v>
      </c>
      <c r="C2726" t="s">
        <v>25</v>
      </c>
      <c r="D2726" t="s">
        <v>13</v>
      </c>
      <c r="E2726" s="2">
        <v>18.47</v>
      </c>
      <c r="F2726" s="3">
        <v>73.099999999999994</v>
      </c>
      <c r="G2726" s="4">
        <v>252.13</v>
      </c>
      <c r="H2726">
        <v>1.2</v>
      </c>
      <c r="I2726" s="4">
        <v>302.56</v>
      </c>
      <c r="J2726">
        <v>4.0999999999999996</v>
      </c>
      <c r="K2726" t="s">
        <v>15</v>
      </c>
      <c r="L2726" t="s">
        <v>26</v>
      </c>
      <c r="O2726"/>
    </row>
    <row r="2727" spans="1:15" x14ac:dyDescent="0.3">
      <c r="A2727" t="s">
        <v>2751</v>
      </c>
      <c r="B2727" s="1">
        <v>45664</v>
      </c>
      <c r="C2727" t="s">
        <v>13</v>
      </c>
      <c r="D2727" t="s">
        <v>25</v>
      </c>
      <c r="E2727" s="2">
        <v>23.99</v>
      </c>
      <c r="F2727" s="3">
        <v>59.16</v>
      </c>
      <c r="G2727" s="4">
        <v>462.96</v>
      </c>
      <c r="H2727">
        <v>2</v>
      </c>
      <c r="I2727" s="4">
        <v>925.92</v>
      </c>
      <c r="J2727">
        <v>4.3</v>
      </c>
      <c r="K2727" t="s">
        <v>36</v>
      </c>
      <c r="L2727" t="s">
        <v>28</v>
      </c>
      <c r="O2727"/>
    </row>
    <row r="2728" spans="1:15" x14ac:dyDescent="0.3">
      <c r="A2728" t="s">
        <v>2752</v>
      </c>
      <c r="B2728" s="1">
        <v>45716</v>
      </c>
      <c r="C2728" t="s">
        <v>21</v>
      </c>
      <c r="D2728" t="s">
        <v>14</v>
      </c>
      <c r="E2728" s="2">
        <v>4.7300000000000004</v>
      </c>
      <c r="F2728" s="3">
        <v>14.15</v>
      </c>
      <c r="G2728" s="4">
        <v>69.099999999999994</v>
      </c>
      <c r="H2728">
        <v>1.2</v>
      </c>
      <c r="I2728" s="4">
        <v>82.92</v>
      </c>
      <c r="J2728">
        <v>3.2</v>
      </c>
      <c r="K2728" t="s">
        <v>15</v>
      </c>
      <c r="L2728" t="s">
        <v>28</v>
      </c>
      <c r="O2728"/>
    </row>
    <row r="2729" spans="1:15" x14ac:dyDescent="0.3">
      <c r="A2729" t="s">
        <v>2753</v>
      </c>
      <c r="B2729" s="1">
        <v>46012</v>
      </c>
      <c r="C2729" t="s">
        <v>14</v>
      </c>
      <c r="D2729" t="s">
        <v>14</v>
      </c>
      <c r="E2729" s="2">
        <v>19.7</v>
      </c>
      <c r="F2729" s="3">
        <v>63.68</v>
      </c>
      <c r="G2729" s="4">
        <v>243.02</v>
      </c>
      <c r="H2729">
        <v>1</v>
      </c>
      <c r="I2729" s="4">
        <v>243.02</v>
      </c>
      <c r="J2729">
        <v>4.0999999999999996</v>
      </c>
      <c r="K2729" t="s">
        <v>15</v>
      </c>
      <c r="L2729" t="s">
        <v>28</v>
      </c>
      <c r="O2729"/>
    </row>
    <row r="2730" spans="1:15" x14ac:dyDescent="0.3">
      <c r="A2730" t="s">
        <v>2754</v>
      </c>
      <c r="B2730" s="1">
        <v>46008</v>
      </c>
      <c r="C2730" t="s">
        <v>21</v>
      </c>
      <c r="D2730" t="s">
        <v>21</v>
      </c>
      <c r="E2730" s="2">
        <v>26.76</v>
      </c>
      <c r="F2730" s="3">
        <v>94.55</v>
      </c>
      <c r="G2730" s="4">
        <v>484.88</v>
      </c>
      <c r="H2730">
        <v>1.2</v>
      </c>
      <c r="I2730" s="4">
        <v>581.86</v>
      </c>
      <c r="J2730">
        <v>3.7</v>
      </c>
      <c r="K2730" t="s">
        <v>30</v>
      </c>
      <c r="L2730" t="s">
        <v>19</v>
      </c>
      <c r="O2730"/>
    </row>
    <row r="2731" spans="1:15" x14ac:dyDescent="0.3">
      <c r="A2731" t="s">
        <v>2755</v>
      </c>
      <c r="B2731" s="1">
        <v>45771</v>
      </c>
      <c r="C2731" t="s">
        <v>13</v>
      </c>
      <c r="D2731" t="s">
        <v>25</v>
      </c>
      <c r="E2731" s="2">
        <v>14.28</v>
      </c>
      <c r="F2731" s="3">
        <v>53.26</v>
      </c>
      <c r="G2731" s="4">
        <v>275.02999999999997</v>
      </c>
      <c r="H2731">
        <v>1</v>
      </c>
      <c r="I2731" s="4">
        <v>275.02999999999997</v>
      </c>
      <c r="J2731">
        <v>3.1</v>
      </c>
      <c r="K2731" t="s">
        <v>36</v>
      </c>
      <c r="L2731" t="s">
        <v>19</v>
      </c>
      <c r="O2731"/>
    </row>
    <row r="2732" spans="1:15" x14ac:dyDescent="0.3">
      <c r="A2732" t="s">
        <v>2756</v>
      </c>
      <c r="B2732" s="1">
        <v>45995</v>
      </c>
      <c r="C2732" t="s">
        <v>22</v>
      </c>
      <c r="D2732" t="s">
        <v>14</v>
      </c>
      <c r="E2732" s="2">
        <v>28.8</v>
      </c>
      <c r="F2732" s="3">
        <v>73.56</v>
      </c>
      <c r="G2732" s="4">
        <v>539.53</v>
      </c>
      <c r="H2732">
        <v>1.2</v>
      </c>
      <c r="I2732" s="4">
        <v>647.44000000000005</v>
      </c>
      <c r="J2732">
        <v>4</v>
      </c>
      <c r="K2732" t="s">
        <v>30</v>
      </c>
      <c r="L2732" t="s">
        <v>26</v>
      </c>
      <c r="O2732"/>
    </row>
    <row r="2733" spans="1:15" x14ac:dyDescent="0.3">
      <c r="A2733" t="s">
        <v>2757</v>
      </c>
      <c r="B2733" s="1">
        <v>46015</v>
      </c>
      <c r="C2733" t="s">
        <v>21</v>
      </c>
      <c r="D2733" t="s">
        <v>25</v>
      </c>
      <c r="E2733" s="2">
        <v>3.33</v>
      </c>
      <c r="F2733" s="3">
        <v>7.7</v>
      </c>
      <c r="G2733" s="4">
        <v>41.62</v>
      </c>
      <c r="H2733">
        <v>1</v>
      </c>
      <c r="I2733" s="4">
        <v>41.62</v>
      </c>
      <c r="J2733">
        <v>4.0999999999999996</v>
      </c>
      <c r="K2733" t="s">
        <v>15</v>
      </c>
      <c r="L2733" t="s">
        <v>16</v>
      </c>
      <c r="O2733"/>
    </row>
    <row r="2734" spans="1:15" x14ac:dyDescent="0.3">
      <c r="A2734" t="s">
        <v>2758</v>
      </c>
      <c r="B2734" s="1">
        <v>45718</v>
      </c>
      <c r="C2734" t="s">
        <v>21</v>
      </c>
      <c r="D2734" t="s">
        <v>13</v>
      </c>
      <c r="E2734" s="2">
        <v>29.61</v>
      </c>
      <c r="F2734" s="3">
        <v>85.37</v>
      </c>
      <c r="G2734" s="4">
        <v>449.53</v>
      </c>
      <c r="H2734">
        <v>1.5</v>
      </c>
      <c r="I2734" s="4">
        <v>674.3</v>
      </c>
      <c r="J2734">
        <v>4.7</v>
      </c>
      <c r="K2734" t="s">
        <v>36</v>
      </c>
      <c r="L2734" t="s">
        <v>28</v>
      </c>
      <c r="O2734"/>
    </row>
    <row r="2735" spans="1:15" x14ac:dyDescent="0.3">
      <c r="A2735" t="s">
        <v>2759</v>
      </c>
      <c r="B2735" s="1">
        <v>45740</v>
      </c>
      <c r="C2735" t="s">
        <v>13</v>
      </c>
      <c r="D2735" t="s">
        <v>13</v>
      </c>
      <c r="E2735" s="2">
        <v>16.010000000000002</v>
      </c>
      <c r="F2735" s="3">
        <v>32.299999999999997</v>
      </c>
      <c r="G2735" s="4">
        <v>160.38</v>
      </c>
      <c r="H2735">
        <v>1.2</v>
      </c>
      <c r="I2735" s="4">
        <v>192.46</v>
      </c>
      <c r="J2735">
        <v>3.6</v>
      </c>
      <c r="K2735" t="s">
        <v>36</v>
      </c>
      <c r="L2735" t="s">
        <v>16</v>
      </c>
      <c r="O2735"/>
    </row>
    <row r="2736" spans="1:15" x14ac:dyDescent="0.3">
      <c r="A2736" t="s">
        <v>2760</v>
      </c>
      <c r="B2736" s="1">
        <v>45944</v>
      </c>
      <c r="C2736" t="s">
        <v>14</v>
      </c>
      <c r="D2736" t="s">
        <v>21</v>
      </c>
      <c r="E2736" s="2">
        <v>6.94</v>
      </c>
      <c r="F2736" s="3">
        <v>26.3</v>
      </c>
      <c r="G2736" s="4">
        <v>133.85</v>
      </c>
      <c r="H2736">
        <v>1.5</v>
      </c>
      <c r="I2736" s="4">
        <v>200.77</v>
      </c>
      <c r="J2736">
        <v>4.2</v>
      </c>
      <c r="K2736" t="s">
        <v>18</v>
      </c>
      <c r="L2736" t="s">
        <v>16</v>
      </c>
      <c r="O2736"/>
    </row>
    <row r="2737" spans="1:15" x14ac:dyDescent="0.3">
      <c r="A2737" t="s">
        <v>2761</v>
      </c>
      <c r="B2737" s="1">
        <v>45923</v>
      </c>
      <c r="C2737" t="s">
        <v>25</v>
      </c>
      <c r="D2737" t="s">
        <v>25</v>
      </c>
      <c r="E2737" s="2">
        <v>25.29</v>
      </c>
      <c r="F2737" s="3">
        <v>95.25</v>
      </c>
      <c r="G2737" s="4">
        <v>370.79</v>
      </c>
      <c r="H2737">
        <v>2</v>
      </c>
      <c r="I2737" s="4">
        <v>741.58</v>
      </c>
      <c r="J2737">
        <v>4.8</v>
      </c>
      <c r="K2737" t="s">
        <v>30</v>
      </c>
      <c r="L2737" t="s">
        <v>26</v>
      </c>
      <c r="O2737"/>
    </row>
    <row r="2738" spans="1:15" x14ac:dyDescent="0.3">
      <c r="A2738" t="s">
        <v>2762</v>
      </c>
      <c r="B2738" s="1">
        <v>45833</v>
      </c>
      <c r="C2738" t="s">
        <v>25</v>
      </c>
      <c r="D2738" t="s">
        <v>21</v>
      </c>
      <c r="E2738" s="2">
        <v>26.59</v>
      </c>
      <c r="F2738" s="3">
        <v>66.180000000000007</v>
      </c>
      <c r="G2738" s="4">
        <v>291.32</v>
      </c>
      <c r="H2738">
        <v>2</v>
      </c>
      <c r="I2738" s="4">
        <v>582.64</v>
      </c>
      <c r="J2738">
        <v>3.1</v>
      </c>
      <c r="K2738" t="s">
        <v>15</v>
      </c>
      <c r="L2738" t="s">
        <v>28</v>
      </c>
      <c r="O2738"/>
    </row>
    <row r="2739" spans="1:15" x14ac:dyDescent="0.3">
      <c r="A2739" t="s">
        <v>2763</v>
      </c>
      <c r="B2739" s="1">
        <v>45676</v>
      </c>
      <c r="C2739" t="s">
        <v>13</v>
      </c>
      <c r="D2739" t="s">
        <v>13</v>
      </c>
      <c r="E2739" s="2">
        <v>6.09</v>
      </c>
      <c r="F2739" s="3">
        <v>18.43</v>
      </c>
      <c r="G2739" s="4">
        <v>86.81</v>
      </c>
      <c r="H2739">
        <v>1.5</v>
      </c>
      <c r="I2739" s="4">
        <v>130.22</v>
      </c>
      <c r="J2739">
        <v>4.7</v>
      </c>
      <c r="K2739" t="s">
        <v>33</v>
      </c>
      <c r="L2739" t="s">
        <v>26</v>
      </c>
      <c r="O2739"/>
    </row>
    <row r="2740" spans="1:15" x14ac:dyDescent="0.3">
      <c r="A2740" t="s">
        <v>2764</v>
      </c>
      <c r="B2740" s="1">
        <v>45861</v>
      </c>
      <c r="C2740" t="s">
        <v>14</v>
      </c>
      <c r="D2740" t="s">
        <v>22</v>
      </c>
      <c r="E2740" s="2">
        <v>24.7</v>
      </c>
      <c r="F2740" s="3">
        <v>94.65</v>
      </c>
      <c r="G2740" s="4">
        <v>320.57</v>
      </c>
      <c r="H2740">
        <v>2</v>
      </c>
      <c r="I2740" s="4">
        <v>641.14</v>
      </c>
      <c r="J2740">
        <v>3.6</v>
      </c>
      <c r="K2740" t="s">
        <v>33</v>
      </c>
      <c r="L2740" t="s">
        <v>19</v>
      </c>
      <c r="O2740"/>
    </row>
    <row r="2741" spans="1:15" x14ac:dyDescent="0.3">
      <c r="A2741" t="s">
        <v>2765</v>
      </c>
      <c r="B2741" s="1">
        <v>45856</v>
      </c>
      <c r="C2741" t="s">
        <v>22</v>
      </c>
      <c r="D2741" t="s">
        <v>13</v>
      </c>
      <c r="E2741" s="2">
        <v>4.2300000000000004</v>
      </c>
      <c r="F2741" s="3">
        <v>16.09</v>
      </c>
      <c r="G2741" s="4">
        <v>65.180000000000007</v>
      </c>
      <c r="H2741">
        <v>1</v>
      </c>
      <c r="I2741" s="4">
        <v>65.180000000000007</v>
      </c>
      <c r="J2741">
        <v>4.5</v>
      </c>
      <c r="K2741" t="s">
        <v>15</v>
      </c>
      <c r="L2741" t="s">
        <v>28</v>
      </c>
      <c r="O2741"/>
    </row>
    <row r="2742" spans="1:15" x14ac:dyDescent="0.3">
      <c r="A2742" t="s">
        <v>2766</v>
      </c>
      <c r="B2742" s="1">
        <v>46000</v>
      </c>
      <c r="C2742" t="s">
        <v>21</v>
      </c>
      <c r="D2742" t="s">
        <v>22</v>
      </c>
      <c r="E2742" s="2">
        <v>5.82</v>
      </c>
      <c r="F2742" s="3">
        <v>21.36</v>
      </c>
      <c r="G2742" s="4">
        <v>79.069999999999993</v>
      </c>
      <c r="H2742">
        <v>1</v>
      </c>
      <c r="I2742" s="4">
        <v>79.069999999999993</v>
      </c>
      <c r="J2742">
        <v>3.6</v>
      </c>
      <c r="K2742" t="s">
        <v>30</v>
      </c>
      <c r="L2742" t="s">
        <v>16</v>
      </c>
      <c r="O2742"/>
    </row>
    <row r="2743" spans="1:15" x14ac:dyDescent="0.3">
      <c r="A2743" t="s">
        <v>2767</v>
      </c>
      <c r="B2743" s="1">
        <v>45778</v>
      </c>
      <c r="C2743" t="s">
        <v>14</v>
      </c>
      <c r="D2743" t="s">
        <v>21</v>
      </c>
      <c r="E2743" s="2">
        <v>12.19</v>
      </c>
      <c r="F2743" s="3">
        <v>43.16</v>
      </c>
      <c r="G2743" s="4">
        <v>222.01</v>
      </c>
      <c r="H2743">
        <v>1</v>
      </c>
      <c r="I2743" s="4">
        <v>222.01</v>
      </c>
      <c r="J2743">
        <v>3.4</v>
      </c>
      <c r="K2743" t="s">
        <v>36</v>
      </c>
      <c r="L2743" t="s">
        <v>16</v>
      </c>
      <c r="O2743"/>
    </row>
    <row r="2744" spans="1:15" x14ac:dyDescent="0.3">
      <c r="A2744" t="s">
        <v>2768</v>
      </c>
      <c r="B2744" s="1">
        <v>45908</v>
      </c>
      <c r="C2744" t="s">
        <v>25</v>
      </c>
      <c r="D2744" t="s">
        <v>21</v>
      </c>
      <c r="E2744" s="2">
        <v>16.61</v>
      </c>
      <c r="F2744" s="3">
        <v>57.89</v>
      </c>
      <c r="G2744" s="4">
        <v>207.18</v>
      </c>
      <c r="H2744">
        <v>1</v>
      </c>
      <c r="I2744" s="4">
        <v>207.18</v>
      </c>
      <c r="J2744">
        <v>4.8</v>
      </c>
      <c r="K2744" t="s">
        <v>36</v>
      </c>
      <c r="L2744" t="s">
        <v>16</v>
      </c>
      <c r="O2744"/>
    </row>
    <row r="2745" spans="1:15" x14ac:dyDescent="0.3">
      <c r="A2745" t="s">
        <v>2769</v>
      </c>
      <c r="B2745" s="1">
        <v>45772</v>
      </c>
      <c r="C2745" t="s">
        <v>14</v>
      </c>
      <c r="D2745" t="s">
        <v>14</v>
      </c>
      <c r="E2745" s="2">
        <v>1.8</v>
      </c>
      <c r="F2745" s="3">
        <v>4.0999999999999996</v>
      </c>
      <c r="G2745" s="4">
        <v>28.27</v>
      </c>
      <c r="H2745">
        <v>1.2</v>
      </c>
      <c r="I2745" s="4">
        <v>33.92</v>
      </c>
      <c r="J2745">
        <v>4.4000000000000004</v>
      </c>
      <c r="K2745" t="s">
        <v>15</v>
      </c>
      <c r="L2745" t="s">
        <v>16</v>
      </c>
      <c r="O2745"/>
    </row>
    <row r="2746" spans="1:15" x14ac:dyDescent="0.3">
      <c r="A2746" t="s">
        <v>2770</v>
      </c>
      <c r="B2746" s="1">
        <v>45992</v>
      </c>
      <c r="C2746" t="s">
        <v>22</v>
      </c>
      <c r="D2746" t="s">
        <v>13</v>
      </c>
      <c r="E2746" s="2">
        <v>25.94</v>
      </c>
      <c r="F2746" s="3">
        <v>92.23</v>
      </c>
      <c r="G2746" s="4">
        <v>323.01</v>
      </c>
      <c r="H2746">
        <v>1.5</v>
      </c>
      <c r="I2746" s="4">
        <v>484.52</v>
      </c>
      <c r="J2746">
        <v>3.1</v>
      </c>
      <c r="K2746" t="s">
        <v>18</v>
      </c>
      <c r="L2746" t="s">
        <v>19</v>
      </c>
      <c r="O2746"/>
    </row>
    <row r="2747" spans="1:15" x14ac:dyDescent="0.3">
      <c r="A2747" t="s">
        <v>2771</v>
      </c>
      <c r="B2747" s="1">
        <v>45832</v>
      </c>
      <c r="C2747" t="s">
        <v>21</v>
      </c>
      <c r="D2747" t="s">
        <v>13</v>
      </c>
      <c r="E2747" s="2">
        <v>7.3</v>
      </c>
      <c r="F2747" s="3">
        <v>15.55</v>
      </c>
      <c r="G2747" s="4">
        <v>129.96</v>
      </c>
      <c r="H2747">
        <v>1.5</v>
      </c>
      <c r="I2747" s="4">
        <v>194.94</v>
      </c>
      <c r="J2747">
        <v>3.5</v>
      </c>
      <c r="K2747" t="s">
        <v>15</v>
      </c>
      <c r="L2747" t="s">
        <v>19</v>
      </c>
      <c r="O2747"/>
    </row>
    <row r="2748" spans="1:15" x14ac:dyDescent="0.3">
      <c r="A2748" t="s">
        <v>2772</v>
      </c>
      <c r="B2748" s="1">
        <v>45722</v>
      </c>
      <c r="C2748" t="s">
        <v>22</v>
      </c>
      <c r="D2748" t="s">
        <v>14</v>
      </c>
      <c r="E2748" s="2">
        <v>1.1299999999999999</v>
      </c>
      <c r="F2748" s="3">
        <v>3.39</v>
      </c>
      <c r="G2748" s="4">
        <v>19.260000000000002</v>
      </c>
      <c r="H2748">
        <v>1.5</v>
      </c>
      <c r="I2748" s="4">
        <v>28.89</v>
      </c>
      <c r="J2748">
        <v>3.9</v>
      </c>
      <c r="K2748" t="s">
        <v>18</v>
      </c>
      <c r="L2748" t="s">
        <v>16</v>
      </c>
      <c r="O2748"/>
    </row>
    <row r="2749" spans="1:15" x14ac:dyDescent="0.3">
      <c r="A2749" t="s">
        <v>2773</v>
      </c>
      <c r="B2749" s="1">
        <v>45714</v>
      </c>
      <c r="C2749" t="s">
        <v>25</v>
      </c>
      <c r="D2749" t="s">
        <v>22</v>
      </c>
      <c r="E2749" s="2">
        <v>3.44</v>
      </c>
      <c r="F2749" s="3">
        <v>8.1300000000000008</v>
      </c>
      <c r="G2749" s="4">
        <v>50.77</v>
      </c>
      <c r="H2749">
        <v>1</v>
      </c>
      <c r="I2749" s="4">
        <v>50.77</v>
      </c>
      <c r="J2749">
        <v>4.8</v>
      </c>
      <c r="K2749" t="s">
        <v>33</v>
      </c>
      <c r="L2749" t="s">
        <v>19</v>
      </c>
      <c r="O2749"/>
    </row>
    <row r="2750" spans="1:15" x14ac:dyDescent="0.3">
      <c r="A2750" t="s">
        <v>2774</v>
      </c>
      <c r="B2750" s="1">
        <v>45956</v>
      </c>
      <c r="C2750" t="s">
        <v>13</v>
      </c>
      <c r="D2750" t="s">
        <v>14</v>
      </c>
      <c r="E2750" s="2">
        <v>6.37</v>
      </c>
      <c r="F2750" s="3">
        <v>15.34</v>
      </c>
      <c r="G2750" s="4">
        <v>78.91</v>
      </c>
      <c r="H2750">
        <v>2</v>
      </c>
      <c r="I2750" s="4">
        <v>157.82</v>
      </c>
      <c r="J2750">
        <v>4.5999999999999996</v>
      </c>
      <c r="K2750" t="s">
        <v>30</v>
      </c>
      <c r="L2750" t="s">
        <v>28</v>
      </c>
      <c r="O2750"/>
    </row>
    <row r="2751" spans="1:15" x14ac:dyDescent="0.3">
      <c r="A2751" t="s">
        <v>2775</v>
      </c>
      <c r="B2751" s="1">
        <v>45730</v>
      </c>
      <c r="C2751" t="s">
        <v>21</v>
      </c>
      <c r="D2751" t="s">
        <v>22</v>
      </c>
      <c r="E2751" s="2">
        <v>19.96</v>
      </c>
      <c r="F2751" s="3">
        <v>57.41</v>
      </c>
      <c r="G2751" s="4">
        <v>354.48</v>
      </c>
      <c r="H2751">
        <v>1.5</v>
      </c>
      <c r="I2751" s="4">
        <v>531.72</v>
      </c>
      <c r="J2751">
        <v>4.4000000000000004</v>
      </c>
      <c r="K2751" t="s">
        <v>36</v>
      </c>
      <c r="L2751" t="s">
        <v>28</v>
      </c>
      <c r="O2751"/>
    </row>
    <row r="2752" spans="1:15" x14ac:dyDescent="0.3">
      <c r="A2752" t="s">
        <v>2776</v>
      </c>
      <c r="B2752" s="1">
        <v>45676</v>
      </c>
      <c r="C2752" t="s">
        <v>21</v>
      </c>
      <c r="D2752" t="s">
        <v>21</v>
      </c>
      <c r="E2752" s="2">
        <v>2.42</v>
      </c>
      <c r="F2752" s="3">
        <v>9.09</v>
      </c>
      <c r="G2752" s="4">
        <v>26.13</v>
      </c>
      <c r="H2752">
        <v>1</v>
      </c>
      <c r="I2752" s="4">
        <v>26.13</v>
      </c>
      <c r="J2752">
        <v>4.5999999999999996</v>
      </c>
      <c r="K2752" t="s">
        <v>33</v>
      </c>
      <c r="L2752" t="s">
        <v>28</v>
      </c>
      <c r="O2752"/>
    </row>
    <row r="2753" spans="1:15" x14ac:dyDescent="0.3">
      <c r="A2753" t="s">
        <v>2777</v>
      </c>
      <c r="B2753" s="1">
        <v>45838</v>
      </c>
      <c r="C2753" t="s">
        <v>22</v>
      </c>
      <c r="D2753" t="s">
        <v>21</v>
      </c>
      <c r="E2753" s="2">
        <v>19.22</v>
      </c>
      <c r="F2753" s="3">
        <v>60.83</v>
      </c>
      <c r="G2753" s="4">
        <v>381.88</v>
      </c>
      <c r="H2753">
        <v>1.2</v>
      </c>
      <c r="I2753" s="4">
        <v>458.26</v>
      </c>
      <c r="J2753">
        <v>3.2</v>
      </c>
      <c r="K2753" t="s">
        <v>18</v>
      </c>
      <c r="L2753" t="s">
        <v>19</v>
      </c>
      <c r="O2753"/>
    </row>
    <row r="2754" spans="1:15" x14ac:dyDescent="0.3">
      <c r="A2754" t="s">
        <v>2778</v>
      </c>
      <c r="B2754" s="1">
        <v>45809</v>
      </c>
      <c r="C2754" t="s">
        <v>14</v>
      </c>
      <c r="D2754" t="s">
        <v>25</v>
      </c>
      <c r="E2754" s="2">
        <v>9.61</v>
      </c>
      <c r="F2754" s="3">
        <v>22.15</v>
      </c>
      <c r="G2754" s="4">
        <v>109.37</v>
      </c>
      <c r="H2754">
        <v>1</v>
      </c>
      <c r="I2754" s="4">
        <v>109.37</v>
      </c>
      <c r="J2754">
        <v>4.5</v>
      </c>
      <c r="K2754" t="s">
        <v>33</v>
      </c>
      <c r="L2754" t="s">
        <v>28</v>
      </c>
      <c r="O2754"/>
    </row>
    <row r="2755" spans="1:15" x14ac:dyDescent="0.3">
      <c r="A2755" t="s">
        <v>2779</v>
      </c>
      <c r="B2755" s="1">
        <v>45778</v>
      </c>
      <c r="C2755" t="s">
        <v>13</v>
      </c>
      <c r="D2755" t="s">
        <v>22</v>
      </c>
      <c r="E2755" s="2">
        <v>26.76</v>
      </c>
      <c r="F2755" s="3">
        <v>96.84</v>
      </c>
      <c r="G2755" s="4">
        <v>477.78</v>
      </c>
      <c r="H2755">
        <v>1.2</v>
      </c>
      <c r="I2755" s="4">
        <v>573.34</v>
      </c>
      <c r="J2755">
        <v>5</v>
      </c>
      <c r="K2755" t="s">
        <v>30</v>
      </c>
      <c r="L2755" t="s">
        <v>26</v>
      </c>
      <c r="O2755"/>
    </row>
    <row r="2756" spans="1:15" x14ac:dyDescent="0.3">
      <c r="A2756" t="s">
        <v>2780</v>
      </c>
      <c r="B2756" s="1">
        <v>45759</v>
      </c>
      <c r="C2756" t="s">
        <v>13</v>
      </c>
      <c r="D2756" t="s">
        <v>25</v>
      </c>
      <c r="E2756" s="2">
        <v>15.28</v>
      </c>
      <c r="F2756" s="3">
        <v>58.02</v>
      </c>
      <c r="G2756" s="4">
        <v>181.9</v>
      </c>
      <c r="H2756">
        <v>1.5</v>
      </c>
      <c r="I2756" s="4">
        <v>272.85000000000002</v>
      </c>
      <c r="J2756">
        <v>3.3</v>
      </c>
      <c r="K2756" t="s">
        <v>15</v>
      </c>
      <c r="L2756" t="s">
        <v>26</v>
      </c>
      <c r="O2756"/>
    </row>
    <row r="2757" spans="1:15" x14ac:dyDescent="0.3">
      <c r="A2757" t="s">
        <v>2781</v>
      </c>
      <c r="B2757" s="1">
        <v>45885</v>
      </c>
      <c r="C2757" t="s">
        <v>21</v>
      </c>
      <c r="D2757" t="s">
        <v>25</v>
      </c>
      <c r="E2757" s="2">
        <v>2.2999999999999998</v>
      </c>
      <c r="F2757" s="3">
        <v>5.29</v>
      </c>
      <c r="G2757" s="4">
        <v>32.74</v>
      </c>
      <c r="H2757">
        <v>1.5</v>
      </c>
      <c r="I2757" s="4">
        <v>49.11</v>
      </c>
      <c r="J2757">
        <v>4.7</v>
      </c>
      <c r="K2757" t="s">
        <v>18</v>
      </c>
      <c r="L2757" t="s">
        <v>28</v>
      </c>
      <c r="O2757"/>
    </row>
    <row r="2758" spans="1:15" x14ac:dyDescent="0.3">
      <c r="A2758" t="s">
        <v>2782</v>
      </c>
      <c r="B2758" s="1">
        <v>45801</v>
      </c>
      <c r="C2758" t="s">
        <v>22</v>
      </c>
      <c r="D2758" t="s">
        <v>13</v>
      </c>
      <c r="E2758" s="2">
        <v>4.74</v>
      </c>
      <c r="F2758" s="3">
        <v>13.81</v>
      </c>
      <c r="G2758" s="4">
        <v>60.28</v>
      </c>
      <c r="H2758">
        <v>1.5</v>
      </c>
      <c r="I2758" s="4">
        <v>90.42</v>
      </c>
      <c r="J2758">
        <v>3.1</v>
      </c>
      <c r="K2758" t="s">
        <v>30</v>
      </c>
      <c r="L2758" t="s">
        <v>26</v>
      </c>
      <c r="O2758"/>
    </row>
    <row r="2759" spans="1:15" x14ac:dyDescent="0.3">
      <c r="A2759" t="s">
        <v>2783</v>
      </c>
      <c r="B2759" s="1">
        <v>45905</v>
      </c>
      <c r="C2759" t="s">
        <v>25</v>
      </c>
      <c r="D2759" t="s">
        <v>14</v>
      </c>
      <c r="E2759" s="2">
        <v>13.42</v>
      </c>
      <c r="F2759" s="3">
        <v>53.23</v>
      </c>
      <c r="G2759" s="4">
        <v>178.33</v>
      </c>
      <c r="H2759">
        <v>1</v>
      </c>
      <c r="I2759" s="4">
        <v>178.33</v>
      </c>
      <c r="J2759">
        <v>3</v>
      </c>
      <c r="K2759" t="s">
        <v>30</v>
      </c>
      <c r="L2759" t="s">
        <v>19</v>
      </c>
      <c r="O2759"/>
    </row>
    <row r="2760" spans="1:15" x14ac:dyDescent="0.3">
      <c r="A2760" t="s">
        <v>2784</v>
      </c>
      <c r="B2760" s="1">
        <v>45996</v>
      </c>
      <c r="C2760" t="s">
        <v>13</v>
      </c>
      <c r="D2760" t="s">
        <v>13</v>
      </c>
      <c r="E2760" s="2">
        <v>28.61</v>
      </c>
      <c r="F2760" s="3">
        <v>102.43</v>
      </c>
      <c r="G2760" s="4">
        <v>474.81</v>
      </c>
      <c r="H2760">
        <v>2</v>
      </c>
      <c r="I2760" s="4">
        <v>949.62</v>
      </c>
      <c r="J2760">
        <v>4.9000000000000004</v>
      </c>
      <c r="K2760" t="s">
        <v>33</v>
      </c>
      <c r="L2760" t="s">
        <v>19</v>
      </c>
      <c r="O2760"/>
    </row>
    <row r="2761" spans="1:15" x14ac:dyDescent="0.3">
      <c r="A2761" t="s">
        <v>2785</v>
      </c>
      <c r="B2761" s="1">
        <v>45704</v>
      </c>
      <c r="C2761" t="s">
        <v>25</v>
      </c>
      <c r="D2761" t="s">
        <v>13</v>
      </c>
      <c r="E2761" s="2">
        <v>14.42</v>
      </c>
      <c r="F2761" s="3">
        <v>57.37</v>
      </c>
      <c r="G2761" s="4">
        <v>255.18</v>
      </c>
      <c r="H2761">
        <v>2</v>
      </c>
      <c r="I2761" s="4">
        <v>510.36</v>
      </c>
      <c r="J2761">
        <v>3.8</v>
      </c>
      <c r="K2761" t="s">
        <v>36</v>
      </c>
      <c r="L2761" t="s">
        <v>16</v>
      </c>
      <c r="O2761"/>
    </row>
    <row r="2762" spans="1:15" x14ac:dyDescent="0.3">
      <c r="A2762" t="s">
        <v>2786</v>
      </c>
      <c r="B2762" s="1">
        <v>45817</v>
      </c>
      <c r="C2762" t="s">
        <v>13</v>
      </c>
      <c r="D2762" t="s">
        <v>21</v>
      </c>
      <c r="E2762" s="2">
        <v>26.37</v>
      </c>
      <c r="F2762" s="3">
        <v>90</v>
      </c>
      <c r="G2762" s="4">
        <v>464.24</v>
      </c>
      <c r="H2762">
        <v>1.5</v>
      </c>
      <c r="I2762" s="4">
        <v>696.36</v>
      </c>
      <c r="J2762">
        <v>4.5999999999999996</v>
      </c>
      <c r="K2762" t="s">
        <v>36</v>
      </c>
      <c r="L2762" t="s">
        <v>19</v>
      </c>
      <c r="O2762"/>
    </row>
    <row r="2763" spans="1:15" x14ac:dyDescent="0.3">
      <c r="A2763" t="s">
        <v>2787</v>
      </c>
      <c r="B2763" s="1">
        <v>45843</v>
      </c>
      <c r="C2763" t="s">
        <v>14</v>
      </c>
      <c r="D2763" t="s">
        <v>22</v>
      </c>
      <c r="E2763" s="2">
        <v>24.93</v>
      </c>
      <c r="F2763" s="3">
        <v>91.94</v>
      </c>
      <c r="G2763" s="4">
        <v>417.08</v>
      </c>
      <c r="H2763">
        <v>2</v>
      </c>
      <c r="I2763" s="4">
        <v>834.16</v>
      </c>
      <c r="J2763">
        <v>4</v>
      </c>
      <c r="K2763" t="s">
        <v>30</v>
      </c>
      <c r="L2763" t="s">
        <v>26</v>
      </c>
      <c r="O2763"/>
    </row>
    <row r="2764" spans="1:15" x14ac:dyDescent="0.3">
      <c r="A2764" t="s">
        <v>2788</v>
      </c>
      <c r="B2764" s="1">
        <v>46015</v>
      </c>
      <c r="C2764" t="s">
        <v>22</v>
      </c>
      <c r="D2764" t="s">
        <v>22</v>
      </c>
      <c r="E2764" s="2">
        <v>28.13</v>
      </c>
      <c r="F2764" s="3">
        <v>89.24</v>
      </c>
      <c r="G2764" s="4">
        <v>365.17</v>
      </c>
      <c r="H2764">
        <v>1.5</v>
      </c>
      <c r="I2764" s="4">
        <v>547.76</v>
      </c>
      <c r="J2764">
        <v>3.7</v>
      </c>
      <c r="K2764" t="s">
        <v>33</v>
      </c>
      <c r="L2764" t="s">
        <v>28</v>
      </c>
      <c r="O2764"/>
    </row>
    <row r="2765" spans="1:15" x14ac:dyDescent="0.3">
      <c r="A2765" t="s">
        <v>2789</v>
      </c>
      <c r="B2765" s="1">
        <v>45833</v>
      </c>
      <c r="C2765" t="s">
        <v>25</v>
      </c>
      <c r="D2765" t="s">
        <v>22</v>
      </c>
      <c r="E2765" s="2">
        <v>25.26</v>
      </c>
      <c r="F2765" s="3">
        <v>91.67</v>
      </c>
      <c r="G2765" s="4">
        <v>415.55</v>
      </c>
      <c r="H2765">
        <v>1</v>
      </c>
      <c r="I2765" s="4">
        <v>415.55</v>
      </c>
      <c r="J2765">
        <v>4.5</v>
      </c>
      <c r="K2765" t="s">
        <v>18</v>
      </c>
      <c r="L2765" t="s">
        <v>19</v>
      </c>
      <c r="O2765"/>
    </row>
    <row r="2766" spans="1:15" x14ac:dyDescent="0.3">
      <c r="A2766" t="s">
        <v>2790</v>
      </c>
      <c r="B2766" s="1">
        <v>45953</v>
      </c>
      <c r="C2766" t="s">
        <v>21</v>
      </c>
      <c r="D2766" t="s">
        <v>13</v>
      </c>
      <c r="E2766" s="2">
        <v>1.25</v>
      </c>
      <c r="F2766" s="3">
        <v>4.58</v>
      </c>
      <c r="G2766" s="4">
        <v>13.59</v>
      </c>
      <c r="H2766">
        <v>1.5</v>
      </c>
      <c r="I2766" s="4">
        <v>20.38</v>
      </c>
      <c r="J2766">
        <v>4.5</v>
      </c>
      <c r="K2766" t="s">
        <v>36</v>
      </c>
      <c r="L2766" t="s">
        <v>28</v>
      </c>
      <c r="O2766"/>
    </row>
    <row r="2767" spans="1:15" x14ac:dyDescent="0.3">
      <c r="A2767" t="s">
        <v>2791</v>
      </c>
      <c r="B2767" s="1">
        <v>45766</v>
      </c>
      <c r="C2767" t="s">
        <v>22</v>
      </c>
      <c r="D2767" t="s">
        <v>22</v>
      </c>
      <c r="E2767" s="2">
        <v>16.27</v>
      </c>
      <c r="F2767" s="3">
        <v>62.7</v>
      </c>
      <c r="G2767" s="4">
        <v>167.84</v>
      </c>
      <c r="H2767">
        <v>2</v>
      </c>
      <c r="I2767" s="4">
        <v>335.68</v>
      </c>
      <c r="J2767">
        <v>3.5</v>
      </c>
      <c r="K2767" t="s">
        <v>18</v>
      </c>
      <c r="L2767" t="s">
        <v>26</v>
      </c>
      <c r="O2767"/>
    </row>
    <row r="2768" spans="1:15" x14ac:dyDescent="0.3">
      <c r="A2768" t="s">
        <v>2792</v>
      </c>
      <c r="B2768" s="1">
        <v>45846</v>
      </c>
      <c r="C2768" t="s">
        <v>25</v>
      </c>
      <c r="D2768" t="s">
        <v>14</v>
      </c>
      <c r="E2768" s="2">
        <v>2.11</v>
      </c>
      <c r="F2768" s="3">
        <v>6.03</v>
      </c>
      <c r="G2768" s="4">
        <v>22.43</v>
      </c>
      <c r="H2768">
        <v>1.2</v>
      </c>
      <c r="I2768" s="4">
        <v>26.92</v>
      </c>
      <c r="J2768">
        <v>3.4</v>
      </c>
      <c r="K2768" t="s">
        <v>18</v>
      </c>
      <c r="L2768" t="s">
        <v>19</v>
      </c>
      <c r="O2768"/>
    </row>
    <row r="2769" spans="1:15" x14ac:dyDescent="0.3">
      <c r="A2769" t="s">
        <v>2793</v>
      </c>
      <c r="B2769" s="1">
        <v>45988</v>
      </c>
      <c r="C2769" t="s">
        <v>25</v>
      </c>
      <c r="D2769" t="s">
        <v>13</v>
      </c>
      <c r="E2769" s="2">
        <v>1.84</v>
      </c>
      <c r="F2769" s="3">
        <v>3.83</v>
      </c>
      <c r="G2769" s="4">
        <v>29.67</v>
      </c>
      <c r="H2769">
        <v>2</v>
      </c>
      <c r="I2769" s="4">
        <v>59.34</v>
      </c>
      <c r="J2769">
        <v>4.4000000000000004</v>
      </c>
      <c r="K2769" t="s">
        <v>15</v>
      </c>
      <c r="L2769" t="s">
        <v>26</v>
      </c>
      <c r="O2769"/>
    </row>
    <row r="2770" spans="1:15" x14ac:dyDescent="0.3">
      <c r="A2770" t="s">
        <v>2794</v>
      </c>
      <c r="B2770" s="1">
        <v>45720</v>
      </c>
      <c r="C2770" t="s">
        <v>25</v>
      </c>
      <c r="D2770" t="s">
        <v>22</v>
      </c>
      <c r="E2770" s="2">
        <v>17.079999999999998</v>
      </c>
      <c r="F2770" s="3">
        <v>61.48</v>
      </c>
      <c r="G2770" s="4">
        <v>275.07</v>
      </c>
      <c r="H2770">
        <v>1.5</v>
      </c>
      <c r="I2770" s="4">
        <v>412.6</v>
      </c>
      <c r="J2770">
        <v>3.9</v>
      </c>
      <c r="K2770" t="s">
        <v>33</v>
      </c>
      <c r="L2770" t="s">
        <v>16</v>
      </c>
      <c r="O2770"/>
    </row>
    <row r="2771" spans="1:15" x14ac:dyDescent="0.3">
      <c r="A2771" t="s">
        <v>2795</v>
      </c>
      <c r="B2771" s="1">
        <v>45708</v>
      </c>
      <c r="C2771" t="s">
        <v>14</v>
      </c>
      <c r="D2771" t="s">
        <v>21</v>
      </c>
      <c r="E2771" s="2">
        <v>16.8</v>
      </c>
      <c r="F2771" s="3">
        <v>36.380000000000003</v>
      </c>
      <c r="G2771" s="4">
        <v>307.06</v>
      </c>
      <c r="H2771">
        <v>1.5</v>
      </c>
      <c r="I2771" s="4">
        <v>460.59</v>
      </c>
      <c r="J2771">
        <v>3.4</v>
      </c>
      <c r="K2771" t="s">
        <v>15</v>
      </c>
      <c r="L2771" t="s">
        <v>28</v>
      </c>
      <c r="O2771"/>
    </row>
    <row r="2772" spans="1:15" x14ac:dyDescent="0.3">
      <c r="A2772" t="s">
        <v>2796</v>
      </c>
      <c r="B2772" s="1">
        <v>45746</v>
      </c>
      <c r="C2772" t="s">
        <v>13</v>
      </c>
      <c r="D2772" t="s">
        <v>22</v>
      </c>
      <c r="E2772" s="2">
        <v>16.61</v>
      </c>
      <c r="F2772" s="3">
        <v>55.54</v>
      </c>
      <c r="G2772" s="4">
        <v>182.62</v>
      </c>
      <c r="H2772">
        <v>1</v>
      </c>
      <c r="I2772" s="4">
        <v>182.62</v>
      </c>
      <c r="J2772">
        <v>3.4</v>
      </c>
      <c r="K2772" t="s">
        <v>30</v>
      </c>
      <c r="L2772" t="s">
        <v>28</v>
      </c>
      <c r="O2772"/>
    </row>
    <row r="2773" spans="1:15" x14ac:dyDescent="0.3">
      <c r="A2773" t="s">
        <v>2797</v>
      </c>
      <c r="B2773" s="1">
        <v>46021</v>
      </c>
      <c r="C2773" t="s">
        <v>22</v>
      </c>
      <c r="D2773" t="s">
        <v>25</v>
      </c>
      <c r="E2773" s="2">
        <v>21.5</v>
      </c>
      <c r="F2773" s="3">
        <v>44.73</v>
      </c>
      <c r="G2773" s="4">
        <v>332.52</v>
      </c>
      <c r="H2773">
        <v>1</v>
      </c>
      <c r="I2773" s="4">
        <v>332.52</v>
      </c>
      <c r="J2773">
        <v>4</v>
      </c>
      <c r="K2773" t="s">
        <v>15</v>
      </c>
      <c r="L2773" t="s">
        <v>26</v>
      </c>
      <c r="O2773"/>
    </row>
    <row r="2774" spans="1:15" x14ac:dyDescent="0.3">
      <c r="A2774" t="s">
        <v>2798</v>
      </c>
      <c r="B2774" s="1">
        <v>45723</v>
      </c>
      <c r="C2774" t="s">
        <v>22</v>
      </c>
      <c r="D2774" t="s">
        <v>14</v>
      </c>
      <c r="E2774" s="2">
        <v>27.02</v>
      </c>
      <c r="F2774" s="3">
        <v>55.18</v>
      </c>
      <c r="G2774" s="4">
        <v>502.21</v>
      </c>
      <c r="H2774">
        <v>1.2</v>
      </c>
      <c r="I2774" s="4">
        <v>602.65</v>
      </c>
      <c r="J2774">
        <v>3.1</v>
      </c>
      <c r="K2774" t="s">
        <v>33</v>
      </c>
      <c r="L2774" t="s">
        <v>19</v>
      </c>
      <c r="O2774"/>
    </row>
    <row r="2775" spans="1:15" x14ac:dyDescent="0.3">
      <c r="A2775" t="s">
        <v>2799</v>
      </c>
      <c r="B2775" s="1">
        <v>45892</v>
      </c>
      <c r="C2775" t="s">
        <v>14</v>
      </c>
      <c r="D2775" t="s">
        <v>25</v>
      </c>
      <c r="E2775" s="2">
        <v>21.87</v>
      </c>
      <c r="F2775" s="3">
        <v>63.08</v>
      </c>
      <c r="G2775" s="4">
        <v>362</v>
      </c>
      <c r="H2775">
        <v>1</v>
      </c>
      <c r="I2775" s="4">
        <v>362</v>
      </c>
      <c r="J2775">
        <v>4.5999999999999996</v>
      </c>
      <c r="K2775" t="s">
        <v>33</v>
      </c>
      <c r="L2775" t="s">
        <v>28</v>
      </c>
      <c r="O2775"/>
    </row>
    <row r="2776" spans="1:15" x14ac:dyDescent="0.3">
      <c r="A2776" t="s">
        <v>2800</v>
      </c>
      <c r="B2776" s="1">
        <v>45926</v>
      </c>
      <c r="C2776" t="s">
        <v>21</v>
      </c>
      <c r="D2776" t="s">
        <v>21</v>
      </c>
      <c r="E2776" s="2">
        <v>8.2100000000000009</v>
      </c>
      <c r="F2776" s="3">
        <v>30.15</v>
      </c>
      <c r="G2776" s="4">
        <v>119.77</v>
      </c>
      <c r="H2776">
        <v>1.2</v>
      </c>
      <c r="I2776" s="4">
        <v>143.72</v>
      </c>
      <c r="J2776">
        <v>3.8</v>
      </c>
      <c r="K2776" t="s">
        <v>15</v>
      </c>
      <c r="L2776" t="s">
        <v>19</v>
      </c>
      <c r="O2776"/>
    </row>
    <row r="2777" spans="1:15" x14ac:dyDescent="0.3">
      <c r="A2777" t="s">
        <v>2801</v>
      </c>
      <c r="B2777" s="1">
        <v>45993</v>
      </c>
      <c r="C2777" t="s">
        <v>21</v>
      </c>
      <c r="D2777" t="s">
        <v>13</v>
      </c>
      <c r="E2777" s="2">
        <v>24.92</v>
      </c>
      <c r="F2777" s="3">
        <v>99.39</v>
      </c>
      <c r="G2777" s="4">
        <v>291.11</v>
      </c>
      <c r="H2777">
        <v>1.5</v>
      </c>
      <c r="I2777" s="4">
        <v>436.66</v>
      </c>
      <c r="J2777">
        <v>4.8</v>
      </c>
      <c r="K2777" t="s">
        <v>18</v>
      </c>
      <c r="L2777" t="s">
        <v>26</v>
      </c>
      <c r="O2777"/>
    </row>
    <row r="2778" spans="1:15" x14ac:dyDescent="0.3">
      <c r="A2778" t="s">
        <v>2802</v>
      </c>
      <c r="B2778" s="1">
        <v>45722</v>
      </c>
      <c r="C2778" t="s">
        <v>22</v>
      </c>
      <c r="D2778" t="s">
        <v>14</v>
      </c>
      <c r="E2778" s="2">
        <v>14.72</v>
      </c>
      <c r="F2778" s="3">
        <v>58.03</v>
      </c>
      <c r="G2778" s="4">
        <v>202.01</v>
      </c>
      <c r="H2778">
        <v>1</v>
      </c>
      <c r="I2778" s="4">
        <v>202.01</v>
      </c>
      <c r="J2778">
        <v>3.8</v>
      </c>
      <c r="K2778" t="s">
        <v>36</v>
      </c>
      <c r="L2778" t="s">
        <v>19</v>
      </c>
      <c r="O2778"/>
    </row>
    <row r="2779" spans="1:15" x14ac:dyDescent="0.3">
      <c r="A2779" t="s">
        <v>2803</v>
      </c>
      <c r="B2779" s="1">
        <v>45790</v>
      </c>
      <c r="C2779" t="s">
        <v>13</v>
      </c>
      <c r="D2779" t="s">
        <v>21</v>
      </c>
      <c r="E2779" s="2">
        <v>4.32</v>
      </c>
      <c r="F2779" s="3">
        <v>15.04</v>
      </c>
      <c r="G2779" s="4">
        <v>76.47</v>
      </c>
      <c r="H2779">
        <v>1.2</v>
      </c>
      <c r="I2779" s="4">
        <v>91.76</v>
      </c>
      <c r="J2779">
        <v>3.7</v>
      </c>
      <c r="K2779" t="s">
        <v>18</v>
      </c>
      <c r="L2779" t="s">
        <v>26</v>
      </c>
      <c r="O2779"/>
    </row>
    <row r="2780" spans="1:15" x14ac:dyDescent="0.3">
      <c r="A2780" t="s">
        <v>2804</v>
      </c>
      <c r="B2780" s="1">
        <v>45730</v>
      </c>
      <c r="C2780" t="s">
        <v>14</v>
      </c>
      <c r="D2780" t="s">
        <v>13</v>
      </c>
      <c r="E2780" s="2">
        <v>8.06</v>
      </c>
      <c r="F2780" s="3">
        <v>16.77</v>
      </c>
      <c r="G2780" s="4">
        <v>160.03</v>
      </c>
      <c r="H2780">
        <v>1</v>
      </c>
      <c r="I2780" s="4">
        <v>160.03</v>
      </c>
      <c r="J2780">
        <v>4.7</v>
      </c>
      <c r="K2780" t="s">
        <v>36</v>
      </c>
      <c r="L2780" t="s">
        <v>26</v>
      </c>
      <c r="O2780"/>
    </row>
    <row r="2781" spans="1:15" x14ac:dyDescent="0.3">
      <c r="A2781" t="s">
        <v>2805</v>
      </c>
      <c r="B2781" s="1">
        <v>45814</v>
      </c>
      <c r="C2781" t="s">
        <v>13</v>
      </c>
      <c r="D2781" t="s">
        <v>14</v>
      </c>
      <c r="E2781" s="2">
        <v>27.27</v>
      </c>
      <c r="F2781" s="3">
        <v>86.45</v>
      </c>
      <c r="G2781" s="4">
        <v>331.3</v>
      </c>
      <c r="H2781">
        <v>1</v>
      </c>
      <c r="I2781" s="4">
        <v>331.3</v>
      </c>
      <c r="J2781">
        <v>4.3</v>
      </c>
      <c r="K2781" t="s">
        <v>36</v>
      </c>
      <c r="L2781" t="s">
        <v>16</v>
      </c>
      <c r="O2781"/>
    </row>
    <row r="2782" spans="1:15" x14ac:dyDescent="0.3">
      <c r="A2782" t="s">
        <v>2806</v>
      </c>
      <c r="B2782" s="1">
        <v>45891</v>
      </c>
      <c r="C2782" t="s">
        <v>14</v>
      </c>
      <c r="D2782" t="s">
        <v>25</v>
      </c>
      <c r="E2782" s="2">
        <v>16.78</v>
      </c>
      <c r="F2782" s="3">
        <v>50.85</v>
      </c>
      <c r="G2782" s="4">
        <v>283.83999999999997</v>
      </c>
      <c r="H2782">
        <v>1</v>
      </c>
      <c r="I2782" s="4">
        <v>283.83999999999997</v>
      </c>
      <c r="J2782">
        <v>4.8</v>
      </c>
      <c r="K2782" t="s">
        <v>36</v>
      </c>
      <c r="L2782" t="s">
        <v>28</v>
      </c>
      <c r="O2782"/>
    </row>
    <row r="2783" spans="1:15" x14ac:dyDescent="0.3">
      <c r="A2783" t="s">
        <v>2807</v>
      </c>
      <c r="B2783" s="1">
        <v>45928</v>
      </c>
      <c r="C2783" t="s">
        <v>21</v>
      </c>
      <c r="D2783" t="s">
        <v>22</v>
      </c>
      <c r="E2783" s="2">
        <v>5.04</v>
      </c>
      <c r="F2783" s="3">
        <v>14.3</v>
      </c>
      <c r="G2783" s="4">
        <v>94.82</v>
      </c>
      <c r="H2783">
        <v>1</v>
      </c>
      <c r="I2783" s="4">
        <v>94.82</v>
      </c>
      <c r="J2783">
        <v>4.0999999999999996</v>
      </c>
      <c r="K2783" t="s">
        <v>15</v>
      </c>
      <c r="L2783" t="s">
        <v>26</v>
      </c>
      <c r="O2783"/>
    </row>
    <row r="2784" spans="1:15" x14ac:dyDescent="0.3">
      <c r="A2784" t="s">
        <v>2808</v>
      </c>
      <c r="B2784" s="1">
        <v>45837</v>
      </c>
      <c r="C2784" t="s">
        <v>22</v>
      </c>
      <c r="D2784" t="s">
        <v>14</v>
      </c>
      <c r="E2784" s="2">
        <v>20.5</v>
      </c>
      <c r="F2784" s="3">
        <v>81.45</v>
      </c>
      <c r="G2784" s="4">
        <v>391.92</v>
      </c>
      <c r="H2784">
        <v>1</v>
      </c>
      <c r="I2784" s="4">
        <v>391.92</v>
      </c>
      <c r="J2784">
        <v>4.7</v>
      </c>
      <c r="K2784" t="s">
        <v>33</v>
      </c>
      <c r="L2784" t="s">
        <v>19</v>
      </c>
      <c r="O2784"/>
    </row>
    <row r="2785" spans="1:15" x14ac:dyDescent="0.3">
      <c r="A2785" t="s">
        <v>2809</v>
      </c>
      <c r="B2785" s="1">
        <v>45767</v>
      </c>
      <c r="C2785" t="s">
        <v>25</v>
      </c>
      <c r="D2785" t="s">
        <v>13</v>
      </c>
      <c r="E2785" s="2">
        <v>7.94</v>
      </c>
      <c r="F2785" s="3">
        <v>18.850000000000001</v>
      </c>
      <c r="G2785" s="4">
        <v>107.62</v>
      </c>
      <c r="H2785">
        <v>1.2</v>
      </c>
      <c r="I2785" s="4">
        <v>129.13999999999999</v>
      </c>
      <c r="J2785">
        <v>3.4</v>
      </c>
      <c r="K2785" t="s">
        <v>33</v>
      </c>
      <c r="L2785" t="s">
        <v>26</v>
      </c>
      <c r="O2785"/>
    </row>
    <row r="2786" spans="1:15" x14ac:dyDescent="0.3">
      <c r="A2786" t="s">
        <v>2810</v>
      </c>
      <c r="B2786" s="1">
        <v>45676</v>
      </c>
      <c r="C2786" t="s">
        <v>21</v>
      </c>
      <c r="D2786" t="s">
        <v>22</v>
      </c>
      <c r="E2786" s="2">
        <v>18.89</v>
      </c>
      <c r="F2786" s="3">
        <v>49.82</v>
      </c>
      <c r="G2786" s="4">
        <v>316.82</v>
      </c>
      <c r="H2786">
        <v>1.5</v>
      </c>
      <c r="I2786" s="4">
        <v>475.23</v>
      </c>
      <c r="J2786">
        <v>3.9</v>
      </c>
      <c r="K2786" t="s">
        <v>15</v>
      </c>
      <c r="L2786" t="s">
        <v>26</v>
      </c>
      <c r="O2786"/>
    </row>
    <row r="2787" spans="1:15" x14ac:dyDescent="0.3">
      <c r="A2787" t="s">
        <v>2811</v>
      </c>
      <c r="B2787" s="1">
        <v>45961</v>
      </c>
      <c r="C2787" t="s">
        <v>21</v>
      </c>
      <c r="D2787" t="s">
        <v>21</v>
      </c>
      <c r="E2787" s="2">
        <v>22.8</v>
      </c>
      <c r="F2787" s="3">
        <v>79.87</v>
      </c>
      <c r="G2787" s="4">
        <v>303.39999999999998</v>
      </c>
      <c r="H2787">
        <v>1</v>
      </c>
      <c r="I2787" s="4">
        <v>303.39999999999998</v>
      </c>
      <c r="J2787">
        <v>3.1</v>
      </c>
      <c r="K2787" t="s">
        <v>15</v>
      </c>
      <c r="L2787" t="s">
        <v>16</v>
      </c>
      <c r="O2787"/>
    </row>
    <row r="2788" spans="1:15" x14ac:dyDescent="0.3">
      <c r="A2788" t="s">
        <v>2812</v>
      </c>
      <c r="B2788" s="1">
        <v>45788</v>
      </c>
      <c r="C2788" t="s">
        <v>14</v>
      </c>
      <c r="D2788" t="s">
        <v>14</v>
      </c>
      <c r="E2788" s="2">
        <v>9.18</v>
      </c>
      <c r="F2788" s="3">
        <v>31.02</v>
      </c>
      <c r="G2788" s="4">
        <v>175.03</v>
      </c>
      <c r="H2788">
        <v>1.5</v>
      </c>
      <c r="I2788" s="4">
        <v>262.54000000000002</v>
      </c>
      <c r="J2788">
        <v>3.7</v>
      </c>
      <c r="K2788" t="s">
        <v>18</v>
      </c>
      <c r="L2788" t="s">
        <v>26</v>
      </c>
      <c r="O2788"/>
    </row>
    <row r="2789" spans="1:15" x14ac:dyDescent="0.3">
      <c r="A2789" t="s">
        <v>2813</v>
      </c>
      <c r="B2789" s="1">
        <v>45676</v>
      </c>
      <c r="C2789" t="s">
        <v>13</v>
      </c>
      <c r="D2789" t="s">
        <v>13</v>
      </c>
      <c r="E2789" s="2">
        <v>29.71</v>
      </c>
      <c r="F2789" s="3">
        <v>78.58</v>
      </c>
      <c r="G2789" s="4">
        <v>547.54</v>
      </c>
      <c r="H2789">
        <v>1.2</v>
      </c>
      <c r="I2789" s="4">
        <v>657.05</v>
      </c>
      <c r="J2789">
        <v>3.2</v>
      </c>
      <c r="K2789" t="s">
        <v>36</v>
      </c>
      <c r="L2789" t="s">
        <v>16</v>
      </c>
      <c r="O2789"/>
    </row>
    <row r="2790" spans="1:15" x14ac:dyDescent="0.3">
      <c r="A2790" t="s">
        <v>2814</v>
      </c>
      <c r="B2790" s="1">
        <v>45771</v>
      </c>
      <c r="C2790" t="s">
        <v>21</v>
      </c>
      <c r="D2790" t="s">
        <v>22</v>
      </c>
      <c r="E2790" s="2">
        <v>11.97</v>
      </c>
      <c r="F2790" s="3">
        <v>44.5</v>
      </c>
      <c r="G2790" s="4">
        <v>146.13</v>
      </c>
      <c r="H2790">
        <v>1.5</v>
      </c>
      <c r="I2790" s="4">
        <v>219.2</v>
      </c>
      <c r="J2790">
        <v>3.9</v>
      </c>
      <c r="K2790" t="s">
        <v>36</v>
      </c>
      <c r="L2790" t="s">
        <v>16</v>
      </c>
      <c r="O2790"/>
    </row>
    <row r="2791" spans="1:15" x14ac:dyDescent="0.3">
      <c r="A2791" t="s">
        <v>2815</v>
      </c>
      <c r="B2791" s="1">
        <v>45918</v>
      </c>
      <c r="C2791" t="s">
        <v>22</v>
      </c>
      <c r="D2791" t="s">
        <v>21</v>
      </c>
      <c r="E2791" s="2">
        <v>28.21</v>
      </c>
      <c r="F2791" s="3">
        <v>57.13</v>
      </c>
      <c r="G2791" s="4">
        <v>487.31</v>
      </c>
      <c r="H2791">
        <v>2</v>
      </c>
      <c r="I2791" s="4">
        <v>974.62</v>
      </c>
      <c r="J2791">
        <v>4.8</v>
      </c>
      <c r="K2791" t="s">
        <v>18</v>
      </c>
      <c r="L2791" t="s">
        <v>26</v>
      </c>
      <c r="O2791"/>
    </row>
    <row r="2792" spans="1:15" x14ac:dyDescent="0.3">
      <c r="A2792" t="s">
        <v>2816</v>
      </c>
      <c r="B2792" s="1">
        <v>45838</v>
      </c>
      <c r="C2792" t="s">
        <v>14</v>
      </c>
      <c r="D2792" t="s">
        <v>13</v>
      </c>
      <c r="E2792" s="2">
        <v>13.38</v>
      </c>
      <c r="F2792" s="3">
        <v>40.54</v>
      </c>
      <c r="G2792" s="4">
        <v>211.72</v>
      </c>
      <c r="H2792">
        <v>2</v>
      </c>
      <c r="I2792" s="4">
        <v>423.44</v>
      </c>
      <c r="J2792">
        <v>4.7</v>
      </c>
      <c r="K2792" t="s">
        <v>18</v>
      </c>
      <c r="L2792" t="s">
        <v>28</v>
      </c>
      <c r="O2792"/>
    </row>
    <row r="2793" spans="1:15" x14ac:dyDescent="0.3">
      <c r="A2793" t="s">
        <v>2817</v>
      </c>
      <c r="B2793" s="1">
        <v>45796</v>
      </c>
      <c r="C2793" t="s">
        <v>21</v>
      </c>
      <c r="D2793" t="s">
        <v>25</v>
      </c>
      <c r="E2793" s="2">
        <v>21.84</v>
      </c>
      <c r="F2793" s="3">
        <v>62.91</v>
      </c>
      <c r="G2793" s="4">
        <v>249.51</v>
      </c>
      <c r="H2793">
        <v>1.2</v>
      </c>
      <c r="I2793" s="4">
        <v>299.41000000000003</v>
      </c>
      <c r="J2793">
        <v>4</v>
      </c>
      <c r="K2793" t="s">
        <v>33</v>
      </c>
      <c r="L2793" t="s">
        <v>16</v>
      </c>
      <c r="O2793"/>
    </row>
    <row r="2794" spans="1:15" x14ac:dyDescent="0.3">
      <c r="A2794" t="s">
        <v>2818</v>
      </c>
      <c r="B2794" s="1">
        <v>45754</v>
      </c>
      <c r="C2794" t="s">
        <v>13</v>
      </c>
      <c r="D2794" t="s">
        <v>21</v>
      </c>
      <c r="E2794" s="2">
        <v>19.510000000000002</v>
      </c>
      <c r="F2794" s="3">
        <v>61.97</v>
      </c>
      <c r="G2794" s="4">
        <v>239.86</v>
      </c>
      <c r="H2794">
        <v>2</v>
      </c>
      <c r="I2794" s="4">
        <v>479.72</v>
      </c>
      <c r="J2794">
        <v>4.7</v>
      </c>
      <c r="K2794" t="s">
        <v>30</v>
      </c>
      <c r="L2794" t="s">
        <v>16</v>
      </c>
      <c r="O2794"/>
    </row>
    <row r="2795" spans="1:15" x14ac:dyDescent="0.3">
      <c r="A2795" t="s">
        <v>2819</v>
      </c>
      <c r="B2795" s="1">
        <v>45960</v>
      </c>
      <c r="C2795" t="s">
        <v>13</v>
      </c>
      <c r="D2795" t="s">
        <v>13</v>
      </c>
      <c r="E2795" s="2">
        <v>18.350000000000001</v>
      </c>
      <c r="F2795" s="3">
        <v>43.44</v>
      </c>
      <c r="G2795" s="4">
        <v>235.78</v>
      </c>
      <c r="H2795">
        <v>1.2</v>
      </c>
      <c r="I2795" s="4">
        <v>282.94</v>
      </c>
      <c r="J2795">
        <v>3.7</v>
      </c>
      <c r="K2795" t="s">
        <v>18</v>
      </c>
      <c r="L2795" t="s">
        <v>28</v>
      </c>
      <c r="O2795"/>
    </row>
    <row r="2796" spans="1:15" x14ac:dyDescent="0.3">
      <c r="A2796" t="s">
        <v>2820</v>
      </c>
      <c r="B2796" s="1">
        <v>45758</v>
      </c>
      <c r="C2796" t="s">
        <v>14</v>
      </c>
      <c r="D2796" t="s">
        <v>22</v>
      </c>
      <c r="E2796" s="2">
        <v>20.71</v>
      </c>
      <c r="F2796" s="3">
        <v>72.67</v>
      </c>
      <c r="G2796" s="4">
        <v>243.11</v>
      </c>
      <c r="H2796">
        <v>1.5</v>
      </c>
      <c r="I2796" s="4">
        <v>364.66</v>
      </c>
      <c r="J2796">
        <v>3.6</v>
      </c>
      <c r="K2796" t="s">
        <v>33</v>
      </c>
      <c r="L2796" t="s">
        <v>28</v>
      </c>
      <c r="O2796"/>
    </row>
    <row r="2797" spans="1:15" x14ac:dyDescent="0.3">
      <c r="A2797" t="s">
        <v>2821</v>
      </c>
      <c r="B2797" s="1">
        <v>45658</v>
      </c>
      <c r="C2797" t="s">
        <v>21</v>
      </c>
      <c r="D2797" t="s">
        <v>21</v>
      </c>
      <c r="E2797" s="2">
        <v>29.08</v>
      </c>
      <c r="F2797" s="3">
        <v>96.32</v>
      </c>
      <c r="G2797" s="4">
        <v>576.85</v>
      </c>
      <c r="H2797">
        <v>1.2</v>
      </c>
      <c r="I2797" s="4">
        <v>692.22</v>
      </c>
      <c r="J2797">
        <v>3.8</v>
      </c>
      <c r="K2797" t="s">
        <v>18</v>
      </c>
      <c r="L2797" t="s">
        <v>16</v>
      </c>
      <c r="O2797"/>
    </row>
    <row r="2798" spans="1:15" x14ac:dyDescent="0.3">
      <c r="A2798" t="s">
        <v>2822</v>
      </c>
      <c r="B2798" s="1">
        <v>45919</v>
      </c>
      <c r="C2798" t="s">
        <v>14</v>
      </c>
      <c r="D2798" t="s">
        <v>25</v>
      </c>
      <c r="E2798" s="2">
        <v>12.65</v>
      </c>
      <c r="F2798" s="3">
        <v>36.9</v>
      </c>
      <c r="G2798" s="4">
        <v>233.85</v>
      </c>
      <c r="H2798">
        <v>1.5</v>
      </c>
      <c r="I2798" s="4">
        <v>350.78</v>
      </c>
      <c r="J2798">
        <v>3.9</v>
      </c>
      <c r="K2798" t="s">
        <v>15</v>
      </c>
      <c r="L2798" t="s">
        <v>28</v>
      </c>
      <c r="O2798"/>
    </row>
    <row r="2799" spans="1:15" x14ac:dyDescent="0.3">
      <c r="A2799" t="s">
        <v>2823</v>
      </c>
      <c r="B2799" s="1">
        <v>46018</v>
      </c>
      <c r="C2799" t="s">
        <v>21</v>
      </c>
      <c r="D2799" t="s">
        <v>21</v>
      </c>
      <c r="E2799" s="2">
        <v>11.07</v>
      </c>
      <c r="F2799" s="3">
        <v>26.28</v>
      </c>
      <c r="G2799" s="4">
        <v>149.19999999999999</v>
      </c>
      <c r="H2799">
        <v>1.5</v>
      </c>
      <c r="I2799" s="4">
        <v>223.8</v>
      </c>
      <c r="J2799">
        <v>4.8</v>
      </c>
      <c r="K2799" t="s">
        <v>18</v>
      </c>
      <c r="L2799" t="s">
        <v>28</v>
      </c>
      <c r="O2799"/>
    </row>
    <row r="2800" spans="1:15" x14ac:dyDescent="0.3">
      <c r="A2800" t="s">
        <v>2824</v>
      </c>
      <c r="B2800" s="1">
        <v>46017</v>
      </c>
      <c r="C2800" t="s">
        <v>14</v>
      </c>
      <c r="D2800" t="s">
        <v>14</v>
      </c>
      <c r="E2800" s="2">
        <v>13.38</v>
      </c>
      <c r="F2800" s="3">
        <v>37.11</v>
      </c>
      <c r="G2800" s="4">
        <v>236.24</v>
      </c>
      <c r="H2800">
        <v>2</v>
      </c>
      <c r="I2800" s="4">
        <v>472.48</v>
      </c>
      <c r="J2800">
        <v>4.0999999999999996</v>
      </c>
      <c r="K2800" t="s">
        <v>36</v>
      </c>
      <c r="L2800" t="s">
        <v>28</v>
      </c>
      <c r="O2800"/>
    </row>
    <row r="2801" spans="1:15" x14ac:dyDescent="0.3">
      <c r="A2801" t="s">
        <v>2825</v>
      </c>
      <c r="B2801" s="1">
        <v>45896</v>
      </c>
      <c r="C2801" t="s">
        <v>21</v>
      </c>
      <c r="D2801" t="s">
        <v>21</v>
      </c>
      <c r="E2801" s="2">
        <v>10.92</v>
      </c>
      <c r="F2801" s="3">
        <v>29.16</v>
      </c>
      <c r="G2801" s="4">
        <v>216.82</v>
      </c>
      <c r="H2801">
        <v>2</v>
      </c>
      <c r="I2801" s="4">
        <v>433.64</v>
      </c>
      <c r="J2801">
        <v>3.3</v>
      </c>
      <c r="K2801" t="s">
        <v>30</v>
      </c>
      <c r="L2801" t="s">
        <v>16</v>
      </c>
      <c r="O2801"/>
    </row>
    <row r="2802" spans="1:15" x14ac:dyDescent="0.3">
      <c r="A2802" t="s">
        <v>2826</v>
      </c>
      <c r="B2802" s="1">
        <v>45931</v>
      </c>
      <c r="C2802" t="s">
        <v>13</v>
      </c>
      <c r="D2802" t="s">
        <v>21</v>
      </c>
      <c r="E2802" s="2">
        <v>14.98</v>
      </c>
      <c r="F2802" s="3">
        <v>31.23</v>
      </c>
      <c r="G2802" s="4">
        <v>219.09</v>
      </c>
      <c r="H2802">
        <v>1.2</v>
      </c>
      <c r="I2802" s="4">
        <v>262.91000000000003</v>
      </c>
      <c r="J2802">
        <v>5</v>
      </c>
      <c r="K2802" t="s">
        <v>33</v>
      </c>
      <c r="L2802" t="s">
        <v>16</v>
      </c>
      <c r="O2802"/>
    </row>
    <row r="2803" spans="1:15" x14ac:dyDescent="0.3">
      <c r="A2803" t="s">
        <v>2827</v>
      </c>
      <c r="B2803" s="1">
        <v>45674</v>
      </c>
      <c r="C2803" t="s">
        <v>25</v>
      </c>
      <c r="D2803" t="s">
        <v>25</v>
      </c>
      <c r="E2803" s="2">
        <v>2.3199999999999998</v>
      </c>
      <c r="F2803" s="3">
        <v>6.6</v>
      </c>
      <c r="G2803" s="4">
        <v>43.14</v>
      </c>
      <c r="H2803">
        <v>1.2</v>
      </c>
      <c r="I2803" s="4">
        <v>51.77</v>
      </c>
      <c r="J2803">
        <v>3.2</v>
      </c>
      <c r="K2803" t="s">
        <v>15</v>
      </c>
      <c r="L2803" t="s">
        <v>28</v>
      </c>
      <c r="O2803"/>
    </row>
    <row r="2804" spans="1:15" x14ac:dyDescent="0.3">
      <c r="A2804" t="s">
        <v>2828</v>
      </c>
      <c r="B2804" s="1">
        <v>45789</v>
      </c>
      <c r="C2804" t="s">
        <v>14</v>
      </c>
      <c r="D2804" t="s">
        <v>25</v>
      </c>
      <c r="E2804" s="2">
        <v>18.190000000000001</v>
      </c>
      <c r="F2804" s="3">
        <v>70.260000000000005</v>
      </c>
      <c r="G2804" s="4">
        <v>341.25</v>
      </c>
      <c r="H2804">
        <v>1.5</v>
      </c>
      <c r="I2804" s="4">
        <v>511.88</v>
      </c>
      <c r="J2804">
        <v>4</v>
      </c>
      <c r="K2804" t="s">
        <v>33</v>
      </c>
      <c r="L2804" t="s">
        <v>26</v>
      </c>
      <c r="O2804"/>
    </row>
    <row r="2805" spans="1:15" x14ac:dyDescent="0.3">
      <c r="A2805" t="s">
        <v>2829</v>
      </c>
      <c r="B2805" s="1">
        <v>45665</v>
      </c>
      <c r="C2805" t="s">
        <v>14</v>
      </c>
      <c r="D2805" t="s">
        <v>25</v>
      </c>
      <c r="E2805" s="2">
        <v>7.18</v>
      </c>
      <c r="F2805" s="3">
        <v>16.04</v>
      </c>
      <c r="G2805" s="4">
        <v>101.63</v>
      </c>
      <c r="H2805">
        <v>2</v>
      </c>
      <c r="I2805" s="4">
        <v>203.26</v>
      </c>
      <c r="J2805">
        <v>5</v>
      </c>
      <c r="K2805" t="s">
        <v>30</v>
      </c>
      <c r="L2805" t="s">
        <v>19</v>
      </c>
      <c r="O2805"/>
    </row>
    <row r="2806" spans="1:15" x14ac:dyDescent="0.3">
      <c r="A2806" t="s">
        <v>2830</v>
      </c>
      <c r="B2806" s="1">
        <v>45756</v>
      </c>
      <c r="C2806" t="s">
        <v>25</v>
      </c>
      <c r="D2806" t="s">
        <v>21</v>
      </c>
      <c r="E2806" s="2">
        <v>9.77</v>
      </c>
      <c r="F2806" s="3">
        <v>36.35</v>
      </c>
      <c r="G2806" s="4">
        <v>99.38</v>
      </c>
      <c r="H2806">
        <v>1</v>
      </c>
      <c r="I2806" s="4">
        <v>99.38</v>
      </c>
      <c r="J2806">
        <v>4.5</v>
      </c>
      <c r="K2806" t="s">
        <v>30</v>
      </c>
      <c r="L2806" t="s">
        <v>28</v>
      </c>
      <c r="O2806"/>
    </row>
    <row r="2807" spans="1:15" x14ac:dyDescent="0.3">
      <c r="A2807" t="s">
        <v>2831</v>
      </c>
      <c r="B2807" s="1">
        <v>45721</v>
      </c>
      <c r="C2807" t="s">
        <v>25</v>
      </c>
      <c r="D2807" t="s">
        <v>22</v>
      </c>
      <c r="E2807" s="2">
        <v>15.81</v>
      </c>
      <c r="F2807" s="3">
        <v>37.36</v>
      </c>
      <c r="G2807" s="4">
        <v>310.54000000000002</v>
      </c>
      <c r="H2807">
        <v>1.5</v>
      </c>
      <c r="I2807" s="4">
        <v>465.81</v>
      </c>
      <c r="J2807">
        <v>4.4000000000000004</v>
      </c>
      <c r="K2807" t="s">
        <v>30</v>
      </c>
      <c r="L2807" t="s">
        <v>26</v>
      </c>
      <c r="O2807"/>
    </row>
    <row r="2808" spans="1:15" x14ac:dyDescent="0.3">
      <c r="A2808" t="s">
        <v>2832</v>
      </c>
      <c r="B2808" s="1">
        <v>45889</v>
      </c>
      <c r="C2808" t="s">
        <v>13</v>
      </c>
      <c r="D2808" t="s">
        <v>25</v>
      </c>
      <c r="E2808" s="2">
        <v>1.26</v>
      </c>
      <c r="F2808" s="3">
        <v>3.74</v>
      </c>
      <c r="G2808" s="4">
        <v>23.15</v>
      </c>
      <c r="H2808">
        <v>2</v>
      </c>
      <c r="I2808" s="4">
        <v>46.3</v>
      </c>
      <c r="J2808">
        <v>4.0999999999999996</v>
      </c>
      <c r="K2808" t="s">
        <v>15</v>
      </c>
      <c r="L2808" t="s">
        <v>16</v>
      </c>
      <c r="O2808"/>
    </row>
    <row r="2809" spans="1:15" x14ac:dyDescent="0.3">
      <c r="A2809" t="s">
        <v>2833</v>
      </c>
      <c r="B2809" s="1">
        <v>45797</v>
      </c>
      <c r="C2809" t="s">
        <v>25</v>
      </c>
      <c r="D2809" t="s">
        <v>13</v>
      </c>
      <c r="E2809" s="2">
        <v>2.93</v>
      </c>
      <c r="F2809" s="3">
        <v>11.12</v>
      </c>
      <c r="G2809" s="4">
        <v>38.47</v>
      </c>
      <c r="H2809">
        <v>1.5</v>
      </c>
      <c r="I2809" s="4">
        <v>57.7</v>
      </c>
      <c r="J2809">
        <v>3.7</v>
      </c>
      <c r="K2809" t="s">
        <v>36</v>
      </c>
      <c r="L2809" t="s">
        <v>16</v>
      </c>
      <c r="O2809"/>
    </row>
    <row r="2810" spans="1:15" x14ac:dyDescent="0.3">
      <c r="A2810" t="s">
        <v>2834</v>
      </c>
      <c r="B2810" s="1">
        <v>45688</v>
      </c>
      <c r="C2810" t="s">
        <v>13</v>
      </c>
      <c r="D2810" t="s">
        <v>22</v>
      </c>
      <c r="E2810" s="2">
        <v>5.08</v>
      </c>
      <c r="F2810" s="3">
        <v>14.67</v>
      </c>
      <c r="G2810" s="4">
        <v>67.33</v>
      </c>
      <c r="H2810">
        <v>2</v>
      </c>
      <c r="I2810" s="4">
        <v>134.66</v>
      </c>
      <c r="J2810">
        <v>3.7</v>
      </c>
      <c r="K2810" t="s">
        <v>36</v>
      </c>
      <c r="L2810" t="s">
        <v>19</v>
      </c>
      <c r="O2810"/>
    </row>
    <row r="2811" spans="1:15" x14ac:dyDescent="0.3">
      <c r="A2811" t="s">
        <v>2835</v>
      </c>
      <c r="B2811" s="1">
        <v>45972</v>
      </c>
      <c r="C2811" t="s">
        <v>25</v>
      </c>
      <c r="D2811" t="s">
        <v>22</v>
      </c>
      <c r="E2811" s="2">
        <v>20.02</v>
      </c>
      <c r="F2811" s="3">
        <v>44.84</v>
      </c>
      <c r="G2811" s="4">
        <v>376.23</v>
      </c>
      <c r="H2811">
        <v>2</v>
      </c>
      <c r="I2811" s="4">
        <v>752.46</v>
      </c>
      <c r="J2811">
        <v>4.3</v>
      </c>
      <c r="K2811" t="s">
        <v>33</v>
      </c>
      <c r="L2811" t="s">
        <v>16</v>
      </c>
      <c r="O2811"/>
    </row>
    <row r="2812" spans="1:15" x14ac:dyDescent="0.3">
      <c r="A2812" t="s">
        <v>2836</v>
      </c>
      <c r="B2812" s="1">
        <v>46001</v>
      </c>
      <c r="C2812" t="s">
        <v>13</v>
      </c>
      <c r="D2812" t="s">
        <v>14</v>
      </c>
      <c r="E2812" s="2">
        <v>21.13</v>
      </c>
      <c r="F2812" s="3">
        <v>67.73</v>
      </c>
      <c r="G2812" s="4">
        <v>250.29</v>
      </c>
      <c r="H2812">
        <v>1.5</v>
      </c>
      <c r="I2812" s="4">
        <v>375.44</v>
      </c>
      <c r="J2812">
        <v>4.7</v>
      </c>
      <c r="K2812" t="s">
        <v>18</v>
      </c>
      <c r="L2812" t="s">
        <v>28</v>
      </c>
      <c r="O2812"/>
    </row>
    <row r="2813" spans="1:15" x14ac:dyDescent="0.3">
      <c r="A2813" t="s">
        <v>2837</v>
      </c>
      <c r="B2813" s="1">
        <v>45764</v>
      </c>
      <c r="C2813" t="s">
        <v>25</v>
      </c>
      <c r="D2813" t="s">
        <v>21</v>
      </c>
      <c r="E2813" s="2">
        <v>8.11</v>
      </c>
      <c r="F2813" s="3">
        <v>28.41</v>
      </c>
      <c r="G2813" s="4">
        <v>82.53</v>
      </c>
      <c r="H2813">
        <v>1.5</v>
      </c>
      <c r="I2813" s="4">
        <v>123.8</v>
      </c>
      <c r="J2813">
        <v>4.5</v>
      </c>
      <c r="K2813" t="s">
        <v>36</v>
      </c>
      <c r="L2813" t="s">
        <v>19</v>
      </c>
      <c r="O2813"/>
    </row>
    <row r="2814" spans="1:15" x14ac:dyDescent="0.3">
      <c r="A2814" t="s">
        <v>2838</v>
      </c>
      <c r="B2814" s="1">
        <v>45769</v>
      </c>
      <c r="C2814" t="s">
        <v>21</v>
      </c>
      <c r="D2814" t="s">
        <v>21</v>
      </c>
      <c r="E2814" s="2">
        <v>26.58</v>
      </c>
      <c r="F2814" s="3">
        <v>103.69</v>
      </c>
      <c r="G2814" s="4">
        <v>456.24</v>
      </c>
      <c r="H2814">
        <v>1.5</v>
      </c>
      <c r="I2814" s="4">
        <v>684.36</v>
      </c>
      <c r="J2814">
        <v>4.2</v>
      </c>
      <c r="K2814" t="s">
        <v>36</v>
      </c>
      <c r="L2814" t="s">
        <v>19</v>
      </c>
      <c r="O2814"/>
    </row>
    <row r="2815" spans="1:15" x14ac:dyDescent="0.3">
      <c r="A2815" t="s">
        <v>2839</v>
      </c>
      <c r="B2815" s="1">
        <v>45737</v>
      </c>
      <c r="C2815" t="s">
        <v>22</v>
      </c>
      <c r="D2815" t="s">
        <v>25</v>
      </c>
      <c r="E2815" s="2">
        <v>13.01</v>
      </c>
      <c r="F2815" s="3">
        <v>33.799999999999997</v>
      </c>
      <c r="G2815" s="4">
        <v>253.78</v>
      </c>
      <c r="H2815">
        <v>1</v>
      </c>
      <c r="I2815" s="4">
        <v>253.78</v>
      </c>
      <c r="J2815">
        <v>3.7</v>
      </c>
      <c r="K2815" t="s">
        <v>15</v>
      </c>
      <c r="L2815" t="s">
        <v>28</v>
      </c>
      <c r="O2815"/>
    </row>
    <row r="2816" spans="1:15" x14ac:dyDescent="0.3">
      <c r="A2816" t="s">
        <v>2840</v>
      </c>
      <c r="B2816" s="1">
        <v>45953</v>
      </c>
      <c r="C2816" t="s">
        <v>25</v>
      </c>
      <c r="D2816" t="s">
        <v>14</v>
      </c>
      <c r="E2816" s="2">
        <v>21.97</v>
      </c>
      <c r="F2816" s="3">
        <v>45.22</v>
      </c>
      <c r="G2816" s="4">
        <v>224.77</v>
      </c>
      <c r="H2816">
        <v>1.5</v>
      </c>
      <c r="I2816" s="4">
        <v>337.16</v>
      </c>
      <c r="J2816">
        <v>3.4</v>
      </c>
      <c r="K2816" t="s">
        <v>18</v>
      </c>
      <c r="L2816" t="s">
        <v>19</v>
      </c>
      <c r="O2816"/>
    </row>
    <row r="2817" spans="1:15" x14ac:dyDescent="0.3">
      <c r="A2817" t="s">
        <v>2841</v>
      </c>
      <c r="B2817" s="1">
        <v>45905</v>
      </c>
      <c r="C2817" t="s">
        <v>13</v>
      </c>
      <c r="D2817" t="s">
        <v>25</v>
      </c>
      <c r="E2817" s="2">
        <v>13.85</v>
      </c>
      <c r="F2817" s="3">
        <v>36.07</v>
      </c>
      <c r="G2817" s="4">
        <v>275.14999999999998</v>
      </c>
      <c r="H2817">
        <v>2</v>
      </c>
      <c r="I2817" s="4">
        <v>550.29999999999995</v>
      </c>
      <c r="J2817">
        <v>4.0999999999999996</v>
      </c>
      <c r="K2817" t="s">
        <v>15</v>
      </c>
      <c r="L2817" t="s">
        <v>19</v>
      </c>
      <c r="O2817"/>
    </row>
    <row r="2818" spans="1:15" x14ac:dyDescent="0.3">
      <c r="A2818" t="s">
        <v>2842</v>
      </c>
      <c r="B2818" s="1">
        <v>45891</v>
      </c>
      <c r="C2818" t="s">
        <v>25</v>
      </c>
      <c r="D2818" t="s">
        <v>25</v>
      </c>
      <c r="E2818" s="2">
        <v>16.62</v>
      </c>
      <c r="F2818" s="3">
        <v>38.090000000000003</v>
      </c>
      <c r="G2818" s="4">
        <v>258.11</v>
      </c>
      <c r="H2818">
        <v>1.2</v>
      </c>
      <c r="I2818" s="4">
        <v>309.73</v>
      </c>
      <c r="J2818">
        <v>4.7</v>
      </c>
      <c r="K2818" t="s">
        <v>15</v>
      </c>
      <c r="L2818" t="s">
        <v>16</v>
      </c>
      <c r="O2818"/>
    </row>
    <row r="2819" spans="1:15" x14ac:dyDescent="0.3">
      <c r="A2819" t="s">
        <v>2843</v>
      </c>
      <c r="B2819" s="1">
        <v>45979</v>
      </c>
      <c r="C2819" t="s">
        <v>21</v>
      </c>
      <c r="D2819" t="s">
        <v>13</v>
      </c>
      <c r="E2819" s="2">
        <v>15.46</v>
      </c>
      <c r="F2819" s="3">
        <v>58</v>
      </c>
      <c r="G2819" s="4">
        <v>171.38</v>
      </c>
      <c r="H2819">
        <v>1</v>
      </c>
      <c r="I2819" s="4">
        <v>171.38</v>
      </c>
      <c r="J2819">
        <v>3.2</v>
      </c>
      <c r="K2819" t="s">
        <v>18</v>
      </c>
      <c r="L2819" t="s">
        <v>28</v>
      </c>
      <c r="O2819"/>
    </row>
    <row r="2820" spans="1:15" x14ac:dyDescent="0.3">
      <c r="A2820" t="s">
        <v>2844</v>
      </c>
      <c r="B2820" s="1">
        <v>45971</v>
      </c>
      <c r="C2820" t="s">
        <v>13</v>
      </c>
      <c r="D2820" t="s">
        <v>25</v>
      </c>
      <c r="E2820" s="2">
        <v>17.09</v>
      </c>
      <c r="F2820" s="3">
        <v>60.83</v>
      </c>
      <c r="G2820" s="4">
        <v>190.87</v>
      </c>
      <c r="H2820">
        <v>1.5</v>
      </c>
      <c r="I2820" s="4">
        <v>286.3</v>
      </c>
      <c r="J2820">
        <v>4</v>
      </c>
      <c r="K2820" t="s">
        <v>18</v>
      </c>
      <c r="L2820" t="s">
        <v>19</v>
      </c>
      <c r="O2820"/>
    </row>
    <row r="2821" spans="1:15" x14ac:dyDescent="0.3">
      <c r="A2821" t="s">
        <v>2845</v>
      </c>
      <c r="B2821" s="1">
        <v>45907</v>
      </c>
      <c r="C2821" t="s">
        <v>25</v>
      </c>
      <c r="D2821" t="s">
        <v>13</v>
      </c>
      <c r="E2821" s="2">
        <v>20.8</v>
      </c>
      <c r="F2821" s="3">
        <v>54.39</v>
      </c>
      <c r="G2821" s="4">
        <v>324.35000000000002</v>
      </c>
      <c r="H2821">
        <v>1.2</v>
      </c>
      <c r="I2821" s="4">
        <v>389.22</v>
      </c>
      <c r="J2821">
        <v>3.3</v>
      </c>
      <c r="K2821" t="s">
        <v>30</v>
      </c>
      <c r="L2821" t="s">
        <v>16</v>
      </c>
      <c r="O2821"/>
    </row>
    <row r="2822" spans="1:15" x14ac:dyDescent="0.3">
      <c r="A2822" t="s">
        <v>2846</v>
      </c>
      <c r="B2822" s="1">
        <v>45828</v>
      </c>
      <c r="C2822" t="s">
        <v>25</v>
      </c>
      <c r="D2822" t="s">
        <v>14</v>
      </c>
      <c r="E2822" s="2">
        <v>2.41</v>
      </c>
      <c r="F2822" s="3">
        <v>8.08</v>
      </c>
      <c r="G2822" s="4">
        <v>43.06</v>
      </c>
      <c r="H2822">
        <v>1.5</v>
      </c>
      <c r="I2822" s="4">
        <v>64.59</v>
      </c>
      <c r="J2822">
        <v>4.7</v>
      </c>
      <c r="K2822" t="s">
        <v>18</v>
      </c>
      <c r="L2822" t="s">
        <v>28</v>
      </c>
      <c r="O2822"/>
    </row>
    <row r="2823" spans="1:15" x14ac:dyDescent="0.3">
      <c r="A2823" t="s">
        <v>2847</v>
      </c>
      <c r="B2823" s="1">
        <v>45932</v>
      </c>
      <c r="C2823" t="s">
        <v>21</v>
      </c>
      <c r="D2823" t="s">
        <v>14</v>
      </c>
      <c r="E2823" s="2">
        <v>12.37</v>
      </c>
      <c r="F2823" s="3">
        <v>45.62</v>
      </c>
      <c r="G2823" s="4">
        <v>223.51</v>
      </c>
      <c r="H2823">
        <v>1</v>
      </c>
      <c r="I2823" s="4">
        <v>223.51</v>
      </c>
      <c r="J2823">
        <v>3.6</v>
      </c>
      <c r="K2823" t="s">
        <v>36</v>
      </c>
      <c r="L2823" t="s">
        <v>26</v>
      </c>
      <c r="O2823"/>
    </row>
    <row r="2824" spans="1:15" x14ac:dyDescent="0.3">
      <c r="A2824" t="s">
        <v>2848</v>
      </c>
      <c r="B2824" s="1">
        <v>45846</v>
      </c>
      <c r="C2824" t="s">
        <v>14</v>
      </c>
      <c r="D2824" t="s">
        <v>21</v>
      </c>
      <c r="E2824" s="2">
        <v>9.24</v>
      </c>
      <c r="F2824" s="3">
        <v>20.77</v>
      </c>
      <c r="G2824" s="4">
        <v>177.58</v>
      </c>
      <c r="H2824">
        <v>2</v>
      </c>
      <c r="I2824" s="4">
        <v>355.16</v>
      </c>
      <c r="J2824">
        <v>5</v>
      </c>
      <c r="K2824" t="s">
        <v>33</v>
      </c>
      <c r="L2824" t="s">
        <v>19</v>
      </c>
      <c r="O2824"/>
    </row>
    <row r="2825" spans="1:15" x14ac:dyDescent="0.3">
      <c r="A2825" t="s">
        <v>2849</v>
      </c>
      <c r="B2825" s="1">
        <v>45731</v>
      </c>
      <c r="C2825" t="s">
        <v>14</v>
      </c>
      <c r="D2825" t="s">
        <v>21</v>
      </c>
      <c r="E2825" s="2">
        <v>17.95</v>
      </c>
      <c r="F2825" s="3">
        <v>49.17</v>
      </c>
      <c r="G2825" s="4">
        <v>242.78</v>
      </c>
      <c r="H2825">
        <v>1</v>
      </c>
      <c r="I2825" s="4">
        <v>242.78</v>
      </c>
      <c r="J2825">
        <v>4</v>
      </c>
      <c r="K2825" t="s">
        <v>36</v>
      </c>
      <c r="L2825" t="s">
        <v>16</v>
      </c>
      <c r="O2825"/>
    </row>
    <row r="2826" spans="1:15" x14ac:dyDescent="0.3">
      <c r="A2826" t="s">
        <v>2850</v>
      </c>
      <c r="B2826" s="1">
        <v>45719</v>
      </c>
      <c r="C2826" t="s">
        <v>25</v>
      </c>
      <c r="D2826" t="s">
        <v>22</v>
      </c>
      <c r="E2826" s="2">
        <v>8.4</v>
      </c>
      <c r="F2826" s="3">
        <v>23.51</v>
      </c>
      <c r="G2826" s="4">
        <v>151.84</v>
      </c>
      <c r="H2826">
        <v>1.2</v>
      </c>
      <c r="I2826" s="4">
        <v>182.21</v>
      </c>
      <c r="J2826">
        <v>3.8</v>
      </c>
      <c r="K2826" t="s">
        <v>36</v>
      </c>
      <c r="L2826" t="s">
        <v>19</v>
      </c>
      <c r="O2826"/>
    </row>
    <row r="2827" spans="1:15" x14ac:dyDescent="0.3">
      <c r="A2827" t="s">
        <v>2851</v>
      </c>
      <c r="B2827" s="1">
        <v>45782</v>
      </c>
      <c r="C2827" t="s">
        <v>22</v>
      </c>
      <c r="D2827" t="s">
        <v>21</v>
      </c>
      <c r="E2827" s="2">
        <v>23.68</v>
      </c>
      <c r="F2827" s="3">
        <v>72.59</v>
      </c>
      <c r="G2827" s="4">
        <v>384.76</v>
      </c>
      <c r="H2827">
        <v>2</v>
      </c>
      <c r="I2827" s="4">
        <v>769.52</v>
      </c>
      <c r="J2827">
        <v>3.3</v>
      </c>
      <c r="K2827" t="s">
        <v>30</v>
      </c>
      <c r="L2827" t="s">
        <v>28</v>
      </c>
      <c r="O2827"/>
    </row>
    <row r="2828" spans="1:15" x14ac:dyDescent="0.3">
      <c r="A2828" t="s">
        <v>2852</v>
      </c>
      <c r="B2828" s="1">
        <v>45769</v>
      </c>
      <c r="C2828" t="s">
        <v>13</v>
      </c>
      <c r="D2828" t="s">
        <v>21</v>
      </c>
      <c r="E2828" s="2">
        <v>2.92</v>
      </c>
      <c r="F2828" s="3">
        <v>11.43</v>
      </c>
      <c r="G2828" s="4">
        <v>52.36</v>
      </c>
      <c r="H2828">
        <v>1</v>
      </c>
      <c r="I2828" s="4">
        <v>52.36</v>
      </c>
      <c r="J2828">
        <v>4.2</v>
      </c>
      <c r="K2828" t="s">
        <v>15</v>
      </c>
      <c r="L2828" t="s">
        <v>19</v>
      </c>
      <c r="O2828"/>
    </row>
    <row r="2829" spans="1:15" x14ac:dyDescent="0.3">
      <c r="A2829" t="s">
        <v>2853</v>
      </c>
      <c r="B2829" s="1">
        <v>45705</v>
      </c>
      <c r="C2829" t="s">
        <v>25</v>
      </c>
      <c r="D2829" t="s">
        <v>21</v>
      </c>
      <c r="E2829" s="2">
        <v>11.02</v>
      </c>
      <c r="F2829" s="3">
        <v>30.24</v>
      </c>
      <c r="G2829" s="4">
        <v>177.39</v>
      </c>
      <c r="H2829">
        <v>2</v>
      </c>
      <c r="I2829" s="4">
        <v>354.78</v>
      </c>
      <c r="J2829">
        <v>4.7</v>
      </c>
      <c r="K2829" t="s">
        <v>33</v>
      </c>
      <c r="L2829" t="s">
        <v>19</v>
      </c>
      <c r="O2829"/>
    </row>
    <row r="2830" spans="1:15" x14ac:dyDescent="0.3">
      <c r="A2830" t="s">
        <v>2854</v>
      </c>
      <c r="B2830" s="1">
        <v>45959</v>
      </c>
      <c r="C2830" t="s">
        <v>22</v>
      </c>
      <c r="D2830" t="s">
        <v>25</v>
      </c>
      <c r="E2830" s="2">
        <v>5.43</v>
      </c>
      <c r="F2830" s="3">
        <v>12.03</v>
      </c>
      <c r="G2830" s="4">
        <v>83.34</v>
      </c>
      <c r="H2830">
        <v>1.2</v>
      </c>
      <c r="I2830" s="4">
        <v>100.01</v>
      </c>
      <c r="J2830">
        <v>4.9000000000000004</v>
      </c>
      <c r="K2830" t="s">
        <v>33</v>
      </c>
      <c r="L2830" t="s">
        <v>28</v>
      </c>
      <c r="O2830"/>
    </row>
    <row r="2831" spans="1:15" x14ac:dyDescent="0.3">
      <c r="A2831" t="s">
        <v>2855</v>
      </c>
      <c r="B2831" s="1">
        <v>45817</v>
      </c>
      <c r="C2831" t="s">
        <v>13</v>
      </c>
      <c r="D2831" t="s">
        <v>22</v>
      </c>
      <c r="E2831" s="2">
        <v>28.96</v>
      </c>
      <c r="F2831" s="3">
        <v>91.12</v>
      </c>
      <c r="G2831" s="4">
        <v>333.34</v>
      </c>
      <c r="H2831">
        <v>1.5</v>
      </c>
      <c r="I2831" s="4">
        <v>500.01</v>
      </c>
      <c r="J2831">
        <v>3</v>
      </c>
      <c r="K2831" t="s">
        <v>36</v>
      </c>
      <c r="L2831" t="s">
        <v>26</v>
      </c>
      <c r="O2831"/>
    </row>
    <row r="2832" spans="1:15" x14ac:dyDescent="0.3">
      <c r="A2832" t="s">
        <v>2856</v>
      </c>
      <c r="B2832" s="1">
        <v>45793</v>
      </c>
      <c r="C2832" t="s">
        <v>13</v>
      </c>
      <c r="D2832" t="s">
        <v>22</v>
      </c>
      <c r="E2832" s="2">
        <v>16.170000000000002</v>
      </c>
      <c r="F2832" s="3">
        <v>38.42</v>
      </c>
      <c r="G2832" s="4">
        <v>178.33</v>
      </c>
      <c r="H2832">
        <v>1.2</v>
      </c>
      <c r="I2832" s="4">
        <v>214</v>
      </c>
      <c r="J2832">
        <v>4.8</v>
      </c>
      <c r="K2832" t="s">
        <v>18</v>
      </c>
      <c r="L2832" t="s">
        <v>16</v>
      </c>
      <c r="O2832"/>
    </row>
    <row r="2833" spans="1:15" x14ac:dyDescent="0.3">
      <c r="A2833" t="s">
        <v>2857</v>
      </c>
      <c r="B2833" s="1">
        <v>45894</v>
      </c>
      <c r="C2833" t="s">
        <v>25</v>
      </c>
      <c r="D2833" t="s">
        <v>21</v>
      </c>
      <c r="E2833" s="2">
        <v>20.02</v>
      </c>
      <c r="F2833" s="3">
        <v>77.09</v>
      </c>
      <c r="G2833" s="4">
        <v>249.8</v>
      </c>
      <c r="H2833">
        <v>1.5</v>
      </c>
      <c r="I2833" s="4">
        <v>374.7</v>
      </c>
      <c r="J2833">
        <v>3.9</v>
      </c>
      <c r="K2833" t="s">
        <v>18</v>
      </c>
      <c r="L2833" t="s">
        <v>28</v>
      </c>
      <c r="O2833"/>
    </row>
    <row r="2834" spans="1:15" x14ac:dyDescent="0.3">
      <c r="A2834" t="s">
        <v>2858</v>
      </c>
      <c r="B2834" s="1">
        <v>45783</v>
      </c>
      <c r="C2834" t="s">
        <v>14</v>
      </c>
      <c r="D2834" t="s">
        <v>22</v>
      </c>
      <c r="E2834" s="2">
        <v>16.98</v>
      </c>
      <c r="F2834" s="3">
        <v>37.549999999999997</v>
      </c>
      <c r="G2834" s="4">
        <v>338.14</v>
      </c>
      <c r="H2834">
        <v>1.5</v>
      </c>
      <c r="I2834" s="4">
        <v>507.21</v>
      </c>
      <c r="J2834">
        <v>3.8</v>
      </c>
      <c r="K2834" t="s">
        <v>15</v>
      </c>
      <c r="L2834" t="s">
        <v>16</v>
      </c>
      <c r="O2834"/>
    </row>
    <row r="2835" spans="1:15" x14ac:dyDescent="0.3">
      <c r="A2835" t="s">
        <v>2859</v>
      </c>
      <c r="B2835" s="1">
        <v>45713</v>
      </c>
      <c r="C2835" t="s">
        <v>13</v>
      </c>
      <c r="D2835" t="s">
        <v>13</v>
      </c>
      <c r="E2835" s="2">
        <v>16.28</v>
      </c>
      <c r="F2835" s="3">
        <v>50.05</v>
      </c>
      <c r="G2835" s="4">
        <v>234.4</v>
      </c>
      <c r="H2835">
        <v>1.2</v>
      </c>
      <c r="I2835" s="4">
        <v>281.27999999999997</v>
      </c>
      <c r="J2835">
        <v>3.3</v>
      </c>
      <c r="K2835" t="s">
        <v>30</v>
      </c>
      <c r="L2835" t="s">
        <v>19</v>
      </c>
      <c r="O2835"/>
    </row>
    <row r="2836" spans="1:15" x14ac:dyDescent="0.3">
      <c r="A2836" t="s">
        <v>2860</v>
      </c>
      <c r="B2836" s="1">
        <v>45974</v>
      </c>
      <c r="C2836" t="s">
        <v>22</v>
      </c>
      <c r="D2836" t="s">
        <v>13</v>
      </c>
      <c r="E2836" s="2">
        <v>18.68</v>
      </c>
      <c r="F2836" s="3">
        <v>64.400000000000006</v>
      </c>
      <c r="G2836" s="4">
        <v>191.47</v>
      </c>
      <c r="H2836">
        <v>1.5</v>
      </c>
      <c r="I2836" s="4">
        <v>287.2</v>
      </c>
      <c r="J2836">
        <v>4.4000000000000004</v>
      </c>
      <c r="K2836" t="s">
        <v>18</v>
      </c>
      <c r="L2836" t="s">
        <v>26</v>
      </c>
      <c r="O2836"/>
    </row>
    <row r="2837" spans="1:15" x14ac:dyDescent="0.3">
      <c r="A2837" t="s">
        <v>2861</v>
      </c>
      <c r="B2837" s="1">
        <v>45783</v>
      </c>
      <c r="C2837" t="s">
        <v>14</v>
      </c>
      <c r="D2837" t="s">
        <v>21</v>
      </c>
      <c r="E2837" s="2">
        <v>1.5</v>
      </c>
      <c r="F2837" s="3">
        <v>4.22</v>
      </c>
      <c r="G2837" s="4">
        <v>28.89</v>
      </c>
      <c r="H2837">
        <v>1.5</v>
      </c>
      <c r="I2837" s="4">
        <v>43.34</v>
      </c>
      <c r="J2837">
        <v>4</v>
      </c>
      <c r="K2837" t="s">
        <v>30</v>
      </c>
      <c r="L2837" t="s">
        <v>28</v>
      </c>
      <c r="O2837"/>
    </row>
    <row r="2838" spans="1:15" x14ac:dyDescent="0.3">
      <c r="A2838" t="s">
        <v>2862</v>
      </c>
      <c r="B2838" s="1">
        <v>45991</v>
      </c>
      <c r="C2838" t="s">
        <v>25</v>
      </c>
      <c r="D2838" t="s">
        <v>21</v>
      </c>
      <c r="E2838" s="2">
        <v>29.46</v>
      </c>
      <c r="F2838" s="3">
        <v>70.66</v>
      </c>
      <c r="G2838" s="4">
        <v>313.82</v>
      </c>
      <c r="H2838">
        <v>1.5</v>
      </c>
      <c r="I2838" s="4">
        <v>470.73</v>
      </c>
      <c r="J2838">
        <v>4.0999999999999996</v>
      </c>
      <c r="K2838" t="s">
        <v>36</v>
      </c>
      <c r="L2838" t="s">
        <v>26</v>
      </c>
      <c r="O2838"/>
    </row>
    <row r="2839" spans="1:15" x14ac:dyDescent="0.3">
      <c r="A2839" t="s">
        <v>2863</v>
      </c>
      <c r="B2839" s="1">
        <v>45858</v>
      </c>
      <c r="C2839" t="s">
        <v>13</v>
      </c>
      <c r="D2839" t="s">
        <v>25</v>
      </c>
      <c r="E2839" s="2">
        <v>14.69</v>
      </c>
      <c r="F2839" s="3">
        <v>44.49</v>
      </c>
      <c r="G2839" s="4">
        <v>269.68</v>
      </c>
      <c r="H2839">
        <v>1.2</v>
      </c>
      <c r="I2839" s="4">
        <v>323.62</v>
      </c>
      <c r="J2839">
        <v>4.7</v>
      </c>
      <c r="K2839" t="s">
        <v>36</v>
      </c>
      <c r="L2839" t="s">
        <v>16</v>
      </c>
      <c r="O2839"/>
    </row>
    <row r="2840" spans="1:15" x14ac:dyDescent="0.3">
      <c r="A2840" t="s">
        <v>2864</v>
      </c>
      <c r="B2840" s="1">
        <v>45659</v>
      </c>
      <c r="C2840" t="s">
        <v>21</v>
      </c>
      <c r="D2840" t="s">
        <v>21</v>
      </c>
      <c r="E2840" s="2">
        <v>1.49</v>
      </c>
      <c r="F2840" s="3">
        <v>4.41</v>
      </c>
      <c r="G2840" s="4">
        <v>27.7</v>
      </c>
      <c r="H2840">
        <v>1.2</v>
      </c>
      <c r="I2840" s="4">
        <v>33.24</v>
      </c>
      <c r="J2840">
        <v>4.9000000000000004</v>
      </c>
      <c r="K2840" t="s">
        <v>33</v>
      </c>
      <c r="L2840" t="s">
        <v>19</v>
      </c>
      <c r="O2840"/>
    </row>
    <row r="2841" spans="1:15" x14ac:dyDescent="0.3">
      <c r="A2841" t="s">
        <v>2865</v>
      </c>
      <c r="B2841" s="1">
        <v>45822</v>
      </c>
      <c r="C2841" t="s">
        <v>13</v>
      </c>
      <c r="D2841" t="s">
        <v>25</v>
      </c>
      <c r="E2841" s="2">
        <v>26.51</v>
      </c>
      <c r="F2841" s="3">
        <v>83.77</v>
      </c>
      <c r="G2841" s="4">
        <v>382.96</v>
      </c>
      <c r="H2841">
        <v>1</v>
      </c>
      <c r="I2841" s="4">
        <v>382.96</v>
      </c>
      <c r="J2841">
        <v>4.9000000000000004</v>
      </c>
      <c r="K2841" t="s">
        <v>15</v>
      </c>
      <c r="L2841" t="s">
        <v>28</v>
      </c>
      <c r="O2841"/>
    </row>
    <row r="2842" spans="1:15" x14ac:dyDescent="0.3">
      <c r="A2842" t="s">
        <v>2866</v>
      </c>
      <c r="B2842" s="1">
        <v>45795</v>
      </c>
      <c r="C2842" t="s">
        <v>22</v>
      </c>
      <c r="D2842" t="s">
        <v>25</v>
      </c>
      <c r="E2842" s="2">
        <v>16.190000000000001</v>
      </c>
      <c r="F2842" s="3">
        <v>49.77</v>
      </c>
      <c r="G2842" s="4">
        <v>211.91</v>
      </c>
      <c r="H2842">
        <v>1</v>
      </c>
      <c r="I2842" s="4">
        <v>211.91</v>
      </c>
      <c r="J2842">
        <v>3.7</v>
      </c>
      <c r="K2842" t="s">
        <v>18</v>
      </c>
      <c r="L2842" t="s">
        <v>16</v>
      </c>
      <c r="O2842"/>
    </row>
    <row r="2843" spans="1:15" x14ac:dyDescent="0.3">
      <c r="A2843" t="s">
        <v>2867</v>
      </c>
      <c r="B2843" s="1">
        <v>45720</v>
      </c>
      <c r="C2843" t="s">
        <v>25</v>
      </c>
      <c r="D2843" t="s">
        <v>25</v>
      </c>
      <c r="E2843" s="2">
        <v>12.67</v>
      </c>
      <c r="F2843" s="3">
        <v>30.1</v>
      </c>
      <c r="G2843" s="4">
        <v>195.23</v>
      </c>
      <c r="H2843">
        <v>1</v>
      </c>
      <c r="I2843" s="4">
        <v>195.23</v>
      </c>
      <c r="J2843">
        <v>3.6</v>
      </c>
      <c r="K2843" t="s">
        <v>36</v>
      </c>
      <c r="L2843" t="s">
        <v>28</v>
      </c>
      <c r="O2843"/>
    </row>
    <row r="2844" spans="1:15" x14ac:dyDescent="0.3">
      <c r="A2844" t="s">
        <v>2868</v>
      </c>
      <c r="B2844" s="1">
        <v>45792</v>
      </c>
      <c r="C2844" t="s">
        <v>22</v>
      </c>
      <c r="D2844" t="s">
        <v>25</v>
      </c>
      <c r="E2844" s="2">
        <v>12.32</v>
      </c>
      <c r="F2844" s="3">
        <v>47.05</v>
      </c>
      <c r="G2844" s="4">
        <v>150.99</v>
      </c>
      <c r="H2844">
        <v>1</v>
      </c>
      <c r="I2844" s="4">
        <v>150.99</v>
      </c>
      <c r="J2844">
        <v>4.5999999999999996</v>
      </c>
      <c r="K2844" t="s">
        <v>36</v>
      </c>
      <c r="L2844" t="s">
        <v>19</v>
      </c>
      <c r="O2844"/>
    </row>
    <row r="2845" spans="1:15" x14ac:dyDescent="0.3">
      <c r="A2845" t="s">
        <v>2869</v>
      </c>
      <c r="B2845" s="1">
        <v>45972</v>
      </c>
      <c r="C2845" t="s">
        <v>21</v>
      </c>
      <c r="D2845" t="s">
        <v>21</v>
      </c>
      <c r="E2845" s="2">
        <v>5.08</v>
      </c>
      <c r="F2845" s="3">
        <v>10.88</v>
      </c>
      <c r="G2845" s="4">
        <v>79.13</v>
      </c>
      <c r="H2845">
        <v>1.2</v>
      </c>
      <c r="I2845" s="4">
        <v>94.96</v>
      </c>
      <c r="J2845">
        <v>4.2</v>
      </c>
      <c r="K2845" t="s">
        <v>36</v>
      </c>
      <c r="L2845" t="s">
        <v>19</v>
      </c>
      <c r="O2845"/>
    </row>
    <row r="2846" spans="1:15" x14ac:dyDescent="0.3">
      <c r="A2846" t="s">
        <v>2870</v>
      </c>
      <c r="B2846" s="1">
        <v>45743</v>
      </c>
      <c r="C2846" t="s">
        <v>14</v>
      </c>
      <c r="D2846" t="s">
        <v>13</v>
      </c>
      <c r="E2846" s="2">
        <v>29.15</v>
      </c>
      <c r="F2846" s="3">
        <v>73.150000000000006</v>
      </c>
      <c r="G2846" s="4">
        <v>433.11</v>
      </c>
      <c r="H2846">
        <v>1.5</v>
      </c>
      <c r="I2846" s="4">
        <v>649.66</v>
      </c>
      <c r="J2846">
        <v>3.1</v>
      </c>
      <c r="K2846" t="s">
        <v>36</v>
      </c>
      <c r="L2846" t="s">
        <v>28</v>
      </c>
      <c r="O2846"/>
    </row>
    <row r="2847" spans="1:15" x14ac:dyDescent="0.3">
      <c r="A2847" t="s">
        <v>2871</v>
      </c>
      <c r="B2847" s="1">
        <v>45845</v>
      </c>
      <c r="C2847" t="s">
        <v>22</v>
      </c>
      <c r="D2847" t="s">
        <v>14</v>
      </c>
      <c r="E2847" s="2">
        <v>18.11</v>
      </c>
      <c r="F2847" s="3">
        <v>52.28</v>
      </c>
      <c r="G2847" s="4">
        <v>262</v>
      </c>
      <c r="H2847">
        <v>2</v>
      </c>
      <c r="I2847" s="4">
        <v>524</v>
      </c>
      <c r="J2847">
        <v>4.5</v>
      </c>
      <c r="K2847" t="s">
        <v>30</v>
      </c>
      <c r="L2847" t="s">
        <v>28</v>
      </c>
      <c r="O2847"/>
    </row>
    <row r="2848" spans="1:15" x14ac:dyDescent="0.3">
      <c r="A2848" t="s">
        <v>2872</v>
      </c>
      <c r="B2848" s="1">
        <v>45813</v>
      </c>
      <c r="C2848" t="s">
        <v>22</v>
      </c>
      <c r="D2848" t="s">
        <v>25</v>
      </c>
      <c r="E2848" s="2">
        <v>15.45</v>
      </c>
      <c r="F2848" s="3">
        <v>56.38</v>
      </c>
      <c r="G2848" s="4">
        <v>280.62</v>
      </c>
      <c r="H2848">
        <v>1</v>
      </c>
      <c r="I2848" s="4">
        <v>280.62</v>
      </c>
      <c r="J2848">
        <v>3.6</v>
      </c>
      <c r="K2848" t="s">
        <v>15</v>
      </c>
      <c r="L2848" t="s">
        <v>26</v>
      </c>
      <c r="O2848"/>
    </row>
    <row r="2849" spans="1:15" x14ac:dyDescent="0.3">
      <c r="A2849" t="s">
        <v>2873</v>
      </c>
      <c r="B2849" s="1">
        <v>45821</v>
      </c>
      <c r="C2849" t="s">
        <v>14</v>
      </c>
      <c r="D2849" t="s">
        <v>21</v>
      </c>
      <c r="E2849" s="2">
        <v>7.13</v>
      </c>
      <c r="F2849" s="3">
        <v>21.14</v>
      </c>
      <c r="G2849" s="4">
        <v>105.87</v>
      </c>
      <c r="H2849">
        <v>1.2</v>
      </c>
      <c r="I2849" s="4">
        <v>127.04</v>
      </c>
      <c r="J2849">
        <v>4.3</v>
      </c>
      <c r="K2849" t="s">
        <v>36</v>
      </c>
      <c r="L2849" t="s">
        <v>26</v>
      </c>
      <c r="O2849"/>
    </row>
    <row r="2850" spans="1:15" x14ac:dyDescent="0.3">
      <c r="A2850" t="s">
        <v>2874</v>
      </c>
      <c r="B2850" s="1">
        <v>45726</v>
      </c>
      <c r="C2850" t="s">
        <v>14</v>
      </c>
      <c r="D2850" t="s">
        <v>14</v>
      </c>
      <c r="E2850" s="2">
        <v>28.01</v>
      </c>
      <c r="F2850" s="3">
        <v>81.27</v>
      </c>
      <c r="G2850" s="4">
        <v>467.71</v>
      </c>
      <c r="H2850">
        <v>1.5</v>
      </c>
      <c r="I2850" s="4">
        <v>701.56</v>
      </c>
      <c r="J2850">
        <v>3.9</v>
      </c>
      <c r="K2850" t="s">
        <v>36</v>
      </c>
      <c r="L2850" t="s">
        <v>28</v>
      </c>
      <c r="O2850"/>
    </row>
    <row r="2851" spans="1:15" x14ac:dyDescent="0.3">
      <c r="A2851" t="s">
        <v>2875</v>
      </c>
      <c r="B2851" s="1">
        <v>45732</v>
      </c>
      <c r="C2851" t="s">
        <v>14</v>
      </c>
      <c r="D2851" t="s">
        <v>14</v>
      </c>
      <c r="E2851" s="2">
        <v>27.99</v>
      </c>
      <c r="F2851" s="3">
        <v>97.24</v>
      </c>
      <c r="G2851" s="4">
        <v>437.88</v>
      </c>
      <c r="H2851">
        <v>1.5</v>
      </c>
      <c r="I2851" s="4">
        <v>656.82</v>
      </c>
      <c r="J2851">
        <v>3.4</v>
      </c>
      <c r="K2851" t="s">
        <v>30</v>
      </c>
      <c r="L2851" t="s">
        <v>26</v>
      </c>
      <c r="O2851"/>
    </row>
    <row r="2852" spans="1:15" x14ac:dyDescent="0.3">
      <c r="A2852" t="s">
        <v>2876</v>
      </c>
      <c r="B2852" s="1">
        <v>45930</v>
      </c>
      <c r="C2852" t="s">
        <v>22</v>
      </c>
      <c r="D2852" t="s">
        <v>13</v>
      </c>
      <c r="E2852" s="2">
        <v>19.77</v>
      </c>
      <c r="F2852" s="3">
        <v>49.28</v>
      </c>
      <c r="G2852" s="4">
        <v>275.76</v>
      </c>
      <c r="H2852">
        <v>1</v>
      </c>
      <c r="I2852" s="4">
        <v>275.76</v>
      </c>
      <c r="J2852">
        <v>4.5999999999999996</v>
      </c>
      <c r="K2852" t="s">
        <v>30</v>
      </c>
      <c r="L2852" t="s">
        <v>16</v>
      </c>
      <c r="O2852"/>
    </row>
    <row r="2853" spans="1:15" x14ac:dyDescent="0.3">
      <c r="A2853" t="s">
        <v>2877</v>
      </c>
      <c r="B2853" s="1">
        <v>46022</v>
      </c>
      <c r="C2853" t="s">
        <v>25</v>
      </c>
      <c r="D2853" t="s">
        <v>21</v>
      </c>
      <c r="E2853" s="2">
        <v>10.15</v>
      </c>
      <c r="F2853" s="3">
        <v>24.67</v>
      </c>
      <c r="G2853" s="4">
        <v>161.76</v>
      </c>
      <c r="H2853">
        <v>2</v>
      </c>
      <c r="I2853" s="4">
        <v>323.52</v>
      </c>
      <c r="J2853">
        <v>4.7</v>
      </c>
      <c r="K2853" t="s">
        <v>15</v>
      </c>
      <c r="L2853" t="s">
        <v>28</v>
      </c>
      <c r="O2853"/>
    </row>
    <row r="2854" spans="1:15" x14ac:dyDescent="0.3">
      <c r="A2854" t="s">
        <v>2878</v>
      </c>
      <c r="B2854" s="1">
        <v>45977</v>
      </c>
      <c r="C2854" t="s">
        <v>25</v>
      </c>
      <c r="D2854" t="s">
        <v>22</v>
      </c>
      <c r="E2854" s="2">
        <v>22.73</v>
      </c>
      <c r="F2854" s="3">
        <v>54.38</v>
      </c>
      <c r="G2854" s="4">
        <v>333.75</v>
      </c>
      <c r="H2854">
        <v>1.2</v>
      </c>
      <c r="I2854" s="4">
        <v>400.5</v>
      </c>
      <c r="J2854">
        <v>4.3</v>
      </c>
      <c r="K2854" t="s">
        <v>36</v>
      </c>
      <c r="L2854" t="s">
        <v>16</v>
      </c>
      <c r="O2854"/>
    </row>
    <row r="2855" spans="1:15" x14ac:dyDescent="0.3">
      <c r="A2855" t="s">
        <v>2879</v>
      </c>
      <c r="B2855" s="1">
        <v>46014</v>
      </c>
      <c r="C2855" t="s">
        <v>25</v>
      </c>
      <c r="D2855" t="s">
        <v>21</v>
      </c>
      <c r="E2855" s="2">
        <v>20.82</v>
      </c>
      <c r="F2855" s="3">
        <v>66.12</v>
      </c>
      <c r="G2855" s="4">
        <v>383.58</v>
      </c>
      <c r="H2855">
        <v>1.5</v>
      </c>
      <c r="I2855" s="4">
        <v>575.37</v>
      </c>
      <c r="J2855">
        <v>3.8</v>
      </c>
      <c r="K2855" t="s">
        <v>30</v>
      </c>
      <c r="L2855" t="s">
        <v>28</v>
      </c>
      <c r="O2855"/>
    </row>
    <row r="2856" spans="1:15" x14ac:dyDescent="0.3">
      <c r="A2856" t="s">
        <v>2880</v>
      </c>
      <c r="B2856" s="1">
        <v>45894</v>
      </c>
      <c r="C2856" t="s">
        <v>22</v>
      </c>
      <c r="D2856" t="s">
        <v>13</v>
      </c>
      <c r="E2856" s="2">
        <v>4.57</v>
      </c>
      <c r="F2856" s="3">
        <v>15.45</v>
      </c>
      <c r="G2856" s="4">
        <v>79.150000000000006</v>
      </c>
      <c r="H2856">
        <v>2</v>
      </c>
      <c r="I2856" s="4">
        <v>158.30000000000001</v>
      </c>
      <c r="J2856">
        <v>4.8</v>
      </c>
      <c r="K2856" t="s">
        <v>30</v>
      </c>
      <c r="L2856" t="s">
        <v>28</v>
      </c>
      <c r="O2856"/>
    </row>
    <row r="2857" spans="1:15" x14ac:dyDescent="0.3">
      <c r="A2857" t="s">
        <v>2881</v>
      </c>
      <c r="B2857" s="1">
        <v>45962</v>
      </c>
      <c r="C2857" t="s">
        <v>13</v>
      </c>
      <c r="D2857" t="s">
        <v>14</v>
      </c>
      <c r="E2857" s="2">
        <v>13.03</v>
      </c>
      <c r="F2857" s="3">
        <v>29.29</v>
      </c>
      <c r="G2857" s="4">
        <v>185.01</v>
      </c>
      <c r="H2857">
        <v>2</v>
      </c>
      <c r="I2857" s="4">
        <v>370.02</v>
      </c>
      <c r="J2857">
        <v>4.0999999999999996</v>
      </c>
      <c r="K2857" t="s">
        <v>30</v>
      </c>
      <c r="L2857" t="s">
        <v>26</v>
      </c>
      <c r="O2857"/>
    </row>
    <row r="2858" spans="1:15" x14ac:dyDescent="0.3">
      <c r="A2858" t="s">
        <v>2882</v>
      </c>
      <c r="B2858" s="1">
        <v>45939</v>
      </c>
      <c r="C2858" t="s">
        <v>22</v>
      </c>
      <c r="D2858" t="s">
        <v>25</v>
      </c>
      <c r="E2858" s="2">
        <v>12.15</v>
      </c>
      <c r="F2858" s="3">
        <v>42.24</v>
      </c>
      <c r="G2858" s="4">
        <v>215.57</v>
      </c>
      <c r="H2858">
        <v>1.5</v>
      </c>
      <c r="I2858" s="4">
        <v>323.36</v>
      </c>
      <c r="J2858">
        <v>4.5999999999999996</v>
      </c>
      <c r="K2858" t="s">
        <v>15</v>
      </c>
      <c r="L2858" t="s">
        <v>16</v>
      </c>
      <c r="O2858"/>
    </row>
    <row r="2859" spans="1:15" x14ac:dyDescent="0.3">
      <c r="A2859" t="s">
        <v>2883</v>
      </c>
      <c r="B2859" s="1">
        <v>45677</v>
      </c>
      <c r="C2859" t="s">
        <v>14</v>
      </c>
      <c r="D2859" t="s">
        <v>22</v>
      </c>
      <c r="E2859" s="2">
        <v>28</v>
      </c>
      <c r="F2859" s="3">
        <v>94.43</v>
      </c>
      <c r="G2859" s="4">
        <v>289.57</v>
      </c>
      <c r="H2859">
        <v>2</v>
      </c>
      <c r="I2859" s="4">
        <v>579.14</v>
      </c>
      <c r="J2859">
        <v>3.7</v>
      </c>
      <c r="K2859" t="s">
        <v>36</v>
      </c>
      <c r="L2859" t="s">
        <v>28</v>
      </c>
      <c r="O2859"/>
    </row>
    <row r="2860" spans="1:15" x14ac:dyDescent="0.3">
      <c r="A2860" t="s">
        <v>2884</v>
      </c>
      <c r="B2860" s="1">
        <v>45902</v>
      </c>
      <c r="C2860" t="s">
        <v>14</v>
      </c>
      <c r="D2860" t="s">
        <v>22</v>
      </c>
      <c r="E2860" s="2">
        <v>17.8</v>
      </c>
      <c r="F2860" s="3">
        <v>52.21</v>
      </c>
      <c r="G2860" s="4">
        <v>252.73</v>
      </c>
      <c r="H2860">
        <v>1.5</v>
      </c>
      <c r="I2860" s="4">
        <v>379.1</v>
      </c>
      <c r="J2860">
        <v>3.2</v>
      </c>
      <c r="K2860" t="s">
        <v>30</v>
      </c>
      <c r="L2860" t="s">
        <v>28</v>
      </c>
      <c r="O2860"/>
    </row>
    <row r="2861" spans="1:15" x14ac:dyDescent="0.3">
      <c r="A2861" t="s">
        <v>2885</v>
      </c>
      <c r="B2861" s="1">
        <v>45984</v>
      </c>
      <c r="C2861" t="s">
        <v>14</v>
      </c>
      <c r="D2861" t="s">
        <v>22</v>
      </c>
      <c r="E2861" s="2">
        <v>3.18</v>
      </c>
      <c r="F2861" s="3">
        <v>12.38</v>
      </c>
      <c r="G2861" s="4">
        <v>61.07</v>
      </c>
      <c r="H2861">
        <v>1</v>
      </c>
      <c r="I2861" s="4">
        <v>61.07</v>
      </c>
      <c r="J2861">
        <v>4.0999999999999996</v>
      </c>
      <c r="K2861" t="s">
        <v>15</v>
      </c>
      <c r="L2861" t="s">
        <v>16</v>
      </c>
      <c r="O2861"/>
    </row>
    <row r="2862" spans="1:15" x14ac:dyDescent="0.3">
      <c r="A2862" t="s">
        <v>2886</v>
      </c>
      <c r="B2862" s="1">
        <v>46009</v>
      </c>
      <c r="C2862" t="s">
        <v>14</v>
      </c>
      <c r="D2862" t="s">
        <v>25</v>
      </c>
      <c r="E2862" s="2">
        <v>3.19</v>
      </c>
      <c r="F2862" s="3">
        <v>6.82</v>
      </c>
      <c r="G2862" s="4">
        <v>49.04</v>
      </c>
      <c r="H2862">
        <v>1.2</v>
      </c>
      <c r="I2862" s="4">
        <v>58.85</v>
      </c>
      <c r="J2862">
        <v>4.2</v>
      </c>
      <c r="K2862" t="s">
        <v>15</v>
      </c>
      <c r="L2862" t="s">
        <v>19</v>
      </c>
      <c r="O2862"/>
    </row>
    <row r="2863" spans="1:15" x14ac:dyDescent="0.3">
      <c r="A2863" t="s">
        <v>2887</v>
      </c>
      <c r="B2863" s="1">
        <v>45937</v>
      </c>
      <c r="C2863" t="s">
        <v>13</v>
      </c>
      <c r="D2863" t="s">
        <v>21</v>
      </c>
      <c r="E2863" s="2">
        <v>13.27</v>
      </c>
      <c r="F2863" s="3">
        <v>30.18</v>
      </c>
      <c r="G2863" s="4">
        <v>154</v>
      </c>
      <c r="H2863">
        <v>2</v>
      </c>
      <c r="I2863" s="4">
        <v>308</v>
      </c>
      <c r="J2863">
        <v>3.4</v>
      </c>
      <c r="K2863" t="s">
        <v>33</v>
      </c>
      <c r="L2863" t="s">
        <v>19</v>
      </c>
      <c r="O2863"/>
    </row>
    <row r="2864" spans="1:15" x14ac:dyDescent="0.3">
      <c r="A2864" t="s">
        <v>2888</v>
      </c>
      <c r="B2864" s="1">
        <v>45968</v>
      </c>
      <c r="C2864" t="s">
        <v>25</v>
      </c>
      <c r="D2864" t="s">
        <v>22</v>
      </c>
      <c r="E2864" s="2">
        <v>21.75</v>
      </c>
      <c r="F2864" s="3">
        <v>78.69</v>
      </c>
      <c r="G2864" s="4">
        <v>315.93</v>
      </c>
      <c r="H2864">
        <v>2</v>
      </c>
      <c r="I2864" s="4">
        <v>631.86</v>
      </c>
      <c r="J2864">
        <v>3.6</v>
      </c>
      <c r="K2864" t="s">
        <v>33</v>
      </c>
      <c r="L2864" t="s">
        <v>28</v>
      </c>
      <c r="O2864"/>
    </row>
    <row r="2865" spans="1:15" x14ac:dyDescent="0.3">
      <c r="A2865" t="s">
        <v>2889</v>
      </c>
      <c r="B2865" s="1">
        <v>45902</v>
      </c>
      <c r="C2865" t="s">
        <v>22</v>
      </c>
      <c r="D2865" t="s">
        <v>14</v>
      </c>
      <c r="E2865" s="2">
        <v>3.01</v>
      </c>
      <c r="F2865" s="3">
        <v>7.57</v>
      </c>
      <c r="G2865" s="4">
        <v>46.47</v>
      </c>
      <c r="H2865">
        <v>1.5</v>
      </c>
      <c r="I2865" s="4">
        <v>69.7</v>
      </c>
      <c r="J2865">
        <v>4.8</v>
      </c>
      <c r="K2865" t="s">
        <v>18</v>
      </c>
      <c r="L2865" t="s">
        <v>19</v>
      </c>
      <c r="O2865"/>
    </row>
    <row r="2866" spans="1:15" x14ac:dyDescent="0.3">
      <c r="A2866" t="s">
        <v>2890</v>
      </c>
      <c r="B2866" s="1">
        <v>45800</v>
      </c>
      <c r="C2866" t="s">
        <v>21</v>
      </c>
      <c r="D2866" t="s">
        <v>25</v>
      </c>
      <c r="E2866" s="2">
        <v>8.14</v>
      </c>
      <c r="F2866" s="3">
        <v>27.18</v>
      </c>
      <c r="G2866" s="4">
        <v>107.75</v>
      </c>
      <c r="H2866">
        <v>1</v>
      </c>
      <c r="I2866" s="4">
        <v>107.75</v>
      </c>
      <c r="J2866">
        <v>4</v>
      </c>
      <c r="K2866" t="s">
        <v>30</v>
      </c>
      <c r="L2866" t="s">
        <v>26</v>
      </c>
      <c r="O2866"/>
    </row>
    <row r="2867" spans="1:15" x14ac:dyDescent="0.3">
      <c r="A2867" t="s">
        <v>2891</v>
      </c>
      <c r="B2867" s="1">
        <v>45873</v>
      </c>
      <c r="C2867" t="s">
        <v>22</v>
      </c>
      <c r="D2867" t="s">
        <v>13</v>
      </c>
      <c r="E2867" s="2">
        <v>18.079999999999998</v>
      </c>
      <c r="F2867" s="3">
        <v>57</v>
      </c>
      <c r="G2867" s="4">
        <v>192.68</v>
      </c>
      <c r="H2867">
        <v>1.5</v>
      </c>
      <c r="I2867" s="4">
        <v>289.02</v>
      </c>
      <c r="J2867">
        <v>4</v>
      </c>
      <c r="K2867" t="s">
        <v>15</v>
      </c>
      <c r="L2867" t="s">
        <v>28</v>
      </c>
      <c r="O2867"/>
    </row>
    <row r="2868" spans="1:15" x14ac:dyDescent="0.3">
      <c r="A2868" t="s">
        <v>2892</v>
      </c>
      <c r="B2868" s="1">
        <v>45934</v>
      </c>
      <c r="C2868" t="s">
        <v>13</v>
      </c>
      <c r="D2868" t="s">
        <v>22</v>
      </c>
      <c r="E2868" s="2">
        <v>1.53</v>
      </c>
      <c r="F2868" s="3">
        <v>3.83</v>
      </c>
      <c r="G2868" s="4">
        <v>18.809999999999999</v>
      </c>
      <c r="H2868">
        <v>2</v>
      </c>
      <c r="I2868" s="4">
        <v>37.619999999999997</v>
      </c>
      <c r="J2868">
        <v>3.9</v>
      </c>
      <c r="K2868" t="s">
        <v>33</v>
      </c>
      <c r="L2868" t="s">
        <v>19</v>
      </c>
      <c r="O2868"/>
    </row>
    <row r="2869" spans="1:15" x14ac:dyDescent="0.3">
      <c r="A2869" t="s">
        <v>2893</v>
      </c>
      <c r="B2869" s="1">
        <v>45814</v>
      </c>
      <c r="C2869" t="s">
        <v>13</v>
      </c>
      <c r="D2869" t="s">
        <v>14</v>
      </c>
      <c r="E2869" s="2">
        <v>15.57</v>
      </c>
      <c r="F2869" s="3">
        <v>48.62</v>
      </c>
      <c r="G2869" s="4">
        <v>208.29</v>
      </c>
      <c r="H2869">
        <v>1</v>
      </c>
      <c r="I2869" s="4">
        <v>208.29</v>
      </c>
      <c r="J2869">
        <v>4.3</v>
      </c>
      <c r="K2869" t="s">
        <v>15</v>
      </c>
      <c r="L2869" t="s">
        <v>16</v>
      </c>
      <c r="O2869"/>
    </row>
    <row r="2870" spans="1:15" x14ac:dyDescent="0.3">
      <c r="A2870" t="s">
        <v>2894</v>
      </c>
      <c r="B2870" s="1">
        <v>45803</v>
      </c>
      <c r="C2870" t="s">
        <v>14</v>
      </c>
      <c r="D2870" t="s">
        <v>14</v>
      </c>
      <c r="E2870" s="2">
        <v>23.43</v>
      </c>
      <c r="F2870" s="3">
        <v>86.17</v>
      </c>
      <c r="G2870" s="4">
        <v>320.26</v>
      </c>
      <c r="H2870">
        <v>2</v>
      </c>
      <c r="I2870" s="4">
        <v>640.52</v>
      </c>
      <c r="J2870">
        <v>3.5</v>
      </c>
      <c r="K2870" t="s">
        <v>30</v>
      </c>
      <c r="L2870" t="s">
        <v>26</v>
      </c>
      <c r="O2870"/>
    </row>
    <row r="2871" spans="1:15" x14ac:dyDescent="0.3">
      <c r="A2871" t="s">
        <v>2895</v>
      </c>
      <c r="B2871" s="1">
        <v>45968</v>
      </c>
      <c r="C2871" t="s">
        <v>14</v>
      </c>
      <c r="D2871" t="s">
        <v>25</v>
      </c>
      <c r="E2871" s="2">
        <v>6.83</v>
      </c>
      <c r="F2871" s="3">
        <v>15.36</v>
      </c>
      <c r="G2871" s="4">
        <v>91.87</v>
      </c>
      <c r="H2871">
        <v>1.2</v>
      </c>
      <c r="I2871" s="4">
        <v>110.24</v>
      </c>
      <c r="J2871">
        <v>4.8</v>
      </c>
      <c r="K2871" t="s">
        <v>33</v>
      </c>
      <c r="L2871" t="s">
        <v>19</v>
      </c>
      <c r="O2871"/>
    </row>
    <row r="2872" spans="1:15" x14ac:dyDescent="0.3">
      <c r="A2872" t="s">
        <v>2896</v>
      </c>
      <c r="B2872" s="1">
        <v>45946</v>
      </c>
      <c r="C2872" t="s">
        <v>13</v>
      </c>
      <c r="D2872" t="s">
        <v>21</v>
      </c>
      <c r="E2872" s="2">
        <v>2.4300000000000002</v>
      </c>
      <c r="F2872" s="3">
        <v>7</v>
      </c>
      <c r="G2872" s="4">
        <v>35.29</v>
      </c>
      <c r="H2872">
        <v>1</v>
      </c>
      <c r="I2872" s="4">
        <v>35.29</v>
      </c>
      <c r="J2872">
        <v>3.8</v>
      </c>
      <c r="K2872" t="s">
        <v>15</v>
      </c>
      <c r="L2872" t="s">
        <v>16</v>
      </c>
      <c r="O2872"/>
    </row>
    <row r="2873" spans="1:15" x14ac:dyDescent="0.3">
      <c r="A2873" t="s">
        <v>2897</v>
      </c>
      <c r="B2873" s="1">
        <v>45751</v>
      </c>
      <c r="C2873" t="s">
        <v>22</v>
      </c>
      <c r="D2873" t="s">
        <v>22</v>
      </c>
      <c r="E2873" s="2">
        <v>5.35</v>
      </c>
      <c r="F2873" s="3">
        <v>19.09</v>
      </c>
      <c r="G2873" s="4">
        <v>71.290000000000006</v>
      </c>
      <c r="H2873">
        <v>1</v>
      </c>
      <c r="I2873" s="4">
        <v>71.290000000000006</v>
      </c>
      <c r="J2873">
        <v>4.7</v>
      </c>
      <c r="K2873" t="s">
        <v>15</v>
      </c>
      <c r="L2873" t="s">
        <v>19</v>
      </c>
      <c r="O2873"/>
    </row>
    <row r="2874" spans="1:15" x14ac:dyDescent="0.3">
      <c r="A2874" t="s">
        <v>2898</v>
      </c>
      <c r="B2874" s="1">
        <v>45768</v>
      </c>
      <c r="C2874" t="s">
        <v>22</v>
      </c>
      <c r="D2874" t="s">
        <v>25</v>
      </c>
      <c r="E2874" s="2">
        <v>26.78</v>
      </c>
      <c r="F2874" s="3">
        <v>98.32</v>
      </c>
      <c r="G2874" s="4">
        <v>430.71</v>
      </c>
      <c r="H2874">
        <v>1.2</v>
      </c>
      <c r="I2874" s="4">
        <v>516.85</v>
      </c>
      <c r="J2874">
        <v>3.5</v>
      </c>
      <c r="K2874" t="s">
        <v>18</v>
      </c>
      <c r="L2874" t="s">
        <v>16</v>
      </c>
      <c r="O2874"/>
    </row>
    <row r="2875" spans="1:15" x14ac:dyDescent="0.3">
      <c r="A2875" t="s">
        <v>2899</v>
      </c>
      <c r="B2875" s="1">
        <v>45797</v>
      </c>
      <c r="C2875" t="s">
        <v>21</v>
      </c>
      <c r="D2875" t="s">
        <v>14</v>
      </c>
      <c r="E2875" s="2">
        <v>23.29</v>
      </c>
      <c r="F2875" s="3">
        <v>87.46</v>
      </c>
      <c r="G2875" s="4">
        <v>257.07</v>
      </c>
      <c r="H2875">
        <v>1</v>
      </c>
      <c r="I2875" s="4">
        <v>257.07</v>
      </c>
      <c r="J2875">
        <v>3.3</v>
      </c>
      <c r="K2875" t="s">
        <v>15</v>
      </c>
      <c r="L2875" t="s">
        <v>26</v>
      </c>
      <c r="O2875"/>
    </row>
    <row r="2876" spans="1:15" x14ac:dyDescent="0.3">
      <c r="A2876" t="s">
        <v>2900</v>
      </c>
      <c r="B2876" s="1">
        <v>45919</v>
      </c>
      <c r="C2876" t="s">
        <v>21</v>
      </c>
      <c r="D2876" t="s">
        <v>13</v>
      </c>
      <c r="E2876" s="2">
        <v>13.52</v>
      </c>
      <c r="F2876" s="3">
        <v>36.020000000000003</v>
      </c>
      <c r="G2876" s="4">
        <v>190.81</v>
      </c>
      <c r="H2876">
        <v>1</v>
      </c>
      <c r="I2876" s="4">
        <v>190.81</v>
      </c>
      <c r="J2876">
        <v>3.5</v>
      </c>
      <c r="K2876" t="s">
        <v>36</v>
      </c>
      <c r="L2876" t="s">
        <v>16</v>
      </c>
      <c r="O2876"/>
    </row>
    <row r="2877" spans="1:15" x14ac:dyDescent="0.3">
      <c r="A2877" t="s">
        <v>2901</v>
      </c>
      <c r="B2877" s="1">
        <v>45888</v>
      </c>
      <c r="C2877" t="s">
        <v>21</v>
      </c>
      <c r="D2877" t="s">
        <v>25</v>
      </c>
      <c r="E2877" s="2">
        <v>15.3</v>
      </c>
      <c r="F2877" s="3">
        <v>36.979999999999997</v>
      </c>
      <c r="G2877" s="4">
        <v>177.92</v>
      </c>
      <c r="H2877">
        <v>1.2</v>
      </c>
      <c r="I2877" s="4">
        <v>213.5</v>
      </c>
      <c r="J2877">
        <v>4.8</v>
      </c>
      <c r="K2877" t="s">
        <v>18</v>
      </c>
      <c r="L2877" t="s">
        <v>16</v>
      </c>
      <c r="O2877"/>
    </row>
    <row r="2878" spans="1:15" x14ac:dyDescent="0.3">
      <c r="A2878" t="s">
        <v>2902</v>
      </c>
      <c r="B2878" s="1">
        <v>45893</v>
      </c>
      <c r="C2878" t="s">
        <v>22</v>
      </c>
      <c r="D2878" t="s">
        <v>14</v>
      </c>
      <c r="E2878" s="2">
        <v>6.95</v>
      </c>
      <c r="F2878" s="3">
        <v>23.57</v>
      </c>
      <c r="G2878" s="4">
        <v>121.01</v>
      </c>
      <c r="H2878">
        <v>1.5</v>
      </c>
      <c r="I2878" s="4">
        <v>181.52</v>
      </c>
      <c r="J2878">
        <v>3.9</v>
      </c>
      <c r="K2878" t="s">
        <v>18</v>
      </c>
      <c r="L2878" t="s">
        <v>19</v>
      </c>
      <c r="O2878"/>
    </row>
    <row r="2879" spans="1:15" x14ac:dyDescent="0.3">
      <c r="A2879" t="s">
        <v>2903</v>
      </c>
      <c r="B2879" s="1">
        <v>45839</v>
      </c>
      <c r="C2879" t="s">
        <v>22</v>
      </c>
      <c r="D2879" t="s">
        <v>21</v>
      </c>
      <c r="E2879" s="2">
        <v>29.72</v>
      </c>
      <c r="F2879" s="3">
        <v>81.69</v>
      </c>
      <c r="G2879" s="4">
        <v>523.30999999999995</v>
      </c>
      <c r="H2879">
        <v>2</v>
      </c>
      <c r="I2879" s="4">
        <v>1046.6199999999999</v>
      </c>
      <c r="J2879">
        <v>3.3</v>
      </c>
      <c r="K2879" t="s">
        <v>18</v>
      </c>
      <c r="L2879" t="s">
        <v>16</v>
      </c>
      <c r="O2879"/>
    </row>
    <row r="2880" spans="1:15" x14ac:dyDescent="0.3">
      <c r="A2880" t="s">
        <v>2904</v>
      </c>
      <c r="B2880" s="1">
        <v>45860</v>
      </c>
      <c r="C2880" t="s">
        <v>25</v>
      </c>
      <c r="D2880" t="s">
        <v>21</v>
      </c>
      <c r="E2880" s="2">
        <v>23.3</v>
      </c>
      <c r="F2880" s="3">
        <v>77.72</v>
      </c>
      <c r="G2880" s="4">
        <v>432.16</v>
      </c>
      <c r="H2880">
        <v>1</v>
      </c>
      <c r="I2880" s="4">
        <v>432.16</v>
      </c>
      <c r="J2880">
        <v>4</v>
      </c>
      <c r="K2880" t="s">
        <v>30</v>
      </c>
      <c r="L2880" t="s">
        <v>19</v>
      </c>
      <c r="O2880"/>
    </row>
    <row r="2881" spans="1:15" x14ac:dyDescent="0.3">
      <c r="A2881" t="s">
        <v>2905</v>
      </c>
      <c r="B2881" s="1">
        <v>45685</v>
      </c>
      <c r="C2881" t="s">
        <v>14</v>
      </c>
      <c r="D2881" t="s">
        <v>25</v>
      </c>
      <c r="E2881" s="2">
        <v>7.89</v>
      </c>
      <c r="F2881" s="3">
        <v>22.07</v>
      </c>
      <c r="G2881" s="4">
        <v>138.72999999999999</v>
      </c>
      <c r="H2881">
        <v>1.5</v>
      </c>
      <c r="I2881" s="4">
        <v>208.09</v>
      </c>
      <c r="J2881">
        <v>4.0999999999999996</v>
      </c>
      <c r="K2881" t="s">
        <v>18</v>
      </c>
      <c r="L2881" t="s">
        <v>28</v>
      </c>
      <c r="O2881"/>
    </row>
    <row r="2882" spans="1:15" x14ac:dyDescent="0.3">
      <c r="A2882" t="s">
        <v>2906</v>
      </c>
      <c r="B2882" s="1">
        <v>45861</v>
      </c>
      <c r="C2882" t="s">
        <v>25</v>
      </c>
      <c r="D2882" t="s">
        <v>25</v>
      </c>
      <c r="E2882" s="2">
        <v>24.1</v>
      </c>
      <c r="F2882" s="3">
        <v>67.31</v>
      </c>
      <c r="G2882" s="4">
        <v>278.04000000000002</v>
      </c>
      <c r="H2882">
        <v>1.2</v>
      </c>
      <c r="I2882" s="4">
        <v>333.65</v>
      </c>
      <c r="J2882">
        <v>4.5</v>
      </c>
      <c r="K2882" t="s">
        <v>18</v>
      </c>
      <c r="L2882" t="s">
        <v>28</v>
      </c>
      <c r="O2882"/>
    </row>
    <row r="2883" spans="1:15" x14ac:dyDescent="0.3">
      <c r="A2883" t="s">
        <v>2907</v>
      </c>
      <c r="B2883" s="1">
        <v>45670</v>
      </c>
      <c r="C2883" t="s">
        <v>22</v>
      </c>
      <c r="D2883" t="s">
        <v>13</v>
      </c>
      <c r="E2883" s="2">
        <v>27.7</v>
      </c>
      <c r="F2883" s="3">
        <v>79.88</v>
      </c>
      <c r="G2883" s="4">
        <v>482.75</v>
      </c>
      <c r="H2883">
        <v>2</v>
      </c>
      <c r="I2883" s="4">
        <v>965.5</v>
      </c>
      <c r="J2883">
        <v>3.5</v>
      </c>
      <c r="K2883" t="s">
        <v>30</v>
      </c>
      <c r="L2883" t="s">
        <v>16</v>
      </c>
      <c r="O2883"/>
    </row>
    <row r="2884" spans="1:15" x14ac:dyDescent="0.3">
      <c r="A2884" t="s">
        <v>2908</v>
      </c>
      <c r="B2884" s="1">
        <v>45868</v>
      </c>
      <c r="C2884" t="s">
        <v>22</v>
      </c>
      <c r="D2884" t="s">
        <v>25</v>
      </c>
      <c r="E2884" s="2">
        <v>20.46</v>
      </c>
      <c r="F2884" s="3">
        <v>80.12</v>
      </c>
      <c r="G2884" s="4">
        <v>362.07</v>
      </c>
      <c r="H2884">
        <v>1.5</v>
      </c>
      <c r="I2884" s="4">
        <v>543.1</v>
      </c>
      <c r="J2884">
        <v>3.3</v>
      </c>
      <c r="K2884" t="s">
        <v>36</v>
      </c>
      <c r="L2884" t="s">
        <v>19</v>
      </c>
      <c r="O2884"/>
    </row>
    <row r="2885" spans="1:15" x14ac:dyDescent="0.3">
      <c r="A2885" t="s">
        <v>2909</v>
      </c>
      <c r="B2885" s="1">
        <v>45855</v>
      </c>
      <c r="C2885" t="s">
        <v>21</v>
      </c>
      <c r="D2885" t="s">
        <v>22</v>
      </c>
      <c r="E2885" s="2">
        <v>14.59</v>
      </c>
      <c r="F2885" s="3">
        <v>54.49</v>
      </c>
      <c r="G2885" s="4">
        <v>269.73</v>
      </c>
      <c r="H2885">
        <v>1.5</v>
      </c>
      <c r="I2885" s="4">
        <v>404.6</v>
      </c>
      <c r="J2885">
        <v>4.7</v>
      </c>
      <c r="K2885" t="s">
        <v>15</v>
      </c>
      <c r="L2885" t="s">
        <v>26</v>
      </c>
      <c r="O2885"/>
    </row>
    <row r="2886" spans="1:15" x14ac:dyDescent="0.3">
      <c r="A2886" t="s">
        <v>2910</v>
      </c>
      <c r="B2886" s="1">
        <v>45898</v>
      </c>
      <c r="C2886" t="s">
        <v>14</v>
      </c>
      <c r="D2886" t="s">
        <v>21</v>
      </c>
      <c r="E2886" s="2">
        <v>6.59</v>
      </c>
      <c r="F2886" s="3">
        <v>22.25</v>
      </c>
      <c r="G2886" s="4">
        <v>83.85</v>
      </c>
      <c r="H2886">
        <v>1</v>
      </c>
      <c r="I2886" s="4">
        <v>83.85</v>
      </c>
      <c r="J2886">
        <v>3.4</v>
      </c>
      <c r="K2886" t="s">
        <v>33</v>
      </c>
      <c r="L2886" t="s">
        <v>16</v>
      </c>
      <c r="O2886"/>
    </row>
    <row r="2887" spans="1:15" x14ac:dyDescent="0.3">
      <c r="A2887" t="s">
        <v>2911</v>
      </c>
      <c r="B2887" s="1">
        <v>45755</v>
      </c>
      <c r="C2887" t="s">
        <v>13</v>
      </c>
      <c r="D2887" t="s">
        <v>21</v>
      </c>
      <c r="E2887" s="2">
        <v>23.42</v>
      </c>
      <c r="F2887" s="3">
        <v>51.52</v>
      </c>
      <c r="G2887" s="4">
        <v>440.57</v>
      </c>
      <c r="H2887">
        <v>1.5</v>
      </c>
      <c r="I2887" s="4">
        <v>660.86</v>
      </c>
      <c r="J2887">
        <v>3.5</v>
      </c>
      <c r="K2887" t="s">
        <v>18</v>
      </c>
      <c r="L2887" t="s">
        <v>16</v>
      </c>
      <c r="O2887"/>
    </row>
    <row r="2888" spans="1:15" x14ac:dyDescent="0.3">
      <c r="A2888" t="s">
        <v>2912</v>
      </c>
      <c r="B2888" s="1">
        <v>45853</v>
      </c>
      <c r="C2888" t="s">
        <v>13</v>
      </c>
      <c r="D2888" t="s">
        <v>13</v>
      </c>
      <c r="E2888" s="2">
        <v>15.14</v>
      </c>
      <c r="F2888" s="3">
        <v>41.37</v>
      </c>
      <c r="G2888" s="4">
        <v>249.12</v>
      </c>
      <c r="H2888">
        <v>1</v>
      </c>
      <c r="I2888" s="4">
        <v>249.12</v>
      </c>
      <c r="J2888">
        <v>4.4000000000000004</v>
      </c>
      <c r="K2888" t="s">
        <v>36</v>
      </c>
      <c r="L2888" t="s">
        <v>16</v>
      </c>
      <c r="O2888"/>
    </row>
    <row r="2889" spans="1:15" x14ac:dyDescent="0.3">
      <c r="A2889" t="s">
        <v>2913</v>
      </c>
      <c r="B2889" s="1">
        <v>45876</v>
      </c>
      <c r="C2889" t="s">
        <v>25</v>
      </c>
      <c r="D2889" t="s">
        <v>13</v>
      </c>
      <c r="E2889" s="2">
        <v>27.65</v>
      </c>
      <c r="F2889" s="3">
        <v>88.98</v>
      </c>
      <c r="G2889" s="4">
        <v>499.72</v>
      </c>
      <c r="H2889">
        <v>2</v>
      </c>
      <c r="I2889" s="4">
        <v>999.44</v>
      </c>
      <c r="J2889">
        <v>3.2</v>
      </c>
      <c r="K2889" t="s">
        <v>30</v>
      </c>
      <c r="L2889" t="s">
        <v>28</v>
      </c>
      <c r="O2889"/>
    </row>
    <row r="2890" spans="1:15" x14ac:dyDescent="0.3">
      <c r="A2890" t="s">
        <v>2914</v>
      </c>
      <c r="B2890" s="1">
        <v>45818</v>
      </c>
      <c r="C2890" t="s">
        <v>13</v>
      </c>
      <c r="D2890" t="s">
        <v>21</v>
      </c>
      <c r="E2890" s="2">
        <v>26.46</v>
      </c>
      <c r="F2890" s="3">
        <v>104.43</v>
      </c>
      <c r="G2890" s="4">
        <v>344.65</v>
      </c>
      <c r="H2890">
        <v>1.5</v>
      </c>
      <c r="I2890" s="4">
        <v>516.97</v>
      </c>
      <c r="J2890">
        <v>3.3</v>
      </c>
      <c r="K2890" t="s">
        <v>33</v>
      </c>
      <c r="L2890" t="s">
        <v>19</v>
      </c>
      <c r="O2890"/>
    </row>
    <row r="2891" spans="1:15" x14ac:dyDescent="0.3">
      <c r="A2891" t="s">
        <v>2915</v>
      </c>
      <c r="B2891" s="1">
        <v>45974</v>
      </c>
      <c r="C2891" t="s">
        <v>14</v>
      </c>
      <c r="D2891" t="s">
        <v>13</v>
      </c>
      <c r="E2891" s="2">
        <v>6.47</v>
      </c>
      <c r="F2891" s="3">
        <v>21.86</v>
      </c>
      <c r="G2891" s="4">
        <v>68.959999999999994</v>
      </c>
      <c r="H2891">
        <v>1.2</v>
      </c>
      <c r="I2891" s="4">
        <v>82.75</v>
      </c>
      <c r="J2891">
        <v>3.9</v>
      </c>
      <c r="K2891" t="s">
        <v>36</v>
      </c>
      <c r="L2891" t="s">
        <v>16</v>
      </c>
      <c r="O2891"/>
    </row>
    <row r="2892" spans="1:15" x14ac:dyDescent="0.3">
      <c r="A2892" t="s">
        <v>2916</v>
      </c>
      <c r="B2892" s="1">
        <v>45712</v>
      </c>
      <c r="C2892" t="s">
        <v>25</v>
      </c>
      <c r="D2892" t="s">
        <v>21</v>
      </c>
      <c r="E2892" s="2">
        <v>19.28</v>
      </c>
      <c r="F2892" s="3">
        <v>59.37</v>
      </c>
      <c r="G2892" s="4">
        <v>202.88</v>
      </c>
      <c r="H2892">
        <v>1.5</v>
      </c>
      <c r="I2892" s="4">
        <v>304.32</v>
      </c>
      <c r="J2892">
        <v>3.9</v>
      </c>
      <c r="K2892" t="s">
        <v>30</v>
      </c>
      <c r="L2892" t="s">
        <v>26</v>
      </c>
      <c r="O2892"/>
    </row>
    <row r="2893" spans="1:15" x14ac:dyDescent="0.3">
      <c r="A2893" t="s">
        <v>2917</v>
      </c>
      <c r="B2893" s="1">
        <v>45725</v>
      </c>
      <c r="C2893" t="s">
        <v>25</v>
      </c>
      <c r="D2893" t="s">
        <v>21</v>
      </c>
      <c r="E2893" s="2">
        <v>5.0599999999999996</v>
      </c>
      <c r="F2893" s="3">
        <v>16.91</v>
      </c>
      <c r="G2893" s="4">
        <v>62.56</v>
      </c>
      <c r="H2893">
        <v>1</v>
      </c>
      <c r="I2893" s="4">
        <v>62.56</v>
      </c>
      <c r="J2893">
        <v>3</v>
      </c>
      <c r="K2893" t="s">
        <v>36</v>
      </c>
      <c r="L2893" t="s">
        <v>28</v>
      </c>
      <c r="O2893"/>
    </row>
    <row r="2894" spans="1:15" x14ac:dyDescent="0.3">
      <c r="A2894" t="s">
        <v>2918</v>
      </c>
      <c r="B2894" s="1">
        <v>46015</v>
      </c>
      <c r="C2894" t="s">
        <v>21</v>
      </c>
      <c r="D2894" t="s">
        <v>21</v>
      </c>
      <c r="E2894" s="2">
        <v>5.4</v>
      </c>
      <c r="F2894" s="3">
        <v>11.79</v>
      </c>
      <c r="G2894" s="4">
        <v>66.95</v>
      </c>
      <c r="H2894">
        <v>1.2</v>
      </c>
      <c r="I2894" s="4">
        <v>80.34</v>
      </c>
      <c r="J2894">
        <v>4.5999999999999996</v>
      </c>
      <c r="K2894" t="s">
        <v>36</v>
      </c>
      <c r="L2894" t="s">
        <v>26</v>
      </c>
      <c r="O2894"/>
    </row>
    <row r="2895" spans="1:15" x14ac:dyDescent="0.3">
      <c r="A2895" t="s">
        <v>2919</v>
      </c>
      <c r="B2895" s="1">
        <v>45817</v>
      </c>
      <c r="C2895" t="s">
        <v>22</v>
      </c>
      <c r="D2895" t="s">
        <v>22</v>
      </c>
      <c r="E2895" s="2">
        <v>1.84</v>
      </c>
      <c r="F2895" s="3">
        <v>5.95</v>
      </c>
      <c r="G2895" s="4">
        <v>20.99</v>
      </c>
      <c r="H2895">
        <v>1</v>
      </c>
      <c r="I2895" s="4">
        <v>20.99</v>
      </c>
      <c r="J2895">
        <v>3.8</v>
      </c>
      <c r="K2895" t="s">
        <v>30</v>
      </c>
      <c r="L2895" t="s">
        <v>26</v>
      </c>
      <c r="O2895"/>
    </row>
    <row r="2896" spans="1:15" x14ac:dyDescent="0.3">
      <c r="A2896" t="s">
        <v>2920</v>
      </c>
      <c r="B2896" s="1">
        <v>45941</v>
      </c>
      <c r="C2896" t="s">
        <v>25</v>
      </c>
      <c r="D2896" t="s">
        <v>25</v>
      </c>
      <c r="E2896" s="2">
        <v>7.54</v>
      </c>
      <c r="F2896" s="3">
        <v>24.35</v>
      </c>
      <c r="G2896" s="4">
        <v>77.510000000000005</v>
      </c>
      <c r="H2896">
        <v>1.5</v>
      </c>
      <c r="I2896" s="4">
        <v>116.27</v>
      </c>
      <c r="J2896">
        <v>3.4</v>
      </c>
      <c r="K2896" t="s">
        <v>30</v>
      </c>
      <c r="L2896" t="s">
        <v>16</v>
      </c>
      <c r="O2896"/>
    </row>
    <row r="2897" spans="1:15" x14ac:dyDescent="0.3">
      <c r="A2897" t="s">
        <v>2921</v>
      </c>
      <c r="B2897" s="1">
        <v>46016</v>
      </c>
      <c r="C2897" t="s">
        <v>13</v>
      </c>
      <c r="D2897" t="s">
        <v>13</v>
      </c>
      <c r="E2897" s="2">
        <v>2.25</v>
      </c>
      <c r="F2897" s="3">
        <v>6.04</v>
      </c>
      <c r="G2897" s="4">
        <v>24.23</v>
      </c>
      <c r="H2897">
        <v>1</v>
      </c>
      <c r="I2897" s="4">
        <v>24.23</v>
      </c>
      <c r="J2897">
        <v>4.8</v>
      </c>
      <c r="K2897" t="s">
        <v>18</v>
      </c>
      <c r="L2897" t="s">
        <v>19</v>
      </c>
      <c r="O2897"/>
    </row>
    <row r="2898" spans="1:15" x14ac:dyDescent="0.3">
      <c r="A2898" t="s">
        <v>2922</v>
      </c>
      <c r="B2898" s="1">
        <v>45938</v>
      </c>
      <c r="C2898" t="s">
        <v>22</v>
      </c>
      <c r="D2898" t="s">
        <v>21</v>
      </c>
      <c r="E2898" s="2">
        <v>14.63</v>
      </c>
      <c r="F2898" s="3">
        <v>40.49</v>
      </c>
      <c r="G2898" s="4">
        <v>163.72999999999999</v>
      </c>
      <c r="H2898">
        <v>2</v>
      </c>
      <c r="I2898" s="4">
        <v>327.45999999999998</v>
      </c>
      <c r="J2898">
        <v>3.4</v>
      </c>
      <c r="K2898" t="s">
        <v>33</v>
      </c>
      <c r="L2898" t="s">
        <v>26</v>
      </c>
      <c r="O2898"/>
    </row>
    <row r="2899" spans="1:15" x14ac:dyDescent="0.3">
      <c r="A2899" t="s">
        <v>2923</v>
      </c>
      <c r="B2899" s="1">
        <v>45981</v>
      </c>
      <c r="C2899" t="s">
        <v>22</v>
      </c>
      <c r="D2899" t="s">
        <v>21</v>
      </c>
      <c r="E2899" s="2">
        <v>24.42</v>
      </c>
      <c r="F2899" s="3">
        <v>55.45</v>
      </c>
      <c r="G2899" s="4">
        <v>389.59</v>
      </c>
      <c r="H2899">
        <v>2</v>
      </c>
      <c r="I2899" s="4">
        <v>779.18</v>
      </c>
      <c r="J2899">
        <v>4.2</v>
      </c>
      <c r="K2899" t="s">
        <v>36</v>
      </c>
      <c r="L2899" t="s">
        <v>16</v>
      </c>
      <c r="O2899"/>
    </row>
    <row r="2900" spans="1:15" x14ac:dyDescent="0.3">
      <c r="A2900" t="s">
        <v>2924</v>
      </c>
      <c r="B2900" s="1">
        <v>45692</v>
      </c>
      <c r="C2900" t="s">
        <v>14</v>
      </c>
      <c r="D2900" t="s">
        <v>25</v>
      </c>
      <c r="E2900" s="2">
        <v>3.21</v>
      </c>
      <c r="F2900" s="3">
        <v>10.63</v>
      </c>
      <c r="G2900" s="4">
        <v>47.78</v>
      </c>
      <c r="H2900">
        <v>2</v>
      </c>
      <c r="I2900" s="4">
        <v>95.56</v>
      </c>
      <c r="J2900">
        <v>4</v>
      </c>
      <c r="K2900" t="s">
        <v>18</v>
      </c>
      <c r="L2900" t="s">
        <v>19</v>
      </c>
      <c r="O2900"/>
    </row>
    <row r="2901" spans="1:15" x14ac:dyDescent="0.3">
      <c r="A2901" t="s">
        <v>2925</v>
      </c>
      <c r="B2901" s="1">
        <v>45689</v>
      </c>
      <c r="C2901" t="s">
        <v>21</v>
      </c>
      <c r="D2901" t="s">
        <v>22</v>
      </c>
      <c r="E2901" s="2">
        <v>28.71</v>
      </c>
      <c r="F2901" s="3">
        <v>106.61</v>
      </c>
      <c r="G2901" s="4">
        <v>529.37</v>
      </c>
      <c r="H2901">
        <v>1.2</v>
      </c>
      <c r="I2901" s="4">
        <v>635.24</v>
      </c>
      <c r="J2901">
        <v>3.9</v>
      </c>
      <c r="K2901" t="s">
        <v>30</v>
      </c>
      <c r="L2901" t="s">
        <v>19</v>
      </c>
      <c r="O2901"/>
    </row>
    <row r="2902" spans="1:15" x14ac:dyDescent="0.3">
      <c r="A2902" t="s">
        <v>2926</v>
      </c>
      <c r="B2902" s="1">
        <v>45888</v>
      </c>
      <c r="C2902" t="s">
        <v>13</v>
      </c>
      <c r="D2902" t="s">
        <v>21</v>
      </c>
      <c r="E2902" s="2">
        <v>12.61</v>
      </c>
      <c r="F2902" s="3">
        <v>29.33</v>
      </c>
      <c r="G2902" s="4">
        <v>228.51</v>
      </c>
      <c r="H2902">
        <v>1.2</v>
      </c>
      <c r="I2902" s="4">
        <v>274.20999999999998</v>
      </c>
      <c r="J2902">
        <v>4.8</v>
      </c>
      <c r="K2902" t="s">
        <v>36</v>
      </c>
      <c r="L2902" t="s">
        <v>28</v>
      </c>
      <c r="O2902"/>
    </row>
    <row r="2903" spans="1:15" x14ac:dyDescent="0.3">
      <c r="A2903" t="s">
        <v>2927</v>
      </c>
      <c r="B2903" s="1">
        <v>45977</v>
      </c>
      <c r="C2903" t="s">
        <v>25</v>
      </c>
      <c r="D2903" t="s">
        <v>22</v>
      </c>
      <c r="E2903" s="2">
        <v>13.15</v>
      </c>
      <c r="F2903" s="3">
        <v>41.63</v>
      </c>
      <c r="G2903" s="4">
        <v>150.84</v>
      </c>
      <c r="H2903">
        <v>1.2</v>
      </c>
      <c r="I2903" s="4">
        <v>181.01</v>
      </c>
      <c r="J2903">
        <v>3.1</v>
      </c>
      <c r="K2903" t="s">
        <v>15</v>
      </c>
      <c r="L2903" t="s">
        <v>28</v>
      </c>
      <c r="O2903"/>
    </row>
    <row r="2904" spans="1:15" x14ac:dyDescent="0.3">
      <c r="A2904" t="s">
        <v>2928</v>
      </c>
      <c r="B2904" s="1">
        <v>45866</v>
      </c>
      <c r="C2904" t="s">
        <v>14</v>
      </c>
      <c r="D2904" t="s">
        <v>22</v>
      </c>
      <c r="E2904" s="2">
        <v>27.2</v>
      </c>
      <c r="F2904" s="3">
        <v>54.86</v>
      </c>
      <c r="G2904" s="4">
        <v>330.94</v>
      </c>
      <c r="H2904">
        <v>2</v>
      </c>
      <c r="I2904" s="4">
        <v>661.88</v>
      </c>
      <c r="J2904">
        <v>3.8</v>
      </c>
      <c r="K2904" t="s">
        <v>15</v>
      </c>
      <c r="L2904" t="s">
        <v>26</v>
      </c>
      <c r="O2904"/>
    </row>
    <row r="2905" spans="1:15" x14ac:dyDescent="0.3">
      <c r="A2905" t="s">
        <v>2929</v>
      </c>
      <c r="B2905" s="1">
        <v>45982</v>
      </c>
      <c r="C2905" t="s">
        <v>14</v>
      </c>
      <c r="D2905" t="s">
        <v>25</v>
      </c>
      <c r="E2905" s="2">
        <v>26.94</v>
      </c>
      <c r="F2905" s="3">
        <v>56.96</v>
      </c>
      <c r="G2905" s="4">
        <v>430.22</v>
      </c>
      <c r="H2905">
        <v>1</v>
      </c>
      <c r="I2905" s="4">
        <v>430.22</v>
      </c>
      <c r="J2905">
        <v>3.8</v>
      </c>
      <c r="K2905" t="s">
        <v>36</v>
      </c>
      <c r="L2905" t="s">
        <v>19</v>
      </c>
      <c r="O2905"/>
    </row>
    <row r="2906" spans="1:15" x14ac:dyDescent="0.3">
      <c r="A2906" t="s">
        <v>2930</v>
      </c>
      <c r="B2906" s="1">
        <v>45860</v>
      </c>
      <c r="C2906" t="s">
        <v>13</v>
      </c>
      <c r="D2906" t="s">
        <v>22</v>
      </c>
      <c r="E2906" s="2">
        <v>15.89</v>
      </c>
      <c r="F2906" s="3">
        <v>51.15</v>
      </c>
      <c r="G2906" s="4">
        <v>189.3</v>
      </c>
      <c r="H2906">
        <v>1</v>
      </c>
      <c r="I2906" s="4">
        <v>189.3</v>
      </c>
      <c r="J2906">
        <v>4.3</v>
      </c>
      <c r="K2906" t="s">
        <v>18</v>
      </c>
      <c r="L2906" t="s">
        <v>16</v>
      </c>
      <c r="O2906"/>
    </row>
    <row r="2907" spans="1:15" x14ac:dyDescent="0.3">
      <c r="A2907" t="s">
        <v>2931</v>
      </c>
      <c r="B2907" s="1">
        <v>46019</v>
      </c>
      <c r="C2907" t="s">
        <v>21</v>
      </c>
      <c r="D2907" t="s">
        <v>13</v>
      </c>
      <c r="E2907" s="2">
        <v>14.58</v>
      </c>
      <c r="F2907" s="3">
        <v>54.18</v>
      </c>
      <c r="G2907" s="4">
        <v>195.72</v>
      </c>
      <c r="H2907">
        <v>1.5</v>
      </c>
      <c r="I2907" s="4">
        <v>293.58</v>
      </c>
      <c r="J2907">
        <v>4</v>
      </c>
      <c r="K2907" t="s">
        <v>30</v>
      </c>
      <c r="L2907" t="s">
        <v>28</v>
      </c>
      <c r="O2907"/>
    </row>
    <row r="2908" spans="1:15" x14ac:dyDescent="0.3">
      <c r="A2908" t="s">
        <v>2932</v>
      </c>
      <c r="B2908" s="1">
        <v>45883</v>
      </c>
      <c r="C2908" t="s">
        <v>14</v>
      </c>
      <c r="D2908" t="s">
        <v>13</v>
      </c>
      <c r="E2908" s="2">
        <v>1.84</v>
      </c>
      <c r="F2908" s="3">
        <v>6.52</v>
      </c>
      <c r="G2908" s="4">
        <v>20.43</v>
      </c>
      <c r="H2908">
        <v>1</v>
      </c>
      <c r="I2908" s="4">
        <v>20.43</v>
      </c>
      <c r="J2908">
        <v>3.8</v>
      </c>
      <c r="K2908" t="s">
        <v>33</v>
      </c>
      <c r="L2908" t="s">
        <v>28</v>
      </c>
      <c r="O2908"/>
    </row>
    <row r="2909" spans="1:15" x14ac:dyDescent="0.3">
      <c r="A2909" t="s">
        <v>2933</v>
      </c>
      <c r="B2909" s="1">
        <v>45732</v>
      </c>
      <c r="C2909" t="s">
        <v>14</v>
      </c>
      <c r="D2909" t="s">
        <v>21</v>
      </c>
      <c r="E2909" s="2">
        <v>8.81</v>
      </c>
      <c r="F2909" s="3">
        <v>32.06</v>
      </c>
      <c r="G2909" s="4">
        <v>150.71</v>
      </c>
      <c r="H2909">
        <v>2</v>
      </c>
      <c r="I2909" s="4">
        <v>301.42</v>
      </c>
      <c r="J2909">
        <v>3.2</v>
      </c>
      <c r="K2909" t="s">
        <v>18</v>
      </c>
      <c r="L2909" t="s">
        <v>28</v>
      </c>
      <c r="O2909"/>
    </row>
    <row r="2910" spans="1:15" x14ac:dyDescent="0.3">
      <c r="A2910" t="s">
        <v>2934</v>
      </c>
      <c r="B2910" s="1">
        <v>45991</v>
      </c>
      <c r="C2910" t="s">
        <v>13</v>
      </c>
      <c r="D2910" t="s">
        <v>13</v>
      </c>
      <c r="E2910" s="2">
        <v>13.13</v>
      </c>
      <c r="F2910" s="3">
        <v>44.61</v>
      </c>
      <c r="G2910" s="4">
        <v>262.52999999999997</v>
      </c>
      <c r="H2910">
        <v>1</v>
      </c>
      <c r="I2910" s="4">
        <v>262.52999999999997</v>
      </c>
      <c r="J2910">
        <v>3.1</v>
      </c>
      <c r="K2910" t="s">
        <v>33</v>
      </c>
      <c r="L2910" t="s">
        <v>28</v>
      </c>
      <c r="O2910"/>
    </row>
    <row r="2911" spans="1:15" x14ac:dyDescent="0.3">
      <c r="A2911" t="s">
        <v>2935</v>
      </c>
      <c r="B2911" s="1">
        <v>45803</v>
      </c>
      <c r="C2911" t="s">
        <v>21</v>
      </c>
      <c r="D2911" t="s">
        <v>21</v>
      </c>
      <c r="E2911" s="2">
        <v>11.83</v>
      </c>
      <c r="F2911" s="3">
        <v>25.5</v>
      </c>
      <c r="G2911" s="4">
        <v>188.88</v>
      </c>
      <c r="H2911">
        <v>1.2</v>
      </c>
      <c r="I2911" s="4">
        <v>226.66</v>
      </c>
      <c r="J2911">
        <v>4.9000000000000004</v>
      </c>
      <c r="K2911" t="s">
        <v>36</v>
      </c>
      <c r="L2911" t="s">
        <v>28</v>
      </c>
      <c r="O2911"/>
    </row>
    <row r="2912" spans="1:15" x14ac:dyDescent="0.3">
      <c r="A2912" t="s">
        <v>2936</v>
      </c>
      <c r="B2912" s="1">
        <v>46003</v>
      </c>
      <c r="C2912" t="s">
        <v>22</v>
      </c>
      <c r="D2912" t="s">
        <v>21</v>
      </c>
      <c r="E2912" s="2">
        <v>22.54</v>
      </c>
      <c r="F2912" s="3">
        <v>67.17</v>
      </c>
      <c r="G2912" s="4">
        <v>322.37</v>
      </c>
      <c r="H2912">
        <v>1</v>
      </c>
      <c r="I2912" s="4">
        <v>322.37</v>
      </c>
      <c r="J2912">
        <v>4.2</v>
      </c>
      <c r="K2912" t="s">
        <v>36</v>
      </c>
      <c r="L2912" t="s">
        <v>26</v>
      </c>
      <c r="O2912"/>
    </row>
    <row r="2913" spans="1:15" x14ac:dyDescent="0.3">
      <c r="A2913" t="s">
        <v>2937</v>
      </c>
      <c r="B2913" s="1">
        <v>45878</v>
      </c>
      <c r="C2913" t="s">
        <v>14</v>
      </c>
      <c r="D2913" t="s">
        <v>13</v>
      </c>
      <c r="E2913" s="2">
        <v>29.07</v>
      </c>
      <c r="F2913" s="3">
        <v>97.76</v>
      </c>
      <c r="G2913" s="4">
        <v>382.33</v>
      </c>
      <c r="H2913">
        <v>1.2</v>
      </c>
      <c r="I2913" s="4">
        <v>458.8</v>
      </c>
      <c r="J2913">
        <v>3.9</v>
      </c>
      <c r="K2913" t="s">
        <v>15</v>
      </c>
      <c r="L2913" t="s">
        <v>28</v>
      </c>
      <c r="O2913"/>
    </row>
    <row r="2914" spans="1:15" x14ac:dyDescent="0.3">
      <c r="A2914" t="s">
        <v>2938</v>
      </c>
      <c r="B2914" s="1">
        <v>45702</v>
      </c>
      <c r="C2914" t="s">
        <v>13</v>
      </c>
      <c r="D2914" t="s">
        <v>14</v>
      </c>
      <c r="E2914" s="2">
        <v>9.66</v>
      </c>
      <c r="F2914" s="3">
        <v>22.39</v>
      </c>
      <c r="G2914" s="4">
        <v>101.17</v>
      </c>
      <c r="H2914">
        <v>2</v>
      </c>
      <c r="I2914" s="4">
        <v>202.34</v>
      </c>
      <c r="J2914">
        <v>4.7</v>
      </c>
      <c r="K2914" t="s">
        <v>33</v>
      </c>
      <c r="L2914" t="s">
        <v>19</v>
      </c>
      <c r="O2914"/>
    </row>
    <row r="2915" spans="1:15" x14ac:dyDescent="0.3">
      <c r="A2915" t="s">
        <v>2939</v>
      </c>
      <c r="B2915" s="1">
        <v>45938</v>
      </c>
      <c r="C2915" t="s">
        <v>14</v>
      </c>
      <c r="D2915" t="s">
        <v>25</v>
      </c>
      <c r="E2915" s="2">
        <v>23.8</v>
      </c>
      <c r="F2915" s="3">
        <v>55.66</v>
      </c>
      <c r="G2915" s="4">
        <v>263.83999999999997</v>
      </c>
      <c r="H2915">
        <v>2</v>
      </c>
      <c r="I2915" s="4">
        <v>527.67999999999995</v>
      </c>
      <c r="J2915">
        <v>4.5999999999999996</v>
      </c>
      <c r="K2915" t="s">
        <v>30</v>
      </c>
      <c r="L2915" t="s">
        <v>28</v>
      </c>
      <c r="O2915"/>
    </row>
    <row r="2916" spans="1:15" x14ac:dyDescent="0.3">
      <c r="A2916" t="s">
        <v>2940</v>
      </c>
      <c r="B2916" s="1">
        <v>45785</v>
      </c>
      <c r="C2916" t="s">
        <v>14</v>
      </c>
      <c r="D2916" t="s">
        <v>13</v>
      </c>
      <c r="E2916" s="2">
        <v>28.59</v>
      </c>
      <c r="F2916" s="3">
        <v>98.02</v>
      </c>
      <c r="G2916" s="4">
        <v>379.32</v>
      </c>
      <c r="H2916">
        <v>2</v>
      </c>
      <c r="I2916" s="4">
        <v>758.64</v>
      </c>
      <c r="J2916">
        <v>4.5</v>
      </c>
      <c r="K2916" t="s">
        <v>36</v>
      </c>
      <c r="L2916" t="s">
        <v>19</v>
      </c>
      <c r="O2916"/>
    </row>
    <row r="2917" spans="1:15" x14ac:dyDescent="0.3">
      <c r="A2917" t="s">
        <v>2941</v>
      </c>
      <c r="B2917" s="1">
        <v>45872</v>
      </c>
      <c r="C2917" t="s">
        <v>21</v>
      </c>
      <c r="D2917" t="s">
        <v>14</v>
      </c>
      <c r="E2917" s="2">
        <v>3.3</v>
      </c>
      <c r="F2917" s="3">
        <v>7.38</v>
      </c>
      <c r="G2917" s="4">
        <v>38.799999999999997</v>
      </c>
      <c r="H2917">
        <v>1.5</v>
      </c>
      <c r="I2917" s="4">
        <v>58.2</v>
      </c>
      <c r="J2917">
        <v>4</v>
      </c>
      <c r="K2917" t="s">
        <v>36</v>
      </c>
      <c r="L2917" t="s">
        <v>28</v>
      </c>
      <c r="O2917"/>
    </row>
    <row r="2918" spans="1:15" x14ac:dyDescent="0.3">
      <c r="A2918" t="s">
        <v>2942</v>
      </c>
      <c r="B2918" s="1">
        <v>45890</v>
      </c>
      <c r="C2918" t="s">
        <v>14</v>
      </c>
      <c r="D2918" t="s">
        <v>13</v>
      </c>
      <c r="E2918" s="2">
        <v>7.1</v>
      </c>
      <c r="F2918" s="3">
        <v>15.45</v>
      </c>
      <c r="G2918" s="4">
        <v>82.06</v>
      </c>
      <c r="H2918">
        <v>1.2</v>
      </c>
      <c r="I2918" s="4">
        <v>98.47</v>
      </c>
      <c r="J2918">
        <v>3.4</v>
      </c>
      <c r="K2918" t="s">
        <v>30</v>
      </c>
      <c r="L2918" t="s">
        <v>16</v>
      </c>
      <c r="O2918"/>
    </row>
    <row r="2919" spans="1:15" x14ac:dyDescent="0.3">
      <c r="A2919" t="s">
        <v>2943</v>
      </c>
      <c r="B2919" s="1">
        <v>45934</v>
      </c>
      <c r="C2919" t="s">
        <v>14</v>
      </c>
      <c r="D2919" t="s">
        <v>25</v>
      </c>
      <c r="E2919" s="2">
        <v>3.13</v>
      </c>
      <c r="F2919" s="3">
        <v>8.0399999999999991</v>
      </c>
      <c r="G2919" s="4">
        <v>38.909999999999997</v>
      </c>
      <c r="H2919">
        <v>1</v>
      </c>
      <c r="I2919" s="4">
        <v>38.909999999999997</v>
      </c>
      <c r="J2919">
        <v>4.5999999999999996</v>
      </c>
      <c r="K2919" t="s">
        <v>18</v>
      </c>
      <c r="L2919" t="s">
        <v>16</v>
      </c>
      <c r="O2919"/>
    </row>
    <row r="2920" spans="1:15" x14ac:dyDescent="0.3">
      <c r="A2920" t="s">
        <v>2944</v>
      </c>
      <c r="B2920" s="1">
        <v>45815</v>
      </c>
      <c r="C2920" t="s">
        <v>14</v>
      </c>
      <c r="D2920" t="s">
        <v>22</v>
      </c>
      <c r="E2920" s="2">
        <v>17.329999999999998</v>
      </c>
      <c r="F2920" s="3">
        <v>46.86</v>
      </c>
      <c r="G2920" s="4">
        <v>278.33</v>
      </c>
      <c r="H2920">
        <v>2</v>
      </c>
      <c r="I2920" s="4">
        <v>556.66</v>
      </c>
      <c r="J2920">
        <v>4.3</v>
      </c>
      <c r="K2920" t="s">
        <v>36</v>
      </c>
      <c r="L2920" t="s">
        <v>19</v>
      </c>
      <c r="O2920"/>
    </row>
    <row r="2921" spans="1:15" x14ac:dyDescent="0.3">
      <c r="A2921" t="s">
        <v>2945</v>
      </c>
      <c r="B2921" s="1">
        <v>45725</v>
      </c>
      <c r="C2921" t="s">
        <v>21</v>
      </c>
      <c r="D2921" t="s">
        <v>21</v>
      </c>
      <c r="E2921" s="2">
        <v>1.5</v>
      </c>
      <c r="F2921" s="3">
        <v>4.22</v>
      </c>
      <c r="G2921" s="4">
        <v>18.420000000000002</v>
      </c>
      <c r="H2921">
        <v>2</v>
      </c>
      <c r="I2921" s="4">
        <v>36.840000000000003</v>
      </c>
      <c r="J2921">
        <v>3.8</v>
      </c>
      <c r="K2921" t="s">
        <v>15</v>
      </c>
      <c r="L2921" t="s">
        <v>16</v>
      </c>
      <c r="O2921"/>
    </row>
    <row r="2922" spans="1:15" x14ac:dyDescent="0.3">
      <c r="A2922" t="s">
        <v>2946</v>
      </c>
      <c r="B2922" s="1">
        <v>45730</v>
      </c>
      <c r="C2922" t="s">
        <v>25</v>
      </c>
      <c r="D2922" t="s">
        <v>13</v>
      </c>
      <c r="E2922" s="2">
        <v>29.86</v>
      </c>
      <c r="F2922" s="3">
        <v>70.34</v>
      </c>
      <c r="G2922" s="4">
        <v>461.76</v>
      </c>
      <c r="H2922">
        <v>2</v>
      </c>
      <c r="I2922" s="4">
        <v>923.52</v>
      </c>
      <c r="J2922">
        <v>4.8</v>
      </c>
      <c r="K2922" t="s">
        <v>30</v>
      </c>
      <c r="L2922" t="s">
        <v>16</v>
      </c>
      <c r="O2922"/>
    </row>
    <row r="2923" spans="1:15" x14ac:dyDescent="0.3">
      <c r="A2923" t="s">
        <v>2947</v>
      </c>
      <c r="B2923" s="1">
        <v>45898</v>
      </c>
      <c r="C2923" t="s">
        <v>25</v>
      </c>
      <c r="D2923" t="s">
        <v>13</v>
      </c>
      <c r="E2923" s="2">
        <v>2.69</v>
      </c>
      <c r="F2923" s="3">
        <v>8.2100000000000009</v>
      </c>
      <c r="G2923" s="4">
        <v>41.41</v>
      </c>
      <c r="H2923">
        <v>2</v>
      </c>
      <c r="I2923" s="4">
        <v>82.82</v>
      </c>
      <c r="J2923">
        <v>3.6</v>
      </c>
      <c r="K2923" t="s">
        <v>36</v>
      </c>
      <c r="L2923" t="s">
        <v>16</v>
      </c>
      <c r="O2923"/>
    </row>
    <row r="2924" spans="1:15" x14ac:dyDescent="0.3">
      <c r="A2924" t="s">
        <v>2948</v>
      </c>
      <c r="B2924" s="1">
        <v>45880</v>
      </c>
      <c r="C2924" t="s">
        <v>25</v>
      </c>
      <c r="D2924" t="s">
        <v>21</v>
      </c>
      <c r="E2924" s="2">
        <v>7.97</v>
      </c>
      <c r="F2924" s="3">
        <v>22.42</v>
      </c>
      <c r="G2924" s="4">
        <v>148.71</v>
      </c>
      <c r="H2924">
        <v>1.2</v>
      </c>
      <c r="I2924" s="4">
        <v>178.45</v>
      </c>
      <c r="J2924">
        <v>3.8</v>
      </c>
      <c r="K2924" t="s">
        <v>36</v>
      </c>
      <c r="L2924" t="s">
        <v>28</v>
      </c>
      <c r="O2924"/>
    </row>
    <row r="2925" spans="1:15" x14ac:dyDescent="0.3">
      <c r="A2925" t="s">
        <v>2949</v>
      </c>
      <c r="B2925" s="1">
        <v>45666</v>
      </c>
      <c r="C2925" t="s">
        <v>13</v>
      </c>
      <c r="D2925" t="s">
        <v>22</v>
      </c>
      <c r="E2925" s="2">
        <v>28.82</v>
      </c>
      <c r="F2925" s="3">
        <v>57.98</v>
      </c>
      <c r="G2925" s="4">
        <v>301.95</v>
      </c>
      <c r="H2925">
        <v>2</v>
      </c>
      <c r="I2925" s="4">
        <v>603.9</v>
      </c>
      <c r="J2925">
        <v>4.8</v>
      </c>
      <c r="K2925" t="s">
        <v>15</v>
      </c>
      <c r="L2925" t="s">
        <v>19</v>
      </c>
      <c r="O2925"/>
    </row>
    <row r="2926" spans="1:15" x14ac:dyDescent="0.3">
      <c r="A2926" t="s">
        <v>2950</v>
      </c>
      <c r="B2926" s="1">
        <v>45673</v>
      </c>
      <c r="C2926" t="s">
        <v>25</v>
      </c>
      <c r="D2926" t="s">
        <v>14</v>
      </c>
      <c r="E2926" s="2">
        <v>25.07</v>
      </c>
      <c r="F2926" s="3">
        <v>94.9</v>
      </c>
      <c r="G2926" s="4">
        <v>297.54000000000002</v>
      </c>
      <c r="H2926">
        <v>2</v>
      </c>
      <c r="I2926" s="4">
        <v>595.08000000000004</v>
      </c>
      <c r="J2926">
        <v>4.0999999999999996</v>
      </c>
      <c r="K2926" t="s">
        <v>30</v>
      </c>
      <c r="L2926" t="s">
        <v>26</v>
      </c>
      <c r="O2926"/>
    </row>
    <row r="2927" spans="1:15" x14ac:dyDescent="0.3">
      <c r="A2927" t="s">
        <v>2951</v>
      </c>
      <c r="B2927" s="1">
        <v>45933</v>
      </c>
      <c r="C2927" t="s">
        <v>25</v>
      </c>
      <c r="D2927" t="s">
        <v>14</v>
      </c>
      <c r="E2927" s="2">
        <v>14.45</v>
      </c>
      <c r="F2927" s="3">
        <v>31.89</v>
      </c>
      <c r="G2927" s="4">
        <v>210.65</v>
      </c>
      <c r="H2927">
        <v>1.2</v>
      </c>
      <c r="I2927" s="4">
        <v>252.78</v>
      </c>
      <c r="J2927">
        <v>5</v>
      </c>
      <c r="K2927" t="s">
        <v>18</v>
      </c>
      <c r="L2927" t="s">
        <v>26</v>
      </c>
      <c r="O2927"/>
    </row>
    <row r="2928" spans="1:15" x14ac:dyDescent="0.3">
      <c r="A2928" t="s">
        <v>2952</v>
      </c>
      <c r="B2928" s="1">
        <v>45727</v>
      </c>
      <c r="C2928" t="s">
        <v>14</v>
      </c>
      <c r="D2928" t="s">
        <v>22</v>
      </c>
      <c r="E2928" s="2">
        <v>13.72</v>
      </c>
      <c r="F2928" s="3">
        <v>27.92</v>
      </c>
      <c r="G2928" s="4">
        <v>273.58</v>
      </c>
      <c r="H2928">
        <v>1.2</v>
      </c>
      <c r="I2928" s="4">
        <v>328.3</v>
      </c>
      <c r="J2928">
        <v>4.5999999999999996</v>
      </c>
      <c r="K2928" t="s">
        <v>33</v>
      </c>
      <c r="L2928" t="s">
        <v>19</v>
      </c>
      <c r="O2928"/>
    </row>
    <row r="2929" spans="1:15" x14ac:dyDescent="0.3">
      <c r="A2929" t="s">
        <v>2953</v>
      </c>
      <c r="B2929" s="1">
        <v>45946</v>
      </c>
      <c r="C2929" t="s">
        <v>14</v>
      </c>
      <c r="D2929" t="s">
        <v>13</v>
      </c>
      <c r="E2929" s="2">
        <v>28.68</v>
      </c>
      <c r="F2929" s="3">
        <v>66.3</v>
      </c>
      <c r="G2929" s="4">
        <v>341.07</v>
      </c>
      <c r="H2929">
        <v>2</v>
      </c>
      <c r="I2929" s="4">
        <v>682.14</v>
      </c>
      <c r="J2929">
        <v>4.5999999999999996</v>
      </c>
      <c r="K2929" t="s">
        <v>36</v>
      </c>
      <c r="L2929" t="s">
        <v>28</v>
      </c>
      <c r="O2929"/>
    </row>
    <row r="2930" spans="1:15" x14ac:dyDescent="0.3">
      <c r="A2930" t="s">
        <v>2954</v>
      </c>
      <c r="B2930" s="1">
        <v>45897</v>
      </c>
      <c r="C2930" t="s">
        <v>14</v>
      </c>
      <c r="D2930" t="s">
        <v>21</v>
      </c>
      <c r="E2930" s="2">
        <v>24.18</v>
      </c>
      <c r="F2930" s="3">
        <v>61.49</v>
      </c>
      <c r="G2930" s="4">
        <v>249.82</v>
      </c>
      <c r="H2930">
        <v>1.2</v>
      </c>
      <c r="I2930" s="4">
        <v>299.77999999999997</v>
      </c>
      <c r="J2930">
        <v>4.2</v>
      </c>
      <c r="K2930" t="s">
        <v>18</v>
      </c>
      <c r="L2930" t="s">
        <v>19</v>
      </c>
      <c r="O2930"/>
    </row>
    <row r="2931" spans="1:15" x14ac:dyDescent="0.3">
      <c r="A2931" t="s">
        <v>2955</v>
      </c>
      <c r="B2931" s="1">
        <v>45734</v>
      </c>
      <c r="C2931" t="s">
        <v>13</v>
      </c>
      <c r="D2931" t="s">
        <v>14</v>
      </c>
      <c r="E2931" s="2">
        <v>22.98</v>
      </c>
      <c r="F2931" s="3">
        <v>75.430000000000007</v>
      </c>
      <c r="G2931" s="4">
        <v>442.04</v>
      </c>
      <c r="H2931">
        <v>1.5</v>
      </c>
      <c r="I2931" s="4">
        <v>663.06</v>
      </c>
      <c r="J2931">
        <v>3.7</v>
      </c>
      <c r="K2931" t="s">
        <v>33</v>
      </c>
      <c r="L2931" t="s">
        <v>16</v>
      </c>
      <c r="O2931"/>
    </row>
    <row r="2932" spans="1:15" x14ac:dyDescent="0.3">
      <c r="A2932" t="s">
        <v>2956</v>
      </c>
      <c r="B2932" s="1">
        <v>45939</v>
      </c>
      <c r="C2932" t="s">
        <v>14</v>
      </c>
      <c r="D2932" t="s">
        <v>14</v>
      </c>
      <c r="E2932" s="2">
        <v>19.61</v>
      </c>
      <c r="F2932" s="3">
        <v>65.459999999999994</v>
      </c>
      <c r="G2932" s="4">
        <v>359.31</v>
      </c>
      <c r="H2932">
        <v>2</v>
      </c>
      <c r="I2932" s="4">
        <v>718.62</v>
      </c>
      <c r="J2932">
        <v>4.7</v>
      </c>
      <c r="K2932" t="s">
        <v>30</v>
      </c>
      <c r="L2932" t="s">
        <v>16</v>
      </c>
      <c r="O2932"/>
    </row>
    <row r="2933" spans="1:15" x14ac:dyDescent="0.3">
      <c r="A2933" t="s">
        <v>2957</v>
      </c>
      <c r="B2933" s="1">
        <v>45993</v>
      </c>
      <c r="C2933" t="s">
        <v>13</v>
      </c>
      <c r="D2933" t="s">
        <v>14</v>
      </c>
      <c r="E2933" s="2">
        <v>19.46</v>
      </c>
      <c r="F2933" s="3">
        <v>50.52</v>
      </c>
      <c r="G2933" s="4">
        <v>230.13</v>
      </c>
      <c r="H2933">
        <v>1.2</v>
      </c>
      <c r="I2933" s="4">
        <v>276.16000000000003</v>
      </c>
      <c r="J2933">
        <v>4.5</v>
      </c>
      <c r="K2933" t="s">
        <v>15</v>
      </c>
      <c r="L2933" t="s">
        <v>19</v>
      </c>
      <c r="O2933"/>
    </row>
    <row r="2934" spans="1:15" x14ac:dyDescent="0.3">
      <c r="A2934" t="s">
        <v>2958</v>
      </c>
      <c r="B2934" s="1">
        <v>45932</v>
      </c>
      <c r="C2934" t="s">
        <v>25</v>
      </c>
      <c r="D2934" t="s">
        <v>14</v>
      </c>
      <c r="E2934" s="2">
        <v>12.87</v>
      </c>
      <c r="F2934" s="3">
        <v>35.93</v>
      </c>
      <c r="G2934" s="4">
        <v>251.51</v>
      </c>
      <c r="H2934">
        <v>1.5</v>
      </c>
      <c r="I2934" s="4">
        <v>377.26</v>
      </c>
      <c r="J2934">
        <v>4.5</v>
      </c>
      <c r="K2934" t="s">
        <v>15</v>
      </c>
      <c r="L2934" t="s">
        <v>16</v>
      </c>
      <c r="O2934"/>
    </row>
    <row r="2935" spans="1:15" x14ac:dyDescent="0.3">
      <c r="A2935" t="s">
        <v>2959</v>
      </c>
      <c r="B2935" s="1">
        <v>45809</v>
      </c>
      <c r="C2935" t="s">
        <v>25</v>
      </c>
      <c r="D2935" t="s">
        <v>13</v>
      </c>
      <c r="E2935" s="2">
        <v>15.09</v>
      </c>
      <c r="F2935" s="3">
        <v>42.47</v>
      </c>
      <c r="G2935" s="4">
        <v>249.07</v>
      </c>
      <c r="H2935">
        <v>1.5</v>
      </c>
      <c r="I2935" s="4">
        <v>373.6</v>
      </c>
      <c r="J2935">
        <v>3.4</v>
      </c>
      <c r="K2935" t="s">
        <v>33</v>
      </c>
      <c r="L2935" t="s">
        <v>19</v>
      </c>
      <c r="O2935"/>
    </row>
    <row r="2936" spans="1:15" x14ac:dyDescent="0.3">
      <c r="A2936" t="s">
        <v>2960</v>
      </c>
      <c r="B2936" s="1">
        <v>45806</v>
      </c>
      <c r="C2936" t="s">
        <v>13</v>
      </c>
      <c r="D2936" t="s">
        <v>21</v>
      </c>
      <c r="E2936" s="2">
        <v>28.15</v>
      </c>
      <c r="F2936" s="3">
        <v>104.04</v>
      </c>
      <c r="G2936" s="4">
        <v>540.55999999999995</v>
      </c>
      <c r="H2936">
        <v>1.5</v>
      </c>
      <c r="I2936" s="4">
        <v>810.84</v>
      </c>
      <c r="J2936">
        <v>4.0999999999999996</v>
      </c>
      <c r="K2936" t="s">
        <v>30</v>
      </c>
      <c r="L2936" t="s">
        <v>28</v>
      </c>
      <c r="O2936"/>
    </row>
    <row r="2937" spans="1:15" x14ac:dyDescent="0.3">
      <c r="A2937" t="s">
        <v>2961</v>
      </c>
      <c r="B2937" s="1">
        <v>45703</v>
      </c>
      <c r="C2937" t="s">
        <v>25</v>
      </c>
      <c r="D2937" t="s">
        <v>14</v>
      </c>
      <c r="E2937" s="2">
        <v>22.52</v>
      </c>
      <c r="F2937" s="3">
        <v>76.39</v>
      </c>
      <c r="G2937" s="4">
        <v>425.78</v>
      </c>
      <c r="H2937">
        <v>1.5</v>
      </c>
      <c r="I2937" s="4">
        <v>638.66999999999996</v>
      </c>
      <c r="J2937">
        <v>4.9000000000000004</v>
      </c>
      <c r="K2937" t="s">
        <v>18</v>
      </c>
      <c r="L2937" t="s">
        <v>26</v>
      </c>
      <c r="O2937"/>
    </row>
    <row r="2938" spans="1:15" x14ac:dyDescent="0.3">
      <c r="A2938" t="s">
        <v>2962</v>
      </c>
      <c r="B2938" s="1">
        <v>45914</v>
      </c>
      <c r="C2938" t="s">
        <v>13</v>
      </c>
      <c r="D2938" t="s">
        <v>22</v>
      </c>
      <c r="E2938" s="2">
        <v>19.8</v>
      </c>
      <c r="F2938" s="3">
        <v>55.14</v>
      </c>
      <c r="G2938" s="4">
        <v>375.07</v>
      </c>
      <c r="H2938">
        <v>1.2</v>
      </c>
      <c r="I2938" s="4">
        <v>450.08</v>
      </c>
      <c r="J2938">
        <v>3.7</v>
      </c>
      <c r="K2938" t="s">
        <v>15</v>
      </c>
      <c r="L2938" t="s">
        <v>26</v>
      </c>
      <c r="O2938"/>
    </row>
    <row r="2939" spans="1:15" x14ac:dyDescent="0.3">
      <c r="A2939" t="s">
        <v>2963</v>
      </c>
      <c r="B2939" s="1">
        <v>45901</v>
      </c>
      <c r="C2939" t="s">
        <v>13</v>
      </c>
      <c r="D2939" t="s">
        <v>25</v>
      </c>
      <c r="E2939" s="2">
        <v>21.06</v>
      </c>
      <c r="F2939" s="3">
        <v>44.87</v>
      </c>
      <c r="G2939" s="4">
        <v>413.45</v>
      </c>
      <c r="H2939">
        <v>1.5</v>
      </c>
      <c r="I2939" s="4">
        <v>620.16999999999996</v>
      </c>
      <c r="J2939">
        <v>3.8</v>
      </c>
      <c r="K2939" t="s">
        <v>15</v>
      </c>
      <c r="L2939" t="s">
        <v>28</v>
      </c>
      <c r="O2939"/>
    </row>
    <row r="2940" spans="1:15" x14ac:dyDescent="0.3">
      <c r="A2940" t="s">
        <v>2964</v>
      </c>
      <c r="B2940" s="1">
        <v>45810</v>
      </c>
      <c r="C2940" t="s">
        <v>13</v>
      </c>
      <c r="D2940" t="s">
        <v>21</v>
      </c>
      <c r="E2940" s="2">
        <v>10.23</v>
      </c>
      <c r="F2940" s="3">
        <v>33.409999999999997</v>
      </c>
      <c r="G2940" s="4">
        <v>202.92</v>
      </c>
      <c r="H2940">
        <v>1</v>
      </c>
      <c r="I2940" s="4">
        <v>202.92</v>
      </c>
      <c r="J2940">
        <v>4.3</v>
      </c>
      <c r="K2940" t="s">
        <v>30</v>
      </c>
      <c r="L2940" t="s">
        <v>19</v>
      </c>
      <c r="O2940"/>
    </row>
    <row r="2941" spans="1:15" x14ac:dyDescent="0.3">
      <c r="A2941" t="s">
        <v>2965</v>
      </c>
      <c r="B2941" s="1">
        <v>45897</v>
      </c>
      <c r="C2941" t="s">
        <v>22</v>
      </c>
      <c r="D2941" t="s">
        <v>21</v>
      </c>
      <c r="E2941" s="2">
        <v>28.01</v>
      </c>
      <c r="F2941" s="3">
        <v>103.66</v>
      </c>
      <c r="G2941" s="4">
        <v>299.06</v>
      </c>
      <c r="H2941">
        <v>1</v>
      </c>
      <c r="I2941" s="4">
        <v>299.06</v>
      </c>
      <c r="J2941">
        <v>4.0999999999999996</v>
      </c>
      <c r="K2941" t="s">
        <v>18</v>
      </c>
      <c r="L2941" t="s">
        <v>28</v>
      </c>
      <c r="O2941"/>
    </row>
    <row r="2942" spans="1:15" x14ac:dyDescent="0.3">
      <c r="A2942" t="s">
        <v>2966</v>
      </c>
      <c r="B2942" s="1">
        <v>45768</v>
      </c>
      <c r="C2942" t="s">
        <v>14</v>
      </c>
      <c r="D2942" t="s">
        <v>13</v>
      </c>
      <c r="E2942" s="2">
        <v>16.579999999999998</v>
      </c>
      <c r="F2942" s="3">
        <v>42.41</v>
      </c>
      <c r="G2942" s="4">
        <v>213.71</v>
      </c>
      <c r="H2942">
        <v>2</v>
      </c>
      <c r="I2942" s="4">
        <v>427.42</v>
      </c>
      <c r="J2942">
        <v>3</v>
      </c>
      <c r="K2942" t="s">
        <v>15</v>
      </c>
      <c r="L2942" t="s">
        <v>26</v>
      </c>
      <c r="O2942"/>
    </row>
    <row r="2943" spans="1:15" x14ac:dyDescent="0.3">
      <c r="A2943" t="s">
        <v>2967</v>
      </c>
      <c r="B2943" s="1">
        <v>45818</v>
      </c>
      <c r="C2943" t="s">
        <v>21</v>
      </c>
      <c r="D2943" t="s">
        <v>22</v>
      </c>
      <c r="E2943" s="2">
        <v>12.05</v>
      </c>
      <c r="F2943" s="3">
        <v>33.92</v>
      </c>
      <c r="G2943" s="4">
        <v>178.96</v>
      </c>
      <c r="H2943">
        <v>1</v>
      </c>
      <c r="I2943" s="4">
        <v>178.96</v>
      </c>
      <c r="J2943">
        <v>4.5</v>
      </c>
      <c r="K2943" t="s">
        <v>36</v>
      </c>
      <c r="L2943" t="s">
        <v>28</v>
      </c>
      <c r="O2943"/>
    </row>
    <row r="2944" spans="1:15" x14ac:dyDescent="0.3">
      <c r="A2944" t="s">
        <v>2968</v>
      </c>
      <c r="B2944" s="1">
        <v>45770</v>
      </c>
      <c r="C2944" t="s">
        <v>21</v>
      </c>
      <c r="D2944" t="s">
        <v>13</v>
      </c>
      <c r="E2944" s="2">
        <v>7.18</v>
      </c>
      <c r="F2944" s="3">
        <v>27.07</v>
      </c>
      <c r="G2944" s="4">
        <v>142.24</v>
      </c>
      <c r="H2944">
        <v>2</v>
      </c>
      <c r="I2944" s="4">
        <v>284.48</v>
      </c>
      <c r="J2944">
        <v>4.3</v>
      </c>
      <c r="K2944" t="s">
        <v>15</v>
      </c>
      <c r="L2944" t="s">
        <v>28</v>
      </c>
      <c r="O2944"/>
    </row>
    <row r="2945" spans="1:15" x14ac:dyDescent="0.3">
      <c r="A2945" t="s">
        <v>2969</v>
      </c>
      <c r="B2945" s="1">
        <v>45797</v>
      </c>
      <c r="C2945" t="s">
        <v>21</v>
      </c>
      <c r="D2945" t="s">
        <v>21</v>
      </c>
      <c r="E2945" s="2">
        <v>29.31</v>
      </c>
      <c r="F2945" s="3">
        <v>87.24</v>
      </c>
      <c r="G2945" s="4">
        <v>310</v>
      </c>
      <c r="H2945">
        <v>1</v>
      </c>
      <c r="I2945" s="4">
        <v>310</v>
      </c>
      <c r="J2945">
        <v>3.4</v>
      </c>
      <c r="K2945" t="s">
        <v>18</v>
      </c>
      <c r="L2945" t="s">
        <v>26</v>
      </c>
      <c r="O2945"/>
    </row>
    <row r="2946" spans="1:15" x14ac:dyDescent="0.3">
      <c r="A2946" t="s">
        <v>2970</v>
      </c>
      <c r="B2946" s="1">
        <v>46000</v>
      </c>
      <c r="C2946" t="s">
        <v>14</v>
      </c>
      <c r="D2946" t="s">
        <v>25</v>
      </c>
      <c r="E2946" s="2">
        <v>21.28</v>
      </c>
      <c r="F2946" s="3">
        <v>64.91</v>
      </c>
      <c r="G2946" s="4">
        <v>390.43</v>
      </c>
      <c r="H2946">
        <v>1.5</v>
      </c>
      <c r="I2946" s="4">
        <v>585.64</v>
      </c>
      <c r="J2946">
        <v>3</v>
      </c>
      <c r="K2946" t="s">
        <v>18</v>
      </c>
      <c r="L2946" t="s">
        <v>28</v>
      </c>
      <c r="O2946"/>
    </row>
    <row r="2947" spans="1:15" x14ac:dyDescent="0.3">
      <c r="A2947" t="s">
        <v>2971</v>
      </c>
      <c r="B2947" s="1">
        <v>45873</v>
      </c>
      <c r="C2947" t="s">
        <v>22</v>
      </c>
      <c r="D2947" t="s">
        <v>21</v>
      </c>
      <c r="E2947" s="2">
        <v>14.62</v>
      </c>
      <c r="F2947" s="3">
        <v>31.48</v>
      </c>
      <c r="G2947" s="4">
        <v>249.4</v>
      </c>
      <c r="H2947">
        <v>1.2</v>
      </c>
      <c r="I2947" s="4">
        <v>299.27999999999997</v>
      </c>
      <c r="J2947">
        <v>3.1</v>
      </c>
      <c r="K2947" t="s">
        <v>33</v>
      </c>
      <c r="L2947" t="s">
        <v>28</v>
      </c>
      <c r="O2947"/>
    </row>
    <row r="2948" spans="1:15" x14ac:dyDescent="0.3">
      <c r="A2948" t="s">
        <v>2972</v>
      </c>
      <c r="B2948" s="1">
        <v>45799</v>
      </c>
      <c r="C2948" t="s">
        <v>25</v>
      </c>
      <c r="D2948" t="s">
        <v>14</v>
      </c>
      <c r="E2948" s="2">
        <v>29.67</v>
      </c>
      <c r="F2948" s="3">
        <v>60.66</v>
      </c>
      <c r="G2948" s="4">
        <v>346.27</v>
      </c>
      <c r="H2948">
        <v>1.2</v>
      </c>
      <c r="I2948" s="4">
        <v>415.52</v>
      </c>
      <c r="J2948">
        <v>3.5</v>
      </c>
      <c r="K2948" t="s">
        <v>15</v>
      </c>
      <c r="L2948" t="s">
        <v>26</v>
      </c>
      <c r="O2948"/>
    </row>
    <row r="2949" spans="1:15" x14ac:dyDescent="0.3">
      <c r="A2949" t="s">
        <v>2973</v>
      </c>
      <c r="B2949" s="1">
        <v>45723</v>
      </c>
      <c r="C2949" t="s">
        <v>25</v>
      </c>
      <c r="D2949" t="s">
        <v>13</v>
      </c>
      <c r="E2949" s="2">
        <v>14.07</v>
      </c>
      <c r="F2949" s="3">
        <v>30.36</v>
      </c>
      <c r="G2949" s="4">
        <v>234.92</v>
      </c>
      <c r="H2949">
        <v>1.2</v>
      </c>
      <c r="I2949" s="4">
        <v>281.89999999999998</v>
      </c>
      <c r="J2949">
        <v>4.8</v>
      </c>
      <c r="K2949" t="s">
        <v>15</v>
      </c>
      <c r="L2949" t="s">
        <v>26</v>
      </c>
      <c r="O2949"/>
    </row>
    <row r="2950" spans="1:15" x14ac:dyDescent="0.3">
      <c r="A2950" t="s">
        <v>2974</v>
      </c>
      <c r="B2950" s="1">
        <v>46009</v>
      </c>
      <c r="C2950" t="s">
        <v>13</v>
      </c>
      <c r="D2950" t="s">
        <v>25</v>
      </c>
      <c r="E2950" s="2">
        <v>29.4</v>
      </c>
      <c r="F2950" s="3">
        <v>90.08</v>
      </c>
      <c r="G2950" s="4">
        <v>356.94</v>
      </c>
      <c r="H2950">
        <v>1.5</v>
      </c>
      <c r="I2950" s="4">
        <v>535.41</v>
      </c>
      <c r="J2950">
        <v>3.8</v>
      </c>
      <c r="K2950" t="s">
        <v>15</v>
      </c>
      <c r="L2950" t="s">
        <v>26</v>
      </c>
      <c r="O2950"/>
    </row>
    <row r="2951" spans="1:15" x14ac:dyDescent="0.3">
      <c r="A2951" t="s">
        <v>2975</v>
      </c>
      <c r="B2951" s="1">
        <v>45992</v>
      </c>
      <c r="C2951" t="s">
        <v>13</v>
      </c>
      <c r="D2951" t="s">
        <v>22</v>
      </c>
      <c r="E2951" s="2">
        <v>26.73</v>
      </c>
      <c r="F2951" s="3">
        <v>56.09</v>
      </c>
      <c r="G2951" s="4">
        <v>303.76</v>
      </c>
      <c r="H2951">
        <v>1.2</v>
      </c>
      <c r="I2951" s="4">
        <v>364.51</v>
      </c>
      <c r="J2951">
        <v>5</v>
      </c>
      <c r="K2951" t="s">
        <v>36</v>
      </c>
      <c r="L2951" t="s">
        <v>16</v>
      </c>
      <c r="O2951"/>
    </row>
    <row r="2952" spans="1:15" x14ac:dyDescent="0.3">
      <c r="A2952" t="s">
        <v>2976</v>
      </c>
      <c r="B2952" s="1">
        <v>45916</v>
      </c>
      <c r="C2952" t="s">
        <v>21</v>
      </c>
      <c r="D2952" t="s">
        <v>21</v>
      </c>
      <c r="E2952" s="2">
        <v>1.31</v>
      </c>
      <c r="F2952" s="3">
        <v>4.88</v>
      </c>
      <c r="G2952" s="4">
        <v>19.010000000000002</v>
      </c>
      <c r="H2952">
        <v>1.2</v>
      </c>
      <c r="I2952" s="4">
        <v>22.81</v>
      </c>
      <c r="J2952">
        <v>4.5999999999999996</v>
      </c>
      <c r="K2952" t="s">
        <v>30</v>
      </c>
      <c r="L2952" t="s">
        <v>19</v>
      </c>
      <c r="O2952"/>
    </row>
    <row r="2953" spans="1:15" x14ac:dyDescent="0.3">
      <c r="A2953" t="s">
        <v>2977</v>
      </c>
      <c r="B2953" s="1">
        <v>45761</v>
      </c>
      <c r="C2953" t="s">
        <v>22</v>
      </c>
      <c r="D2953" t="s">
        <v>25</v>
      </c>
      <c r="E2953" s="2">
        <v>6.42</v>
      </c>
      <c r="F2953" s="3">
        <v>20.86</v>
      </c>
      <c r="G2953" s="4">
        <v>107.81</v>
      </c>
      <c r="H2953">
        <v>1.5</v>
      </c>
      <c r="I2953" s="4">
        <v>161.72</v>
      </c>
      <c r="J2953">
        <v>4.7</v>
      </c>
      <c r="K2953" t="s">
        <v>30</v>
      </c>
      <c r="L2953" t="s">
        <v>26</v>
      </c>
      <c r="O2953"/>
    </row>
    <row r="2954" spans="1:15" x14ac:dyDescent="0.3">
      <c r="A2954" t="s">
        <v>2978</v>
      </c>
      <c r="B2954" s="1">
        <v>45842</v>
      </c>
      <c r="C2954" t="s">
        <v>13</v>
      </c>
      <c r="D2954" t="s">
        <v>21</v>
      </c>
      <c r="E2954" s="2">
        <v>12.53</v>
      </c>
      <c r="F2954" s="3">
        <v>35.67</v>
      </c>
      <c r="G2954" s="4">
        <v>241.33</v>
      </c>
      <c r="H2954">
        <v>2</v>
      </c>
      <c r="I2954" s="4">
        <v>482.66</v>
      </c>
      <c r="J2954">
        <v>3.4</v>
      </c>
      <c r="K2954" t="s">
        <v>15</v>
      </c>
      <c r="L2954" t="s">
        <v>19</v>
      </c>
      <c r="O2954"/>
    </row>
    <row r="2955" spans="1:15" x14ac:dyDescent="0.3">
      <c r="A2955" t="s">
        <v>2979</v>
      </c>
      <c r="B2955" s="1">
        <v>45890</v>
      </c>
      <c r="C2955" t="s">
        <v>13</v>
      </c>
      <c r="D2955" t="s">
        <v>21</v>
      </c>
      <c r="E2955" s="2">
        <v>21.51</v>
      </c>
      <c r="F2955" s="3">
        <v>82.7</v>
      </c>
      <c r="G2955" s="4">
        <v>368.5</v>
      </c>
      <c r="H2955">
        <v>1</v>
      </c>
      <c r="I2955" s="4">
        <v>368.5</v>
      </c>
      <c r="J2955">
        <v>4.9000000000000004</v>
      </c>
      <c r="K2955" t="s">
        <v>15</v>
      </c>
      <c r="L2955" t="s">
        <v>16</v>
      </c>
      <c r="O2955"/>
    </row>
    <row r="2956" spans="1:15" x14ac:dyDescent="0.3">
      <c r="A2956" t="s">
        <v>2980</v>
      </c>
      <c r="B2956" s="1">
        <v>45962</v>
      </c>
      <c r="C2956" t="s">
        <v>25</v>
      </c>
      <c r="D2956" t="s">
        <v>13</v>
      </c>
      <c r="E2956" s="2">
        <v>7.71</v>
      </c>
      <c r="F2956" s="3">
        <v>19.3</v>
      </c>
      <c r="G2956" s="4">
        <v>113.07</v>
      </c>
      <c r="H2956">
        <v>1</v>
      </c>
      <c r="I2956" s="4">
        <v>113.07</v>
      </c>
      <c r="J2956">
        <v>4.3</v>
      </c>
      <c r="K2956" t="s">
        <v>36</v>
      </c>
      <c r="L2956" t="s">
        <v>16</v>
      </c>
      <c r="O2956"/>
    </row>
    <row r="2957" spans="1:15" x14ac:dyDescent="0.3">
      <c r="A2957" t="s">
        <v>2981</v>
      </c>
      <c r="B2957" s="1">
        <v>45841</v>
      </c>
      <c r="C2957" t="s">
        <v>25</v>
      </c>
      <c r="D2957" t="s">
        <v>21</v>
      </c>
      <c r="E2957" s="2">
        <v>10.26</v>
      </c>
      <c r="F2957" s="3">
        <v>23.48</v>
      </c>
      <c r="G2957" s="4">
        <v>159.34</v>
      </c>
      <c r="H2957">
        <v>2</v>
      </c>
      <c r="I2957" s="4">
        <v>318.68</v>
      </c>
      <c r="J2957">
        <v>3.9</v>
      </c>
      <c r="K2957" t="s">
        <v>30</v>
      </c>
      <c r="L2957" t="s">
        <v>19</v>
      </c>
      <c r="O2957"/>
    </row>
    <row r="2958" spans="1:15" x14ac:dyDescent="0.3">
      <c r="A2958" t="s">
        <v>2982</v>
      </c>
      <c r="B2958" s="1">
        <v>45731</v>
      </c>
      <c r="C2958" t="s">
        <v>14</v>
      </c>
      <c r="D2958" t="s">
        <v>13</v>
      </c>
      <c r="E2958" s="2">
        <v>24.26</v>
      </c>
      <c r="F2958" s="3">
        <v>74.209999999999994</v>
      </c>
      <c r="G2958" s="4">
        <v>408.65</v>
      </c>
      <c r="H2958">
        <v>1.5</v>
      </c>
      <c r="I2958" s="4">
        <v>612.97</v>
      </c>
      <c r="J2958">
        <v>3.2</v>
      </c>
      <c r="K2958" t="s">
        <v>36</v>
      </c>
      <c r="L2958" t="s">
        <v>28</v>
      </c>
      <c r="O2958"/>
    </row>
    <row r="2959" spans="1:15" x14ac:dyDescent="0.3">
      <c r="A2959" t="s">
        <v>2983</v>
      </c>
      <c r="B2959" s="1">
        <v>45915</v>
      </c>
      <c r="C2959" t="s">
        <v>14</v>
      </c>
      <c r="D2959" t="s">
        <v>21</v>
      </c>
      <c r="E2959" s="2">
        <v>25.5</v>
      </c>
      <c r="F2959" s="3">
        <v>60.98</v>
      </c>
      <c r="G2959" s="4">
        <v>492.73</v>
      </c>
      <c r="H2959">
        <v>1</v>
      </c>
      <c r="I2959" s="4">
        <v>492.73</v>
      </c>
      <c r="J2959">
        <v>3.9</v>
      </c>
      <c r="K2959" t="s">
        <v>33</v>
      </c>
      <c r="L2959" t="s">
        <v>28</v>
      </c>
      <c r="O2959"/>
    </row>
    <row r="2960" spans="1:15" x14ac:dyDescent="0.3">
      <c r="A2960" t="s">
        <v>2984</v>
      </c>
      <c r="B2960" s="1">
        <v>45800</v>
      </c>
      <c r="C2960" t="s">
        <v>22</v>
      </c>
      <c r="D2960" t="s">
        <v>14</v>
      </c>
      <c r="E2960" s="2">
        <v>9.26</v>
      </c>
      <c r="F2960" s="3">
        <v>24.41</v>
      </c>
      <c r="G2960" s="4">
        <v>121.31</v>
      </c>
      <c r="H2960">
        <v>1.5</v>
      </c>
      <c r="I2960" s="4">
        <v>181.96</v>
      </c>
      <c r="J2960">
        <v>3.2</v>
      </c>
      <c r="K2960" t="s">
        <v>30</v>
      </c>
      <c r="L2960" t="s">
        <v>28</v>
      </c>
      <c r="O2960"/>
    </row>
    <row r="2961" spans="1:15" x14ac:dyDescent="0.3">
      <c r="A2961" t="s">
        <v>2985</v>
      </c>
      <c r="B2961" s="1">
        <v>45859</v>
      </c>
      <c r="C2961" t="s">
        <v>14</v>
      </c>
      <c r="D2961" t="s">
        <v>14</v>
      </c>
      <c r="E2961" s="2">
        <v>26.61</v>
      </c>
      <c r="F2961" s="3">
        <v>69.58</v>
      </c>
      <c r="G2961" s="4">
        <v>450.24</v>
      </c>
      <c r="H2961">
        <v>1.5</v>
      </c>
      <c r="I2961" s="4">
        <v>675.36</v>
      </c>
      <c r="J2961">
        <v>3.7</v>
      </c>
      <c r="K2961" t="s">
        <v>30</v>
      </c>
      <c r="L2961" t="s">
        <v>26</v>
      </c>
      <c r="O2961"/>
    </row>
    <row r="2962" spans="1:15" x14ac:dyDescent="0.3">
      <c r="A2962" t="s">
        <v>2986</v>
      </c>
      <c r="B2962" s="1">
        <v>45693</v>
      </c>
      <c r="C2962" t="s">
        <v>13</v>
      </c>
      <c r="D2962" t="s">
        <v>25</v>
      </c>
      <c r="E2962" s="2">
        <v>12.61</v>
      </c>
      <c r="F2962" s="3">
        <v>28.51</v>
      </c>
      <c r="G2962" s="4">
        <v>170.22</v>
      </c>
      <c r="H2962">
        <v>1.2</v>
      </c>
      <c r="I2962" s="4">
        <v>204.26</v>
      </c>
      <c r="J2962">
        <v>4.4000000000000004</v>
      </c>
      <c r="K2962" t="s">
        <v>18</v>
      </c>
      <c r="L2962" t="s">
        <v>26</v>
      </c>
      <c r="O2962"/>
    </row>
    <row r="2963" spans="1:15" x14ac:dyDescent="0.3">
      <c r="A2963" t="s">
        <v>2987</v>
      </c>
      <c r="B2963" s="1">
        <v>45963</v>
      </c>
      <c r="C2963" t="s">
        <v>22</v>
      </c>
      <c r="D2963" t="s">
        <v>14</v>
      </c>
      <c r="E2963" s="2">
        <v>13.92</v>
      </c>
      <c r="F2963" s="3">
        <v>30.4</v>
      </c>
      <c r="G2963" s="4">
        <v>225.39</v>
      </c>
      <c r="H2963">
        <v>1.5</v>
      </c>
      <c r="I2963" s="4">
        <v>338.08</v>
      </c>
      <c r="J2963">
        <v>4.2</v>
      </c>
      <c r="K2963" t="s">
        <v>30</v>
      </c>
      <c r="L2963" t="s">
        <v>26</v>
      </c>
      <c r="O2963"/>
    </row>
    <row r="2964" spans="1:15" x14ac:dyDescent="0.3">
      <c r="A2964" t="s">
        <v>2988</v>
      </c>
      <c r="B2964" s="1">
        <v>45873</v>
      </c>
      <c r="C2964" t="s">
        <v>21</v>
      </c>
      <c r="D2964" t="s">
        <v>25</v>
      </c>
      <c r="E2964" s="2">
        <v>20.260000000000002</v>
      </c>
      <c r="F2964" s="3">
        <v>77.48</v>
      </c>
      <c r="G2964" s="4">
        <v>295.92</v>
      </c>
      <c r="H2964">
        <v>1</v>
      </c>
      <c r="I2964" s="4">
        <v>295.92</v>
      </c>
      <c r="J2964">
        <v>5</v>
      </c>
      <c r="K2964" t="s">
        <v>18</v>
      </c>
      <c r="L2964" t="s">
        <v>16</v>
      </c>
      <c r="O2964"/>
    </row>
    <row r="2965" spans="1:15" x14ac:dyDescent="0.3">
      <c r="A2965" t="s">
        <v>2989</v>
      </c>
      <c r="B2965" s="1">
        <v>45990</v>
      </c>
      <c r="C2965" t="s">
        <v>25</v>
      </c>
      <c r="D2965" t="s">
        <v>21</v>
      </c>
      <c r="E2965" s="2">
        <v>22.02</v>
      </c>
      <c r="F2965" s="3">
        <v>63.65</v>
      </c>
      <c r="G2965" s="4">
        <v>233.49</v>
      </c>
      <c r="H2965">
        <v>2</v>
      </c>
      <c r="I2965" s="4">
        <v>466.98</v>
      </c>
      <c r="J2965">
        <v>4.0999999999999996</v>
      </c>
      <c r="K2965" t="s">
        <v>36</v>
      </c>
      <c r="L2965" t="s">
        <v>28</v>
      </c>
      <c r="O2965"/>
    </row>
    <row r="2966" spans="1:15" x14ac:dyDescent="0.3">
      <c r="A2966" t="s">
        <v>2990</v>
      </c>
      <c r="B2966" s="1">
        <v>45836</v>
      </c>
      <c r="C2966" t="s">
        <v>14</v>
      </c>
      <c r="D2966" t="s">
        <v>21</v>
      </c>
      <c r="E2966" s="2">
        <v>21.32</v>
      </c>
      <c r="F2966" s="3">
        <v>43.62</v>
      </c>
      <c r="G2966" s="4">
        <v>397.04</v>
      </c>
      <c r="H2966">
        <v>1.2</v>
      </c>
      <c r="I2966" s="4">
        <v>476.45</v>
      </c>
      <c r="J2966">
        <v>4.2</v>
      </c>
      <c r="K2966" t="s">
        <v>30</v>
      </c>
      <c r="L2966" t="s">
        <v>16</v>
      </c>
      <c r="O2966"/>
    </row>
    <row r="2967" spans="1:15" x14ac:dyDescent="0.3">
      <c r="A2967" t="s">
        <v>2991</v>
      </c>
      <c r="B2967" s="1">
        <v>45823</v>
      </c>
      <c r="C2967" t="s">
        <v>14</v>
      </c>
      <c r="D2967" t="s">
        <v>13</v>
      </c>
      <c r="E2967" s="2">
        <v>18.32</v>
      </c>
      <c r="F2967" s="3">
        <v>53.4</v>
      </c>
      <c r="G2967" s="4">
        <v>245.63</v>
      </c>
      <c r="H2967">
        <v>1.2</v>
      </c>
      <c r="I2967" s="4">
        <v>294.76</v>
      </c>
      <c r="J2967">
        <v>4.9000000000000004</v>
      </c>
      <c r="K2967" t="s">
        <v>15</v>
      </c>
      <c r="L2967" t="s">
        <v>28</v>
      </c>
      <c r="O2967"/>
    </row>
    <row r="2968" spans="1:15" x14ac:dyDescent="0.3">
      <c r="A2968" t="s">
        <v>2992</v>
      </c>
      <c r="B2968" s="1">
        <v>45724</v>
      </c>
      <c r="C2968" t="s">
        <v>22</v>
      </c>
      <c r="D2968" t="s">
        <v>22</v>
      </c>
      <c r="E2968" s="2">
        <v>13.71</v>
      </c>
      <c r="F2968" s="3">
        <v>37.26</v>
      </c>
      <c r="G2968" s="4">
        <v>214.73</v>
      </c>
      <c r="H2968">
        <v>1.2</v>
      </c>
      <c r="I2968" s="4">
        <v>257.68</v>
      </c>
      <c r="J2968">
        <v>4</v>
      </c>
      <c r="K2968" t="s">
        <v>36</v>
      </c>
      <c r="L2968" t="s">
        <v>19</v>
      </c>
      <c r="O2968"/>
    </row>
    <row r="2969" spans="1:15" x14ac:dyDescent="0.3">
      <c r="A2969" t="s">
        <v>2993</v>
      </c>
      <c r="B2969" s="1">
        <v>45843</v>
      </c>
      <c r="C2969" t="s">
        <v>14</v>
      </c>
      <c r="D2969" t="s">
        <v>25</v>
      </c>
      <c r="E2969" s="2">
        <v>15.53</v>
      </c>
      <c r="F2969" s="3">
        <v>37.090000000000003</v>
      </c>
      <c r="G2969" s="4">
        <v>229.39</v>
      </c>
      <c r="H2969">
        <v>1</v>
      </c>
      <c r="I2969" s="4">
        <v>229.39</v>
      </c>
      <c r="J2969">
        <v>3.4</v>
      </c>
      <c r="K2969" t="s">
        <v>33</v>
      </c>
      <c r="L2969" t="s">
        <v>28</v>
      </c>
      <c r="O2969"/>
    </row>
    <row r="2970" spans="1:15" x14ac:dyDescent="0.3">
      <c r="A2970" t="s">
        <v>2994</v>
      </c>
      <c r="B2970" s="1">
        <v>45880</v>
      </c>
      <c r="C2970" t="s">
        <v>22</v>
      </c>
      <c r="D2970" t="s">
        <v>14</v>
      </c>
      <c r="E2970" s="2">
        <v>20.71</v>
      </c>
      <c r="F2970" s="3">
        <v>64.12</v>
      </c>
      <c r="G2970" s="4">
        <v>242.22</v>
      </c>
      <c r="H2970">
        <v>1</v>
      </c>
      <c r="I2970" s="4">
        <v>242.22</v>
      </c>
      <c r="J2970">
        <v>3.8</v>
      </c>
      <c r="K2970" t="s">
        <v>30</v>
      </c>
      <c r="L2970" t="s">
        <v>16</v>
      </c>
      <c r="O2970"/>
    </row>
    <row r="2971" spans="1:15" x14ac:dyDescent="0.3">
      <c r="A2971" t="s">
        <v>2995</v>
      </c>
      <c r="B2971" s="1">
        <v>45957</v>
      </c>
      <c r="C2971" t="s">
        <v>21</v>
      </c>
      <c r="D2971" t="s">
        <v>14</v>
      </c>
      <c r="E2971" s="2">
        <v>9.52</v>
      </c>
      <c r="F2971" s="3">
        <v>34.81</v>
      </c>
      <c r="G2971" s="4">
        <v>155.99</v>
      </c>
      <c r="H2971">
        <v>1.5</v>
      </c>
      <c r="I2971" s="4">
        <v>233.98</v>
      </c>
      <c r="J2971">
        <v>3.7</v>
      </c>
      <c r="K2971" t="s">
        <v>33</v>
      </c>
      <c r="L2971" t="s">
        <v>16</v>
      </c>
      <c r="O2971"/>
    </row>
    <row r="2972" spans="1:15" x14ac:dyDescent="0.3">
      <c r="A2972" t="s">
        <v>2996</v>
      </c>
      <c r="B2972" s="1">
        <v>45850</v>
      </c>
      <c r="C2972" t="s">
        <v>25</v>
      </c>
      <c r="D2972" t="s">
        <v>13</v>
      </c>
      <c r="E2972" s="2">
        <v>22.48</v>
      </c>
      <c r="F2972" s="3">
        <v>82.57</v>
      </c>
      <c r="G2972" s="4">
        <v>237.11</v>
      </c>
      <c r="H2972">
        <v>1.2</v>
      </c>
      <c r="I2972" s="4">
        <v>284.52999999999997</v>
      </c>
      <c r="J2972">
        <v>3.2</v>
      </c>
      <c r="K2972" t="s">
        <v>18</v>
      </c>
      <c r="L2972" t="s">
        <v>16</v>
      </c>
      <c r="O2972"/>
    </row>
    <row r="2973" spans="1:15" x14ac:dyDescent="0.3">
      <c r="A2973" t="s">
        <v>2997</v>
      </c>
      <c r="B2973" s="1">
        <v>45701</v>
      </c>
      <c r="C2973" t="s">
        <v>13</v>
      </c>
      <c r="D2973" t="s">
        <v>14</v>
      </c>
      <c r="E2973" s="2">
        <v>3.02</v>
      </c>
      <c r="F2973" s="3">
        <v>9.11</v>
      </c>
      <c r="G2973" s="4">
        <v>32.69</v>
      </c>
      <c r="H2973">
        <v>2</v>
      </c>
      <c r="I2973" s="4">
        <v>65.38</v>
      </c>
      <c r="J2973">
        <v>3.7</v>
      </c>
      <c r="K2973" t="s">
        <v>30</v>
      </c>
      <c r="L2973" t="s">
        <v>26</v>
      </c>
      <c r="O2973"/>
    </row>
    <row r="2974" spans="1:15" x14ac:dyDescent="0.3">
      <c r="A2974" t="s">
        <v>2998</v>
      </c>
      <c r="B2974" s="1">
        <v>45972</v>
      </c>
      <c r="C2974" t="s">
        <v>14</v>
      </c>
      <c r="D2974" t="s">
        <v>21</v>
      </c>
      <c r="E2974" s="2">
        <v>20.5</v>
      </c>
      <c r="F2974" s="3">
        <v>61.04</v>
      </c>
      <c r="G2974" s="4">
        <v>223.3</v>
      </c>
      <c r="H2974">
        <v>1.2</v>
      </c>
      <c r="I2974" s="4">
        <v>267.95999999999998</v>
      </c>
      <c r="J2974">
        <v>4.2</v>
      </c>
      <c r="K2974" t="s">
        <v>36</v>
      </c>
      <c r="L2974" t="s">
        <v>19</v>
      </c>
      <c r="O2974"/>
    </row>
    <row r="2975" spans="1:15" x14ac:dyDescent="0.3">
      <c r="A2975" t="s">
        <v>2999</v>
      </c>
      <c r="B2975" s="1">
        <v>45714</v>
      </c>
      <c r="C2975" t="s">
        <v>21</v>
      </c>
      <c r="D2975" t="s">
        <v>13</v>
      </c>
      <c r="E2975" s="2">
        <v>6.53</v>
      </c>
      <c r="F2975" s="3">
        <v>13.15</v>
      </c>
      <c r="G2975" s="4">
        <v>77.14</v>
      </c>
      <c r="H2975">
        <v>2</v>
      </c>
      <c r="I2975" s="4">
        <v>154.28</v>
      </c>
      <c r="J2975">
        <v>3.2</v>
      </c>
      <c r="K2975" t="s">
        <v>36</v>
      </c>
      <c r="L2975" t="s">
        <v>26</v>
      </c>
      <c r="O2975"/>
    </row>
    <row r="2976" spans="1:15" x14ac:dyDescent="0.3">
      <c r="A2976" t="s">
        <v>3000</v>
      </c>
      <c r="B2976" s="1">
        <v>45976</v>
      </c>
      <c r="C2976" t="s">
        <v>14</v>
      </c>
      <c r="D2976" t="s">
        <v>14</v>
      </c>
      <c r="E2976" s="2">
        <v>27.66</v>
      </c>
      <c r="F2976" s="3">
        <v>85.21</v>
      </c>
      <c r="G2976" s="4">
        <v>471.77</v>
      </c>
      <c r="H2976">
        <v>1.5</v>
      </c>
      <c r="I2976" s="4">
        <v>707.66</v>
      </c>
      <c r="J2976">
        <v>4.0999999999999996</v>
      </c>
      <c r="K2976" t="s">
        <v>15</v>
      </c>
      <c r="L2976" t="s">
        <v>19</v>
      </c>
      <c r="O2976"/>
    </row>
    <row r="2977" spans="1:15" x14ac:dyDescent="0.3">
      <c r="A2977" t="s">
        <v>3001</v>
      </c>
      <c r="B2977" s="1">
        <v>45719</v>
      </c>
      <c r="C2977" t="s">
        <v>22</v>
      </c>
      <c r="D2977" t="s">
        <v>13</v>
      </c>
      <c r="E2977" s="2">
        <v>12.31</v>
      </c>
      <c r="F2977" s="3">
        <v>44.56</v>
      </c>
      <c r="G2977" s="4">
        <v>173.28</v>
      </c>
      <c r="H2977">
        <v>1.5</v>
      </c>
      <c r="I2977" s="4">
        <v>259.92</v>
      </c>
      <c r="J2977">
        <v>4.2</v>
      </c>
      <c r="K2977" t="s">
        <v>36</v>
      </c>
      <c r="L2977" t="s">
        <v>28</v>
      </c>
      <c r="O2977"/>
    </row>
    <row r="2978" spans="1:15" x14ac:dyDescent="0.3">
      <c r="A2978" t="s">
        <v>3002</v>
      </c>
      <c r="B2978" s="1">
        <v>45894</v>
      </c>
      <c r="C2978" t="s">
        <v>21</v>
      </c>
      <c r="D2978" t="s">
        <v>13</v>
      </c>
      <c r="E2978" s="2">
        <v>25.83</v>
      </c>
      <c r="F2978" s="3">
        <v>101.28</v>
      </c>
      <c r="G2978" s="4">
        <v>436.12</v>
      </c>
      <c r="H2978">
        <v>1.5</v>
      </c>
      <c r="I2978" s="4">
        <v>654.17999999999995</v>
      </c>
      <c r="J2978">
        <v>4.2</v>
      </c>
      <c r="K2978" t="s">
        <v>36</v>
      </c>
      <c r="L2978" t="s">
        <v>28</v>
      </c>
      <c r="O2978"/>
    </row>
    <row r="2979" spans="1:15" x14ac:dyDescent="0.3">
      <c r="A2979" t="s">
        <v>3003</v>
      </c>
      <c r="B2979" s="1">
        <v>45751</v>
      </c>
      <c r="C2979" t="s">
        <v>21</v>
      </c>
      <c r="D2979" t="s">
        <v>14</v>
      </c>
      <c r="E2979" s="2">
        <v>20.22</v>
      </c>
      <c r="F2979" s="3">
        <v>74.58</v>
      </c>
      <c r="G2979" s="4">
        <v>357.06</v>
      </c>
      <c r="H2979">
        <v>1</v>
      </c>
      <c r="I2979" s="4">
        <v>357.06</v>
      </c>
      <c r="J2979">
        <v>4.0999999999999996</v>
      </c>
      <c r="K2979" t="s">
        <v>36</v>
      </c>
      <c r="L2979" t="s">
        <v>26</v>
      </c>
      <c r="O2979"/>
    </row>
    <row r="2980" spans="1:15" x14ac:dyDescent="0.3">
      <c r="A2980" t="s">
        <v>3004</v>
      </c>
      <c r="B2980" s="1">
        <v>45924</v>
      </c>
      <c r="C2980" t="s">
        <v>25</v>
      </c>
      <c r="D2980" t="s">
        <v>25</v>
      </c>
      <c r="E2980" s="2">
        <v>6.4</v>
      </c>
      <c r="F2980" s="3">
        <v>16.54</v>
      </c>
      <c r="G2980" s="4">
        <v>113.8</v>
      </c>
      <c r="H2980">
        <v>1</v>
      </c>
      <c r="I2980" s="4">
        <v>113.8</v>
      </c>
      <c r="J2980">
        <v>4.3</v>
      </c>
      <c r="K2980" t="s">
        <v>30</v>
      </c>
      <c r="L2980" t="s">
        <v>16</v>
      </c>
      <c r="O2980"/>
    </row>
    <row r="2981" spans="1:15" x14ac:dyDescent="0.3">
      <c r="A2981" t="s">
        <v>3005</v>
      </c>
      <c r="B2981" s="1">
        <v>45925</v>
      </c>
      <c r="C2981" t="s">
        <v>25</v>
      </c>
      <c r="D2981" t="s">
        <v>13</v>
      </c>
      <c r="E2981" s="2">
        <v>14.49</v>
      </c>
      <c r="F2981" s="3">
        <v>31.49</v>
      </c>
      <c r="G2981" s="4">
        <v>153.15</v>
      </c>
      <c r="H2981">
        <v>1</v>
      </c>
      <c r="I2981" s="4">
        <v>153.15</v>
      </c>
      <c r="J2981">
        <v>4.5999999999999996</v>
      </c>
      <c r="K2981" t="s">
        <v>36</v>
      </c>
      <c r="L2981" t="s">
        <v>19</v>
      </c>
      <c r="O2981"/>
    </row>
    <row r="2982" spans="1:15" x14ac:dyDescent="0.3">
      <c r="A2982" t="s">
        <v>3006</v>
      </c>
      <c r="B2982" s="1">
        <v>45707</v>
      </c>
      <c r="C2982" t="s">
        <v>22</v>
      </c>
      <c r="D2982" t="s">
        <v>22</v>
      </c>
      <c r="E2982" s="2">
        <v>29.75</v>
      </c>
      <c r="F2982" s="3">
        <v>108.07</v>
      </c>
      <c r="G2982" s="4">
        <v>508.12</v>
      </c>
      <c r="H2982">
        <v>1</v>
      </c>
      <c r="I2982" s="4">
        <v>508.12</v>
      </c>
      <c r="J2982">
        <v>4.7</v>
      </c>
      <c r="K2982" t="s">
        <v>33</v>
      </c>
      <c r="L2982" t="s">
        <v>19</v>
      </c>
      <c r="O2982"/>
    </row>
    <row r="2983" spans="1:15" x14ac:dyDescent="0.3">
      <c r="A2983" t="s">
        <v>3007</v>
      </c>
      <c r="B2983" s="1">
        <v>45802</v>
      </c>
      <c r="C2983" t="s">
        <v>22</v>
      </c>
      <c r="D2983" t="s">
        <v>21</v>
      </c>
      <c r="E2983" s="2">
        <v>4.78</v>
      </c>
      <c r="F2983" s="3">
        <v>17.18</v>
      </c>
      <c r="G2983" s="4">
        <v>81.73</v>
      </c>
      <c r="H2983">
        <v>1.5</v>
      </c>
      <c r="I2983" s="4">
        <v>122.6</v>
      </c>
      <c r="J2983">
        <v>5</v>
      </c>
      <c r="K2983" t="s">
        <v>18</v>
      </c>
      <c r="L2983" t="s">
        <v>26</v>
      </c>
      <c r="O2983"/>
    </row>
    <row r="2984" spans="1:15" x14ac:dyDescent="0.3">
      <c r="A2984" t="s">
        <v>3008</v>
      </c>
      <c r="B2984" s="1">
        <v>45727</v>
      </c>
      <c r="C2984" t="s">
        <v>21</v>
      </c>
      <c r="D2984" t="s">
        <v>21</v>
      </c>
      <c r="E2984" s="2">
        <v>3.54</v>
      </c>
      <c r="F2984" s="3">
        <v>11.72</v>
      </c>
      <c r="G2984" s="4">
        <v>67.66</v>
      </c>
      <c r="H2984">
        <v>1</v>
      </c>
      <c r="I2984" s="4">
        <v>67.66</v>
      </c>
      <c r="J2984">
        <v>3.4</v>
      </c>
      <c r="K2984" t="s">
        <v>15</v>
      </c>
      <c r="L2984" t="s">
        <v>16</v>
      </c>
      <c r="O2984"/>
    </row>
    <row r="2985" spans="1:15" x14ac:dyDescent="0.3">
      <c r="A2985" t="s">
        <v>3009</v>
      </c>
      <c r="B2985" s="1">
        <v>45949</v>
      </c>
      <c r="C2985" t="s">
        <v>21</v>
      </c>
      <c r="D2985" t="s">
        <v>21</v>
      </c>
      <c r="E2985" s="2">
        <v>16.850000000000001</v>
      </c>
      <c r="F2985" s="3">
        <v>64.7</v>
      </c>
      <c r="G2985" s="4">
        <v>335.62</v>
      </c>
      <c r="H2985">
        <v>1.2</v>
      </c>
      <c r="I2985" s="4">
        <v>402.74</v>
      </c>
      <c r="J2985">
        <v>3.8</v>
      </c>
      <c r="K2985" t="s">
        <v>15</v>
      </c>
      <c r="L2985" t="s">
        <v>28</v>
      </c>
      <c r="O2985"/>
    </row>
    <row r="2986" spans="1:15" x14ac:dyDescent="0.3">
      <c r="A2986" t="s">
        <v>3010</v>
      </c>
      <c r="B2986" s="1">
        <v>45767</v>
      </c>
      <c r="C2986" t="s">
        <v>21</v>
      </c>
      <c r="D2986" t="s">
        <v>22</v>
      </c>
      <c r="E2986" s="2">
        <v>2.41</v>
      </c>
      <c r="F2986" s="3">
        <v>8.41</v>
      </c>
      <c r="G2986" s="4">
        <v>42.08</v>
      </c>
      <c r="H2986">
        <v>1</v>
      </c>
      <c r="I2986" s="4">
        <v>42.08</v>
      </c>
      <c r="J2986">
        <v>4.9000000000000004</v>
      </c>
      <c r="K2986" t="s">
        <v>30</v>
      </c>
      <c r="L2986" t="s">
        <v>19</v>
      </c>
      <c r="O2986"/>
    </row>
    <row r="2987" spans="1:15" x14ac:dyDescent="0.3">
      <c r="A2987" t="s">
        <v>3011</v>
      </c>
      <c r="B2987" s="1">
        <v>45679</v>
      </c>
      <c r="C2987" t="s">
        <v>13</v>
      </c>
      <c r="D2987" t="s">
        <v>14</v>
      </c>
      <c r="E2987" s="2">
        <v>8.07</v>
      </c>
      <c r="F2987" s="3">
        <v>16.5</v>
      </c>
      <c r="G2987" s="4">
        <v>145.96</v>
      </c>
      <c r="H2987">
        <v>1.2</v>
      </c>
      <c r="I2987" s="4">
        <v>175.15</v>
      </c>
      <c r="J2987">
        <v>3.8</v>
      </c>
      <c r="K2987" t="s">
        <v>18</v>
      </c>
      <c r="L2987" t="s">
        <v>26</v>
      </c>
      <c r="O2987"/>
    </row>
    <row r="2988" spans="1:15" x14ac:dyDescent="0.3">
      <c r="A2988" t="s">
        <v>3012</v>
      </c>
      <c r="B2988" s="1">
        <v>45859</v>
      </c>
      <c r="C2988" t="s">
        <v>22</v>
      </c>
      <c r="D2988" t="s">
        <v>14</v>
      </c>
      <c r="E2988" s="2">
        <v>11.12</v>
      </c>
      <c r="F2988" s="3">
        <v>40.14</v>
      </c>
      <c r="G2988" s="4">
        <v>213.36</v>
      </c>
      <c r="H2988">
        <v>2</v>
      </c>
      <c r="I2988" s="4">
        <v>426.72</v>
      </c>
      <c r="J2988">
        <v>4.5</v>
      </c>
      <c r="K2988" t="s">
        <v>33</v>
      </c>
      <c r="L2988" t="s">
        <v>26</v>
      </c>
      <c r="O2988"/>
    </row>
    <row r="2989" spans="1:15" x14ac:dyDescent="0.3">
      <c r="A2989" t="s">
        <v>3013</v>
      </c>
      <c r="B2989" s="1">
        <v>45701</v>
      </c>
      <c r="C2989" t="s">
        <v>21</v>
      </c>
      <c r="D2989" t="s">
        <v>14</v>
      </c>
      <c r="E2989" s="2">
        <v>6.88</v>
      </c>
      <c r="F2989" s="3">
        <v>17.96</v>
      </c>
      <c r="G2989" s="4">
        <v>102.84</v>
      </c>
      <c r="H2989">
        <v>1.5</v>
      </c>
      <c r="I2989" s="4">
        <v>154.26</v>
      </c>
      <c r="J2989">
        <v>3.4</v>
      </c>
      <c r="K2989" t="s">
        <v>36</v>
      </c>
      <c r="L2989" t="s">
        <v>19</v>
      </c>
      <c r="O2989"/>
    </row>
    <row r="2990" spans="1:15" x14ac:dyDescent="0.3">
      <c r="A2990" t="s">
        <v>3014</v>
      </c>
      <c r="B2990" s="1">
        <v>45711</v>
      </c>
      <c r="C2990" t="s">
        <v>22</v>
      </c>
      <c r="D2990" t="s">
        <v>22</v>
      </c>
      <c r="E2990" s="2">
        <v>18.149999999999999</v>
      </c>
      <c r="F2990" s="3">
        <v>40.700000000000003</v>
      </c>
      <c r="G2990" s="4">
        <v>214.9</v>
      </c>
      <c r="H2990">
        <v>1.5</v>
      </c>
      <c r="I2990" s="4">
        <v>322.35000000000002</v>
      </c>
      <c r="J2990">
        <v>3.3</v>
      </c>
      <c r="K2990" t="s">
        <v>36</v>
      </c>
      <c r="L2990" t="s">
        <v>26</v>
      </c>
      <c r="O2990"/>
    </row>
    <row r="2991" spans="1:15" x14ac:dyDescent="0.3">
      <c r="A2991" t="s">
        <v>3015</v>
      </c>
      <c r="B2991" s="1">
        <v>45718</v>
      </c>
      <c r="C2991" t="s">
        <v>14</v>
      </c>
      <c r="D2991" t="s">
        <v>22</v>
      </c>
      <c r="E2991" s="2">
        <v>22.3</v>
      </c>
      <c r="F2991" s="3">
        <v>47.83</v>
      </c>
      <c r="G2991" s="4">
        <v>422.65</v>
      </c>
      <c r="H2991">
        <v>1.5</v>
      </c>
      <c r="I2991" s="4">
        <v>633.97</v>
      </c>
      <c r="J2991">
        <v>3.4</v>
      </c>
      <c r="K2991" t="s">
        <v>36</v>
      </c>
      <c r="L2991" t="s">
        <v>26</v>
      </c>
      <c r="O2991"/>
    </row>
    <row r="2992" spans="1:15" x14ac:dyDescent="0.3">
      <c r="A2992" t="s">
        <v>3016</v>
      </c>
      <c r="B2992" s="1">
        <v>45819</v>
      </c>
      <c r="C2992" t="s">
        <v>25</v>
      </c>
      <c r="D2992" t="s">
        <v>22</v>
      </c>
      <c r="E2992" s="2">
        <v>28.83</v>
      </c>
      <c r="F2992" s="3">
        <v>63.43</v>
      </c>
      <c r="G2992" s="4">
        <v>427.34</v>
      </c>
      <c r="H2992">
        <v>2</v>
      </c>
      <c r="I2992" s="4">
        <v>854.68</v>
      </c>
      <c r="J2992">
        <v>4.5999999999999996</v>
      </c>
      <c r="K2992" t="s">
        <v>36</v>
      </c>
      <c r="L2992" t="s">
        <v>26</v>
      </c>
      <c r="O2992"/>
    </row>
    <row r="2993" spans="1:15" x14ac:dyDescent="0.3">
      <c r="A2993" t="s">
        <v>3017</v>
      </c>
      <c r="B2993" s="1">
        <v>45876</v>
      </c>
      <c r="C2993" t="s">
        <v>13</v>
      </c>
      <c r="D2993" t="s">
        <v>13</v>
      </c>
      <c r="E2993" s="2">
        <v>8.32</v>
      </c>
      <c r="F2993" s="3">
        <v>31.8</v>
      </c>
      <c r="G2993" s="4">
        <v>116.35</v>
      </c>
      <c r="H2993">
        <v>1.2</v>
      </c>
      <c r="I2993" s="4">
        <v>139.62</v>
      </c>
      <c r="J2993">
        <v>4.0999999999999996</v>
      </c>
      <c r="K2993" t="s">
        <v>36</v>
      </c>
      <c r="L2993" t="s">
        <v>16</v>
      </c>
      <c r="O2993"/>
    </row>
    <row r="2994" spans="1:15" x14ac:dyDescent="0.3">
      <c r="A2994" t="s">
        <v>3018</v>
      </c>
      <c r="B2994" s="1">
        <v>45967</v>
      </c>
      <c r="C2994" t="s">
        <v>13</v>
      </c>
      <c r="D2994" t="s">
        <v>22</v>
      </c>
      <c r="E2994" s="2">
        <v>29.53</v>
      </c>
      <c r="F2994" s="3">
        <v>88.82</v>
      </c>
      <c r="G2994" s="4">
        <v>429.89</v>
      </c>
      <c r="H2994">
        <v>2</v>
      </c>
      <c r="I2994" s="4">
        <v>859.78</v>
      </c>
      <c r="J2994">
        <v>3.2</v>
      </c>
      <c r="K2994" t="s">
        <v>33</v>
      </c>
      <c r="L2994" t="s">
        <v>28</v>
      </c>
      <c r="O2994"/>
    </row>
    <row r="2995" spans="1:15" x14ac:dyDescent="0.3">
      <c r="A2995" t="s">
        <v>3019</v>
      </c>
      <c r="B2995" s="1">
        <v>45701</v>
      </c>
      <c r="C2995" t="s">
        <v>14</v>
      </c>
      <c r="D2995" t="s">
        <v>22</v>
      </c>
      <c r="E2995" s="2">
        <v>20.05</v>
      </c>
      <c r="F2995" s="3">
        <v>64.569999999999993</v>
      </c>
      <c r="G2995" s="4">
        <v>342.53</v>
      </c>
      <c r="H2995">
        <v>1</v>
      </c>
      <c r="I2995" s="4">
        <v>342.53</v>
      </c>
      <c r="J2995">
        <v>4.2</v>
      </c>
      <c r="K2995" t="s">
        <v>18</v>
      </c>
      <c r="L2995" t="s">
        <v>16</v>
      </c>
      <c r="O2995"/>
    </row>
    <row r="2996" spans="1:15" x14ac:dyDescent="0.3">
      <c r="A2996" t="s">
        <v>3020</v>
      </c>
      <c r="B2996" s="1">
        <v>45676</v>
      </c>
      <c r="C2996" t="s">
        <v>21</v>
      </c>
      <c r="D2996" t="s">
        <v>22</v>
      </c>
      <c r="E2996" s="2">
        <v>9.44</v>
      </c>
      <c r="F2996" s="3">
        <v>21.33</v>
      </c>
      <c r="G2996" s="4">
        <v>173.98</v>
      </c>
      <c r="H2996">
        <v>2</v>
      </c>
      <c r="I2996" s="4">
        <v>347.96</v>
      </c>
      <c r="J2996">
        <v>4.3</v>
      </c>
      <c r="K2996" t="s">
        <v>18</v>
      </c>
      <c r="L2996" t="s">
        <v>26</v>
      </c>
      <c r="O2996"/>
    </row>
    <row r="2997" spans="1:15" x14ac:dyDescent="0.3">
      <c r="A2997" t="s">
        <v>3021</v>
      </c>
      <c r="B2997" s="1">
        <v>45907</v>
      </c>
      <c r="C2997" t="s">
        <v>25</v>
      </c>
      <c r="D2997" t="s">
        <v>22</v>
      </c>
      <c r="E2997" s="2">
        <v>10.9</v>
      </c>
      <c r="F2997" s="3">
        <v>42.87</v>
      </c>
      <c r="G2997" s="4">
        <v>173.76</v>
      </c>
      <c r="H2997">
        <v>1</v>
      </c>
      <c r="I2997" s="4">
        <v>173.76</v>
      </c>
      <c r="J2997">
        <v>3.1</v>
      </c>
      <c r="K2997" t="s">
        <v>36</v>
      </c>
      <c r="L2997" t="s">
        <v>28</v>
      </c>
      <c r="O2997"/>
    </row>
    <row r="2998" spans="1:15" x14ac:dyDescent="0.3">
      <c r="A2998" t="s">
        <v>3022</v>
      </c>
      <c r="B2998" s="1">
        <v>45969</v>
      </c>
      <c r="C2998" t="s">
        <v>22</v>
      </c>
      <c r="D2998" t="s">
        <v>13</v>
      </c>
      <c r="E2998" s="2">
        <v>21.48</v>
      </c>
      <c r="F2998" s="3">
        <v>48.57</v>
      </c>
      <c r="G2998" s="4">
        <v>352.05</v>
      </c>
      <c r="H2998">
        <v>1.5</v>
      </c>
      <c r="I2998" s="4">
        <v>528.08000000000004</v>
      </c>
      <c r="J2998">
        <v>4.0999999999999996</v>
      </c>
      <c r="K2998" t="s">
        <v>18</v>
      </c>
      <c r="L2998" t="s">
        <v>19</v>
      </c>
      <c r="O2998"/>
    </row>
    <row r="2999" spans="1:15" x14ac:dyDescent="0.3">
      <c r="A2999" t="s">
        <v>3023</v>
      </c>
      <c r="B2999" s="1">
        <v>45714</v>
      </c>
      <c r="C2999" t="s">
        <v>21</v>
      </c>
      <c r="D2999" t="s">
        <v>25</v>
      </c>
      <c r="E2999" s="2">
        <v>8.83</v>
      </c>
      <c r="F2999" s="3">
        <v>23.89</v>
      </c>
      <c r="G2999" s="4">
        <v>165.27</v>
      </c>
      <c r="H2999">
        <v>1</v>
      </c>
      <c r="I2999" s="4">
        <v>165.27</v>
      </c>
      <c r="J2999">
        <v>4.0999999999999996</v>
      </c>
      <c r="K2999" t="s">
        <v>15</v>
      </c>
      <c r="L2999" t="s">
        <v>28</v>
      </c>
      <c r="O2999"/>
    </row>
    <row r="3000" spans="1:15" x14ac:dyDescent="0.3">
      <c r="A3000" t="s">
        <v>3024</v>
      </c>
      <c r="B3000" s="1">
        <v>46004</v>
      </c>
      <c r="C3000" t="s">
        <v>22</v>
      </c>
      <c r="D3000" t="s">
        <v>14</v>
      </c>
      <c r="E3000" s="2">
        <v>21.38</v>
      </c>
      <c r="F3000" s="3">
        <v>85.52</v>
      </c>
      <c r="G3000" s="4">
        <v>306.87</v>
      </c>
      <c r="H3000">
        <v>1.2</v>
      </c>
      <c r="I3000" s="4">
        <v>368.24</v>
      </c>
      <c r="J3000">
        <v>3.5</v>
      </c>
      <c r="K3000" t="s">
        <v>30</v>
      </c>
      <c r="L3000" t="s">
        <v>16</v>
      </c>
      <c r="O3000"/>
    </row>
    <row r="3001" spans="1:15" x14ac:dyDescent="0.3">
      <c r="A3001" t="s">
        <v>3025</v>
      </c>
      <c r="B3001" s="1">
        <v>45884</v>
      </c>
      <c r="C3001" t="s">
        <v>21</v>
      </c>
      <c r="D3001" t="s">
        <v>13</v>
      </c>
      <c r="E3001" s="2">
        <v>14.43</v>
      </c>
      <c r="F3001" s="3">
        <v>38.21</v>
      </c>
      <c r="G3001" s="4">
        <v>232.14</v>
      </c>
      <c r="H3001">
        <v>1</v>
      </c>
      <c r="I3001" s="4">
        <v>232.14</v>
      </c>
      <c r="J3001">
        <v>4.2</v>
      </c>
      <c r="K3001" t="s">
        <v>18</v>
      </c>
      <c r="L3001" t="s">
        <v>26</v>
      </c>
      <c r="O3001"/>
    </row>
    <row r="3002" spans="1:15" x14ac:dyDescent="0.3">
      <c r="A3002" t="s">
        <v>3026</v>
      </c>
      <c r="B3002" s="1">
        <v>46015</v>
      </c>
      <c r="C3002" t="s">
        <v>13</v>
      </c>
      <c r="D3002" t="s">
        <v>21</v>
      </c>
      <c r="E3002" s="2">
        <v>4.1500000000000004</v>
      </c>
      <c r="F3002" s="3">
        <v>11.86</v>
      </c>
      <c r="G3002" s="4">
        <v>60.79</v>
      </c>
      <c r="H3002">
        <v>1</v>
      </c>
      <c r="I3002" s="4">
        <v>60.79</v>
      </c>
      <c r="J3002">
        <v>4</v>
      </c>
      <c r="K3002" t="s">
        <v>30</v>
      </c>
      <c r="L3002" t="s">
        <v>28</v>
      </c>
      <c r="O3002"/>
    </row>
    <row r="3003" spans="1:15" x14ac:dyDescent="0.3">
      <c r="A3003" t="s">
        <v>3027</v>
      </c>
      <c r="B3003" s="1">
        <v>45927</v>
      </c>
      <c r="C3003" t="s">
        <v>14</v>
      </c>
      <c r="D3003" t="s">
        <v>22</v>
      </c>
      <c r="E3003" s="2">
        <v>25.97</v>
      </c>
      <c r="F3003" s="3">
        <v>65.11</v>
      </c>
      <c r="G3003" s="4">
        <v>424.2</v>
      </c>
      <c r="H3003">
        <v>1.5</v>
      </c>
      <c r="I3003" s="4">
        <v>636.29999999999995</v>
      </c>
      <c r="J3003">
        <v>4.7</v>
      </c>
      <c r="K3003" t="s">
        <v>30</v>
      </c>
      <c r="L3003" t="s">
        <v>28</v>
      </c>
      <c r="O3003"/>
    </row>
    <row r="3004" spans="1:15" x14ac:dyDescent="0.3">
      <c r="A3004" t="s">
        <v>3028</v>
      </c>
      <c r="B3004" s="1">
        <v>45680</v>
      </c>
      <c r="C3004" t="s">
        <v>25</v>
      </c>
      <c r="D3004" t="s">
        <v>14</v>
      </c>
      <c r="E3004" s="2">
        <v>27.08</v>
      </c>
      <c r="F3004" s="3">
        <v>63.15</v>
      </c>
      <c r="G3004" s="4">
        <v>450.39</v>
      </c>
      <c r="H3004">
        <v>2</v>
      </c>
      <c r="I3004" s="4">
        <v>900.78</v>
      </c>
      <c r="J3004">
        <v>3.6</v>
      </c>
      <c r="K3004" t="s">
        <v>18</v>
      </c>
      <c r="L3004" t="s">
        <v>28</v>
      </c>
      <c r="O3004"/>
    </row>
    <row r="3005" spans="1:15" x14ac:dyDescent="0.3">
      <c r="A3005" t="s">
        <v>3029</v>
      </c>
      <c r="B3005" s="1">
        <v>45706</v>
      </c>
      <c r="C3005" t="s">
        <v>14</v>
      </c>
      <c r="D3005" t="s">
        <v>21</v>
      </c>
      <c r="E3005" s="2">
        <v>28.24</v>
      </c>
      <c r="F3005" s="3">
        <v>102.19</v>
      </c>
      <c r="G3005" s="4">
        <v>514.14</v>
      </c>
      <c r="H3005">
        <v>1.5</v>
      </c>
      <c r="I3005" s="4">
        <v>771.21</v>
      </c>
      <c r="J3005">
        <v>3.5</v>
      </c>
      <c r="K3005" t="s">
        <v>36</v>
      </c>
      <c r="L3005" t="s">
        <v>16</v>
      </c>
      <c r="O3005"/>
    </row>
    <row r="3006" spans="1:15" x14ac:dyDescent="0.3">
      <c r="A3006" t="s">
        <v>3030</v>
      </c>
      <c r="B3006" s="1">
        <v>45938</v>
      </c>
      <c r="C3006" t="s">
        <v>13</v>
      </c>
      <c r="D3006" t="s">
        <v>21</v>
      </c>
      <c r="E3006" s="2">
        <v>1.75</v>
      </c>
      <c r="F3006" s="3">
        <v>4.33</v>
      </c>
      <c r="G3006" s="4">
        <v>31.05</v>
      </c>
      <c r="H3006">
        <v>1.5</v>
      </c>
      <c r="I3006" s="4">
        <v>46.58</v>
      </c>
      <c r="J3006">
        <v>3.4</v>
      </c>
      <c r="K3006" t="s">
        <v>15</v>
      </c>
      <c r="L3006" t="s">
        <v>26</v>
      </c>
      <c r="O3006"/>
    </row>
    <row r="3007" spans="1:15" x14ac:dyDescent="0.3">
      <c r="A3007" t="s">
        <v>3031</v>
      </c>
      <c r="B3007" s="1">
        <v>45895</v>
      </c>
      <c r="C3007" t="s">
        <v>22</v>
      </c>
      <c r="D3007" t="s">
        <v>22</v>
      </c>
      <c r="E3007" s="2">
        <v>8.31</v>
      </c>
      <c r="F3007" s="3">
        <v>23.19</v>
      </c>
      <c r="G3007" s="4">
        <v>164.8</v>
      </c>
      <c r="H3007">
        <v>1</v>
      </c>
      <c r="I3007" s="4">
        <v>164.8</v>
      </c>
      <c r="J3007">
        <v>3.7</v>
      </c>
      <c r="K3007" t="s">
        <v>36</v>
      </c>
      <c r="L3007" t="s">
        <v>26</v>
      </c>
      <c r="O3007"/>
    </row>
    <row r="3008" spans="1:15" x14ac:dyDescent="0.3">
      <c r="A3008" t="s">
        <v>3032</v>
      </c>
      <c r="B3008" s="1">
        <v>45969</v>
      </c>
      <c r="C3008" t="s">
        <v>25</v>
      </c>
      <c r="D3008" t="s">
        <v>13</v>
      </c>
      <c r="E3008" s="2">
        <v>9.73</v>
      </c>
      <c r="F3008" s="3">
        <v>21.59</v>
      </c>
      <c r="G3008" s="4">
        <v>144.97</v>
      </c>
      <c r="H3008">
        <v>1.2</v>
      </c>
      <c r="I3008" s="4">
        <v>173.96</v>
      </c>
      <c r="J3008">
        <v>3.9</v>
      </c>
      <c r="K3008" t="s">
        <v>30</v>
      </c>
      <c r="L3008" t="s">
        <v>28</v>
      </c>
      <c r="O3008"/>
    </row>
    <row r="3009" spans="1:15" x14ac:dyDescent="0.3">
      <c r="A3009" t="s">
        <v>3033</v>
      </c>
      <c r="B3009" s="1">
        <v>45773</v>
      </c>
      <c r="C3009" t="s">
        <v>22</v>
      </c>
      <c r="D3009" t="s">
        <v>13</v>
      </c>
      <c r="E3009" s="2">
        <v>24.71</v>
      </c>
      <c r="F3009" s="3">
        <v>76.319999999999993</v>
      </c>
      <c r="G3009" s="4">
        <v>255.06</v>
      </c>
      <c r="H3009">
        <v>1.2</v>
      </c>
      <c r="I3009" s="4">
        <v>306.07</v>
      </c>
      <c r="J3009">
        <v>3.9</v>
      </c>
      <c r="K3009" t="s">
        <v>33</v>
      </c>
      <c r="L3009" t="s">
        <v>26</v>
      </c>
      <c r="O3009"/>
    </row>
    <row r="3010" spans="1:15" x14ac:dyDescent="0.3">
      <c r="A3010" t="s">
        <v>3034</v>
      </c>
      <c r="B3010" s="1">
        <v>45891</v>
      </c>
      <c r="C3010" t="s">
        <v>21</v>
      </c>
      <c r="D3010" t="s">
        <v>25</v>
      </c>
      <c r="E3010" s="2">
        <v>18.87</v>
      </c>
      <c r="F3010" s="3">
        <v>63.59</v>
      </c>
      <c r="G3010" s="4">
        <v>226.02</v>
      </c>
      <c r="H3010">
        <v>1</v>
      </c>
      <c r="I3010" s="4">
        <v>226.02</v>
      </c>
      <c r="J3010">
        <v>4.0999999999999996</v>
      </c>
      <c r="K3010" t="s">
        <v>30</v>
      </c>
      <c r="L3010" t="s">
        <v>16</v>
      </c>
      <c r="O3010"/>
    </row>
    <row r="3011" spans="1:15" x14ac:dyDescent="0.3">
      <c r="A3011" t="s">
        <v>3035</v>
      </c>
      <c r="B3011" s="1">
        <v>45758</v>
      </c>
      <c r="C3011" t="s">
        <v>14</v>
      </c>
      <c r="D3011" t="s">
        <v>14</v>
      </c>
      <c r="E3011" s="2">
        <v>24.58</v>
      </c>
      <c r="F3011" s="3">
        <v>64.16</v>
      </c>
      <c r="G3011" s="4">
        <v>390</v>
      </c>
      <c r="H3011">
        <v>1.2</v>
      </c>
      <c r="I3011" s="4">
        <v>468</v>
      </c>
      <c r="J3011">
        <v>4.7</v>
      </c>
      <c r="K3011" t="s">
        <v>15</v>
      </c>
      <c r="L3011" t="s">
        <v>16</v>
      </c>
      <c r="O3011"/>
    </row>
    <row r="3012" spans="1:15" x14ac:dyDescent="0.3">
      <c r="A3012" t="s">
        <v>3036</v>
      </c>
      <c r="B3012" s="1">
        <v>45809</v>
      </c>
      <c r="C3012" t="s">
        <v>25</v>
      </c>
      <c r="D3012" t="s">
        <v>14</v>
      </c>
      <c r="E3012" s="2">
        <v>24.78</v>
      </c>
      <c r="F3012" s="3">
        <v>50.03</v>
      </c>
      <c r="G3012" s="4">
        <v>248.7</v>
      </c>
      <c r="H3012">
        <v>1.2</v>
      </c>
      <c r="I3012" s="4">
        <v>298.44</v>
      </c>
      <c r="J3012">
        <v>5</v>
      </c>
      <c r="K3012" t="s">
        <v>18</v>
      </c>
      <c r="L3012" t="s">
        <v>19</v>
      </c>
      <c r="O3012"/>
    </row>
    <row r="3013" spans="1:15" x14ac:dyDescent="0.3">
      <c r="A3013" t="s">
        <v>3037</v>
      </c>
      <c r="B3013" s="1">
        <v>45696</v>
      </c>
      <c r="C3013" t="s">
        <v>21</v>
      </c>
      <c r="D3013" t="s">
        <v>13</v>
      </c>
      <c r="E3013" s="2">
        <v>23.88</v>
      </c>
      <c r="F3013" s="3">
        <v>92.18</v>
      </c>
      <c r="G3013" s="4">
        <v>266.95999999999998</v>
      </c>
      <c r="H3013">
        <v>1</v>
      </c>
      <c r="I3013" s="4">
        <v>266.95999999999998</v>
      </c>
      <c r="J3013">
        <v>4.2</v>
      </c>
      <c r="K3013" t="s">
        <v>36</v>
      </c>
      <c r="L3013" t="s">
        <v>19</v>
      </c>
      <c r="O3013"/>
    </row>
    <row r="3014" spans="1:15" x14ac:dyDescent="0.3">
      <c r="A3014" t="s">
        <v>3038</v>
      </c>
      <c r="B3014" s="1">
        <v>45994</v>
      </c>
      <c r="C3014" t="s">
        <v>14</v>
      </c>
      <c r="D3014" t="s">
        <v>21</v>
      </c>
      <c r="E3014" s="2">
        <v>20.78</v>
      </c>
      <c r="F3014" s="3">
        <v>63.61</v>
      </c>
      <c r="G3014" s="4">
        <v>225.09</v>
      </c>
      <c r="H3014">
        <v>1.5</v>
      </c>
      <c r="I3014" s="4">
        <v>337.64</v>
      </c>
      <c r="J3014">
        <v>4.2</v>
      </c>
      <c r="K3014" t="s">
        <v>36</v>
      </c>
      <c r="L3014" t="s">
        <v>28</v>
      </c>
      <c r="O3014"/>
    </row>
    <row r="3015" spans="1:15" x14ac:dyDescent="0.3">
      <c r="A3015" t="s">
        <v>3039</v>
      </c>
      <c r="B3015" s="1">
        <v>45961</v>
      </c>
      <c r="C3015" t="s">
        <v>13</v>
      </c>
      <c r="D3015" t="s">
        <v>14</v>
      </c>
      <c r="E3015" s="2">
        <v>25.72</v>
      </c>
      <c r="F3015" s="3">
        <v>87.84</v>
      </c>
      <c r="G3015" s="4">
        <v>417.15</v>
      </c>
      <c r="H3015">
        <v>1</v>
      </c>
      <c r="I3015" s="4">
        <v>417.15</v>
      </c>
      <c r="J3015">
        <v>4</v>
      </c>
      <c r="K3015" t="s">
        <v>33</v>
      </c>
      <c r="L3015" t="s">
        <v>26</v>
      </c>
      <c r="O3015"/>
    </row>
    <row r="3016" spans="1:15" x14ac:dyDescent="0.3">
      <c r="A3016" t="s">
        <v>3040</v>
      </c>
      <c r="B3016" s="1">
        <v>45777</v>
      </c>
      <c r="C3016" t="s">
        <v>13</v>
      </c>
      <c r="D3016" t="s">
        <v>21</v>
      </c>
      <c r="E3016" s="2">
        <v>12.86</v>
      </c>
      <c r="F3016" s="3">
        <v>26.45</v>
      </c>
      <c r="G3016" s="4">
        <v>155.74</v>
      </c>
      <c r="H3016">
        <v>1.5</v>
      </c>
      <c r="I3016" s="4">
        <v>233.61</v>
      </c>
      <c r="J3016">
        <v>3.2</v>
      </c>
      <c r="K3016" t="s">
        <v>36</v>
      </c>
      <c r="L3016" t="s">
        <v>28</v>
      </c>
      <c r="O3016"/>
    </row>
    <row r="3017" spans="1:15" x14ac:dyDescent="0.3">
      <c r="A3017" t="s">
        <v>3041</v>
      </c>
      <c r="B3017" s="1">
        <v>45919</v>
      </c>
      <c r="C3017" t="s">
        <v>25</v>
      </c>
      <c r="D3017" t="s">
        <v>22</v>
      </c>
      <c r="E3017" s="2">
        <v>2.2799999999999998</v>
      </c>
      <c r="F3017" s="3">
        <v>7.25</v>
      </c>
      <c r="G3017" s="4">
        <v>35.33</v>
      </c>
      <c r="H3017">
        <v>1</v>
      </c>
      <c r="I3017" s="4">
        <v>35.33</v>
      </c>
      <c r="J3017">
        <v>3.5</v>
      </c>
      <c r="K3017" t="s">
        <v>33</v>
      </c>
      <c r="L3017" t="s">
        <v>26</v>
      </c>
      <c r="O3017"/>
    </row>
    <row r="3018" spans="1:15" x14ac:dyDescent="0.3">
      <c r="A3018" t="s">
        <v>3042</v>
      </c>
      <c r="B3018" s="1">
        <v>45960</v>
      </c>
      <c r="C3018" t="s">
        <v>13</v>
      </c>
      <c r="D3018" t="s">
        <v>21</v>
      </c>
      <c r="E3018" s="2">
        <v>3.88</v>
      </c>
      <c r="F3018" s="3">
        <v>14.39</v>
      </c>
      <c r="G3018" s="4">
        <v>38.81</v>
      </c>
      <c r="H3018">
        <v>2</v>
      </c>
      <c r="I3018" s="4">
        <v>77.62</v>
      </c>
      <c r="J3018">
        <v>3.1</v>
      </c>
      <c r="K3018" t="s">
        <v>18</v>
      </c>
      <c r="L3018" t="s">
        <v>26</v>
      </c>
      <c r="O3018"/>
    </row>
    <row r="3019" spans="1:15" x14ac:dyDescent="0.3">
      <c r="A3019" t="s">
        <v>3043</v>
      </c>
      <c r="B3019" s="1">
        <v>45674</v>
      </c>
      <c r="C3019" t="s">
        <v>14</v>
      </c>
      <c r="D3019" t="s">
        <v>21</v>
      </c>
      <c r="E3019" s="2">
        <v>22.98</v>
      </c>
      <c r="F3019" s="3">
        <v>62.58</v>
      </c>
      <c r="G3019" s="4">
        <v>399.44</v>
      </c>
      <c r="H3019">
        <v>1.2</v>
      </c>
      <c r="I3019" s="4">
        <v>479.33</v>
      </c>
      <c r="J3019">
        <v>4.4000000000000004</v>
      </c>
      <c r="K3019" t="s">
        <v>15</v>
      </c>
      <c r="L3019" t="s">
        <v>19</v>
      </c>
      <c r="O3019"/>
    </row>
    <row r="3020" spans="1:15" x14ac:dyDescent="0.3">
      <c r="A3020" t="s">
        <v>3044</v>
      </c>
      <c r="B3020" s="1">
        <v>45764</v>
      </c>
      <c r="C3020" t="s">
        <v>14</v>
      </c>
      <c r="D3020" t="s">
        <v>25</v>
      </c>
      <c r="E3020" s="2">
        <v>2.48</v>
      </c>
      <c r="F3020" s="3">
        <v>7.34</v>
      </c>
      <c r="G3020" s="4">
        <v>42.73</v>
      </c>
      <c r="H3020">
        <v>1.5</v>
      </c>
      <c r="I3020" s="4">
        <v>64.099999999999994</v>
      </c>
      <c r="J3020">
        <v>3.1</v>
      </c>
      <c r="K3020" t="s">
        <v>18</v>
      </c>
      <c r="L3020" t="s">
        <v>26</v>
      </c>
      <c r="O3020"/>
    </row>
    <row r="3021" spans="1:15" x14ac:dyDescent="0.3">
      <c r="A3021" t="s">
        <v>3045</v>
      </c>
      <c r="B3021" s="1">
        <v>45939</v>
      </c>
      <c r="C3021" t="s">
        <v>21</v>
      </c>
      <c r="D3021" t="s">
        <v>14</v>
      </c>
      <c r="E3021" s="2">
        <v>6.33</v>
      </c>
      <c r="F3021" s="3">
        <v>17.21</v>
      </c>
      <c r="G3021" s="4">
        <v>87.57</v>
      </c>
      <c r="H3021">
        <v>1.2</v>
      </c>
      <c r="I3021" s="4">
        <v>105.08</v>
      </c>
      <c r="J3021">
        <v>4</v>
      </c>
      <c r="K3021" t="s">
        <v>33</v>
      </c>
      <c r="L3021" t="s">
        <v>26</v>
      </c>
      <c r="O3021"/>
    </row>
    <row r="3022" spans="1:15" x14ac:dyDescent="0.3">
      <c r="A3022" t="s">
        <v>3046</v>
      </c>
      <c r="B3022" s="1">
        <v>45736</v>
      </c>
      <c r="C3022" t="s">
        <v>14</v>
      </c>
      <c r="D3022" t="s">
        <v>14</v>
      </c>
      <c r="E3022" s="2">
        <v>17.559999999999999</v>
      </c>
      <c r="F3022" s="3">
        <v>36.49</v>
      </c>
      <c r="G3022" s="4">
        <v>307.42</v>
      </c>
      <c r="H3022">
        <v>1.2</v>
      </c>
      <c r="I3022" s="4">
        <v>368.9</v>
      </c>
      <c r="J3022">
        <v>3.9</v>
      </c>
      <c r="K3022" t="s">
        <v>18</v>
      </c>
      <c r="L3022" t="s">
        <v>28</v>
      </c>
      <c r="O3022"/>
    </row>
    <row r="3023" spans="1:15" x14ac:dyDescent="0.3">
      <c r="A3023" t="s">
        <v>3047</v>
      </c>
      <c r="B3023" s="1">
        <v>45719</v>
      </c>
      <c r="C3023" t="s">
        <v>21</v>
      </c>
      <c r="D3023" t="s">
        <v>14</v>
      </c>
      <c r="E3023" s="2">
        <v>6.21</v>
      </c>
      <c r="F3023" s="3">
        <v>19.13</v>
      </c>
      <c r="G3023" s="4">
        <v>105.88</v>
      </c>
      <c r="H3023">
        <v>1.5</v>
      </c>
      <c r="I3023" s="4">
        <v>158.82</v>
      </c>
      <c r="J3023">
        <v>3.9</v>
      </c>
      <c r="K3023" t="s">
        <v>36</v>
      </c>
      <c r="L3023" t="s">
        <v>26</v>
      </c>
      <c r="O3023"/>
    </row>
    <row r="3024" spans="1:15" x14ac:dyDescent="0.3">
      <c r="A3024" t="s">
        <v>3048</v>
      </c>
      <c r="B3024" s="1">
        <v>45814</v>
      </c>
      <c r="C3024" t="s">
        <v>14</v>
      </c>
      <c r="D3024" t="s">
        <v>25</v>
      </c>
      <c r="E3024" s="2">
        <v>5.24</v>
      </c>
      <c r="F3024" s="3">
        <v>19.25</v>
      </c>
      <c r="G3024" s="4">
        <v>74.7</v>
      </c>
      <c r="H3024">
        <v>1.5</v>
      </c>
      <c r="I3024" s="4">
        <v>112.05</v>
      </c>
      <c r="J3024">
        <v>3.1</v>
      </c>
      <c r="K3024" t="s">
        <v>30</v>
      </c>
      <c r="L3024" t="s">
        <v>28</v>
      </c>
      <c r="O3024"/>
    </row>
    <row r="3025" spans="1:15" x14ac:dyDescent="0.3">
      <c r="A3025" t="s">
        <v>3049</v>
      </c>
      <c r="B3025" s="1">
        <v>45714</v>
      </c>
      <c r="C3025" t="s">
        <v>22</v>
      </c>
      <c r="D3025" t="s">
        <v>21</v>
      </c>
      <c r="E3025" s="2">
        <v>13.08</v>
      </c>
      <c r="F3025" s="3">
        <v>42.33</v>
      </c>
      <c r="G3025" s="4">
        <v>217.83</v>
      </c>
      <c r="H3025">
        <v>1.5</v>
      </c>
      <c r="I3025" s="4">
        <v>326.74</v>
      </c>
      <c r="J3025">
        <v>4.8</v>
      </c>
      <c r="K3025" t="s">
        <v>18</v>
      </c>
      <c r="L3025" t="s">
        <v>16</v>
      </c>
      <c r="O3025"/>
    </row>
    <row r="3026" spans="1:15" x14ac:dyDescent="0.3">
      <c r="A3026" t="s">
        <v>3050</v>
      </c>
      <c r="B3026" s="1">
        <v>45845</v>
      </c>
      <c r="C3026" t="s">
        <v>22</v>
      </c>
      <c r="D3026" t="s">
        <v>13</v>
      </c>
      <c r="E3026" s="2">
        <v>8.74</v>
      </c>
      <c r="F3026" s="3">
        <v>19.53</v>
      </c>
      <c r="G3026" s="4">
        <v>88.8</v>
      </c>
      <c r="H3026">
        <v>1.2</v>
      </c>
      <c r="I3026" s="4">
        <v>106.56</v>
      </c>
      <c r="J3026">
        <v>3.7</v>
      </c>
      <c r="K3026" t="s">
        <v>30</v>
      </c>
      <c r="L3026" t="s">
        <v>19</v>
      </c>
      <c r="O3026"/>
    </row>
    <row r="3027" spans="1:15" x14ac:dyDescent="0.3">
      <c r="A3027" t="s">
        <v>3051</v>
      </c>
      <c r="B3027" s="1">
        <v>45827</v>
      </c>
      <c r="C3027" t="s">
        <v>14</v>
      </c>
      <c r="D3027" t="s">
        <v>13</v>
      </c>
      <c r="E3027" s="2">
        <v>17</v>
      </c>
      <c r="F3027" s="3">
        <v>36.18</v>
      </c>
      <c r="G3027" s="4">
        <v>193.16</v>
      </c>
      <c r="H3027">
        <v>1.5</v>
      </c>
      <c r="I3027" s="4">
        <v>289.74</v>
      </c>
      <c r="J3027">
        <v>3.9</v>
      </c>
      <c r="K3027" t="s">
        <v>18</v>
      </c>
      <c r="L3027" t="s">
        <v>28</v>
      </c>
      <c r="O3027"/>
    </row>
    <row r="3028" spans="1:15" x14ac:dyDescent="0.3">
      <c r="A3028" t="s">
        <v>3052</v>
      </c>
      <c r="B3028" s="1">
        <v>45669</v>
      </c>
      <c r="C3028" t="s">
        <v>22</v>
      </c>
      <c r="D3028" t="s">
        <v>13</v>
      </c>
      <c r="E3028" s="2">
        <v>18.86</v>
      </c>
      <c r="F3028" s="3">
        <v>58.49</v>
      </c>
      <c r="G3028" s="4">
        <v>235.84</v>
      </c>
      <c r="H3028">
        <v>1.5</v>
      </c>
      <c r="I3028" s="4">
        <v>353.76</v>
      </c>
      <c r="J3028">
        <v>4.5</v>
      </c>
      <c r="K3028" t="s">
        <v>18</v>
      </c>
      <c r="L3028" t="s">
        <v>28</v>
      </c>
      <c r="O3028"/>
    </row>
    <row r="3029" spans="1:15" x14ac:dyDescent="0.3">
      <c r="A3029" t="s">
        <v>3053</v>
      </c>
      <c r="B3029" s="1">
        <v>46003</v>
      </c>
      <c r="C3029" t="s">
        <v>22</v>
      </c>
      <c r="D3029" t="s">
        <v>14</v>
      </c>
      <c r="E3029" s="2">
        <v>7.57</v>
      </c>
      <c r="F3029" s="3">
        <v>28.73</v>
      </c>
      <c r="G3029" s="4">
        <v>149.86000000000001</v>
      </c>
      <c r="H3029">
        <v>1</v>
      </c>
      <c r="I3029" s="4">
        <v>149.86000000000001</v>
      </c>
      <c r="J3029">
        <v>3.2</v>
      </c>
      <c r="K3029" t="s">
        <v>15</v>
      </c>
      <c r="L3029" t="s">
        <v>26</v>
      </c>
      <c r="O3029"/>
    </row>
    <row r="3030" spans="1:15" x14ac:dyDescent="0.3">
      <c r="A3030" t="s">
        <v>3054</v>
      </c>
      <c r="B3030" s="1">
        <v>46013</v>
      </c>
      <c r="C3030" t="s">
        <v>14</v>
      </c>
      <c r="D3030" t="s">
        <v>25</v>
      </c>
      <c r="E3030" s="2">
        <v>19.64</v>
      </c>
      <c r="F3030" s="3">
        <v>40.58</v>
      </c>
      <c r="G3030" s="4">
        <v>392.16</v>
      </c>
      <c r="H3030">
        <v>1.2</v>
      </c>
      <c r="I3030" s="4">
        <v>470.59</v>
      </c>
      <c r="J3030">
        <v>3.2</v>
      </c>
      <c r="K3030" t="s">
        <v>30</v>
      </c>
      <c r="L3030" t="s">
        <v>16</v>
      </c>
      <c r="O3030"/>
    </row>
    <row r="3031" spans="1:15" x14ac:dyDescent="0.3">
      <c r="A3031" t="s">
        <v>3055</v>
      </c>
      <c r="B3031" s="1">
        <v>45940</v>
      </c>
      <c r="C3031" t="s">
        <v>21</v>
      </c>
      <c r="D3031" t="s">
        <v>14</v>
      </c>
      <c r="E3031" s="2">
        <v>19.73</v>
      </c>
      <c r="F3031" s="3">
        <v>56.68</v>
      </c>
      <c r="G3031" s="4">
        <v>246.73</v>
      </c>
      <c r="H3031">
        <v>2</v>
      </c>
      <c r="I3031" s="4">
        <v>493.46</v>
      </c>
      <c r="J3031">
        <v>3.7</v>
      </c>
      <c r="K3031" t="s">
        <v>33</v>
      </c>
      <c r="L3031" t="s">
        <v>16</v>
      </c>
      <c r="O3031"/>
    </row>
    <row r="3032" spans="1:15" x14ac:dyDescent="0.3">
      <c r="A3032" t="s">
        <v>3056</v>
      </c>
      <c r="B3032" s="1">
        <v>45738</v>
      </c>
      <c r="C3032" t="s">
        <v>13</v>
      </c>
      <c r="D3032" t="s">
        <v>13</v>
      </c>
      <c r="E3032" s="2">
        <v>26.5</v>
      </c>
      <c r="F3032" s="3">
        <v>82.07</v>
      </c>
      <c r="G3032" s="4">
        <v>340.57</v>
      </c>
      <c r="H3032">
        <v>1.2</v>
      </c>
      <c r="I3032" s="4">
        <v>408.68</v>
      </c>
      <c r="J3032">
        <v>4.5999999999999996</v>
      </c>
      <c r="K3032" t="s">
        <v>30</v>
      </c>
      <c r="L3032" t="s">
        <v>26</v>
      </c>
      <c r="O3032"/>
    </row>
    <row r="3033" spans="1:15" x14ac:dyDescent="0.3">
      <c r="A3033" t="s">
        <v>3057</v>
      </c>
      <c r="B3033" s="1">
        <v>45753</v>
      </c>
      <c r="C3033" t="s">
        <v>25</v>
      </c>
      <c r="D3033" t="s">
        <v>13</v>
      </c>
      <c r="E3033" s="2">
        <v>7.4</v>
      </c>
      <c r="F3033" s="3">
        <v>23.9</v>
      </c>
      <c r="G3033" s="4">
        <v>138.41</v>
      </c>
      <c r="H3033">
        <v>1.2</v>
      </c>
      <c r="I3033" s="4">
        <v>166.09</v>
      </c>
      <c r="J3033">
        <v>3.3</v>
      </c>
      <c r="K3033" t="s">
        <v>30</v>
      </c>
      <c r="L3033" t="s">
        <v>26</v>
      </c>
      <c r="O3033"/>
    </row>
    <row r="3034" spans="1:15" x14ac:dyDescent="0.3">
      <c r="A3034" t="s">
        <v>3058</v>
      </c>
      <c r="B3034" s="1">
        <v>46014</v>
      </c>
      <c r="C3034" t="s">
        <v>22</v>
      </c>
      <c r="D3034" t="s">
        <v>13</v>
      </c>
      <c r="E3034" s="2">
        <v>19.82</v>
      </c>
      <c r="F3034" s="3">
        <v>64.180000000000007</v>
      </c>
      <c r="G3034" s="4">
        <v>360.89</v>
      </c>
      <c r="H3034">
        <v>1.2</v>
      </c>
      <c r="I3034" s="4">
        <v>433.07</v>
      </c>
      <c r="J3034">
        <v>3.9</v>
      </c>
      <c r="K3034" t="s">
        <v>30</v>
      </c>
      <c r="L3034" t="s">
        <v>16</v>
      </c>
      <c r="O3034"/>
    </row>
    <row r="3035" spans="1:15" x14ac:dyDescent="0.3">
      <c r="A3035" t="s">
        <v>3059</v>
      </c>
      <c r="B3035" s="1">
        <v>45883</v>
      </c>
      <c r="C3035" t="s">
        <v>21</v>
      </c>
      <c r="D3035" t="s">
        <v>13</v>
      </c>
      <c r="E3035" s="2">
        <v>1.79</v>
      </c>
      <c r="F3035" s="3">
        <v>6.07</v>
      </c>
      <c r="G3035" s="4">
        <v>35.090000000000003</v>
      </c>
      <c r="H3035">
        <v>2</v>
      </c>
      <c r="I3035" s="4">
        <v>70.180000000000007</v>
      </c>
      <c r="J3035">
        <v>4.8</v>
      </c>
      <c r="K3035" t="s">
        <v>33</v>
      </c>
      <c r="L3035" t="s">
        <v>26</v>
      </c>
      <c r="O3035"/>
    </row>
    <row r="3036" spans="1:15" x14ac:dyDescent="0.3">
      <c r="A3036" t="s">
        <v>3060</v>
      </c>
      <c r="B3036" s="1">
        <v>45748</v>
      </c>
      <c r="C3036" t="s">
        <v>13</v>
      </c>
      <c r="D3036" t="s">
        <v>21</v>
      </c>
      <c r="E3036" s="2">
        <v>17.899999999999999</v>
      </c>
      <c r="F3036" s="3">
        <v>62.02</v>
      </c>
      <c r="G3036" s="4">
        <v>240.64</v>
      </c>
      <c r="H3036">
        <v>2</v>
      </c>
      <c r="I3036" s="4">
        <v>481.28</v>
      </c>
      <c r="J3036">
        <v>4.4000000000000004</v>
      </c>
      <c r="K3036" t="s">
        <v>36</v>
      </c>
      <c r="L3036" t="s">
        <v>26</v>
      </c>
      <c r="O3036"/>
    </row>
    <row r="3037" spans="1:15" x14ac:dyDescent="0.3">
      <c r="A3037" t="s">
        <v>3061</v>
      </c>
      <c r="B3037" s="1">
        <v>45871</v>
      </c>
      <c r="C3037" t="s">
        <v>13</v>
      </c>
      <c r="D3037" t="s">
        <v>21</v>
      </c>
      <c r="E3037" s="2">
        <v>21.62</v>
      </c>
      <c r="F3037" s="3">
        <v>59.76</v>
      </c>
      <c r="G3037" s="4">
        <v>413.25</v>
      </c>
      <c r="H3037">
        <v>1.2</v>
      </c>
      <c r="I3037" s="4">
        <v>495.9</v>
      </c>
      <c r="J3037">
        <v>3.4</v>
      </c>
      <c r="K3037" t="s">
        <v>33</v>
      </c>
      <c r="L3037" t="s">
        <v>16</v>
      </c>
      <c r="O3037"/>
    </row>
    <row r="3038" spans="1:15" x14ac:dyDescent="0.3">
      <c r="A3038" t="s">
        <v>3062</v>
      </c>
      <c r="B3038" s="1">
        <v>45991</v>
      </c>
      <c r="C3038" t="s">
        <v>25</v>
      </c>
      <c r="D3038" t="s">
        <v>25</v>
      </c>
      <c r="E3038" s="2">
        <v>11.56</v>
      </c>
      <c r="F3038" s="3">
        <v>38.15</v>
      </c>
      <c r="G3038" s="4">
        <v>215.21</v>
      </c>
      <c r="H3038">
        <v>1.5</v>
      </c>
      <c r="I3038" s="4">
        <v>322.82</v>
      </c>
      <c r="J3038">
        <v>3.2</v>
      </c>
      <c r="K3038" t="s">
        <v>33</v>
      </c>
      <c r="L3038" t="s">
        <v>28</v>
      </c>
      <c r="O3038"/>
    </row>
    <row r="3039" spans="1:15" x14ac:dyDescent="0.3">
      <c r="A3039" t="s">
        <v>3063</v>
      </c>
      <c r="B3039" s="1">
        <v>45780</v>
      </c>
      <c r="C3039" t="s">
        <v>25</v>
      </c>
      <c r="D3039" t="s">
        <v>14</v>
      </c>
      <c r="E3039" s="2">
        <v>24.57</v>
      </c>
      <c r="F3039" s="3">
        <v>77.98</v>
      </c>
      <c r="G3039" s="4">
        <v>432.59</v>
      </c>
      <c r="H3039">
        <v>1.2</v>
      </c>
      <c r="I3039" s="4">
        <v>519.11</v>
      </c>
      <c r="J3039">
        <v>3.1</v>
      </c>
      <c r="K3039" t="s">
        <v>30</v>
      </c>
      <c r="L3039" t="s">
        <v>19</v>
      </c>
      <c r="O3039"/>
    </row>
    <row r="3040" spans="1:15" x14ac:dyDescent="0.3">
      <c r="A3040" t="s">
        <v>3064</v>
      </c>
      <c r="B3040" s="1">
        <v>45894</v>
      </c>
      <c r="C3040" t="s">
        <v>22</v>
      </c>
      <c r="D3040" t="s">
        <v>13</v>
      </c>
      <c r="E3040" s="2">
        <v>26.02</v>
      </c>
      <c r="F3040" s="3">
        <v>77.959999999999994</v>
      </c>
      <c r="G3040" s="4">
        <v>324.19</v>
      </c>
      <c r="H3040">
        <v>1.5</v>
      </c>
      <c r="I3040" s="4">
        <v>486.28</v>
      </c>
      <c r="J3040">
        <v>4.5999999999999996</v>
      </c>
      <c r="K3040" t="s">
        <v>30</v>
      </c>
      <c r="L3040" t="s">
        <v>16</v>
      </c>
      <c r="O3040"/>
    </row>
    <row r="3041" spans="1:15" x14ac:dyDescent="0.3">
      <c r="A3041" t="s">
        <v>3065</v>
      </c>
      <c r="B3041" s="1">
        <v>45768</v>
      </c>
      <c r="C3041" t="s">
        <v>13</v>
      </c>
      <c r="D3041" t="s">
        <v>14</v>
      </c>
      <c r="E3041" s="2">
        <v>19.34</v>
      </c>
      <c r="F3041" s="3">
        <v>52.12</v>
      </c>
      <c r="G3041" s="4">
        <v>286.86</v>
      </c>
      <c r="H3041">
        <v>1.5</v>
      </c>
      <c r="I3041" s="4">
        <v>430.29</v>
      </c>
      <c r="J3041">
        <v>4.8</v>
      </c>
      <c r="K3041" t="s">
        <v>33</v>
      </c>
      <c r="L3041" t="s">
        <v>28</v>
      </c>
      <c r="O3041"/>
    </row>
    <row r="3042" spans="1:15" x14ac:dyDescent="0.3">
      <c r="A3042" t="s">
        <v>3066</v>
      </c>
      <c r="B3042" s="1">
        <v>45670</v>
      </c>
      <c r="C3042" t="s">
        <v>14</v>
      </c>
      <c r="D3042" t="s">
        <v>22</v>
      </c>
      <c r="E3042" s="2">
        <v>10.37</v>
      </c>
      <c r="F3042" s="3">
        <v>28.32</v>
      </c>
      <c r="G3042" s="4">
        <v>108.42</v>
      </c>
      <c r="H3042">
        <v>1.5</v>
      </c>
      <c r="I3042" s="4">
        <v>162.63</v>
      </c>
      <c r="J3042">
        <v>3.1</v>
      </c>
      <c r="K3042" t="s">
        <v>18</v>
      </c>
      <c r="L3042" t="s">
        <v>28</v>
      </c>
      <c r="O3042"/>
    </row>
    <row r="3043" spans="1:15" x14ac:dyDescent="0.3">
      <c r="A3043" t="s">
        <v>3067</v>
      </c>
      <c r="B3043" s="1">
        <v>45892</v>
      </c>
      <c r="C3043" t="s">
        <v>22</v>
      </c>
      <c r="D3043" t="s">
        <v>13</v>
      </c>
      <c r="E3043" s="2">
        <v>23.43</v>
      </c>
      <c r="F3043" s="3">
        <v>53.88</v>
      </c>
      <c r="G3043" s="4">
        <v>338.37</v>
      </c>
      <c r="H3043">
        <v>1.2</v>
      </c>
      <c r="I3043" s="4">
        <v>406.04</v>
      </c>
      <c r="J3043">
        <v>4</v>
      </c>
      <c r="K3043" t="s">
        <v>33</v>
      </c>
      <c r="L3043" t="s">
        <v>28</v>
      </c>
      <c r="O3043"/>
    </row>
    <row r="3044" spans="1:15" x14ac:dyDescent="0.3">
      <c r="A3044" t="s">
        <v>3068</v>
      </c>
      <c r="B3044" s="1">
        <v>45851</v>
      </c>
      <c r="C3044" t="s">
        <v>22</v>
      </c>
      <c r="D3044" t="s">
        <v>13</v>
      </c>
      <c r="E3044" s="2">
        <v>5.58</v>
      </c>
      <c r="F3044" s="3">
        <v>21.25</v>
      </c>
      <c r="G3044" s="4">
        <v>68.67</v>
      </c>
      <c r="H3044">
        <v>1.5</v>
      </c>
      <c r="I3044" s="4">
        <v>103</v>
      </c>
      <c r="J3044">
        <v>3.2</v>
      </c>
      <c r="K3044" t="s">
        <v>33</v>
      </c>
      <c r="L3044" t="s">
        <v>26</v>
      </c>
      <c r="O3044"/>
    </row>
    <row r="3045" spans="1:15" x14ac:dyDescent="0.3">
      <c r="A3045" t="s">
        <v>3069</v>
      </c>
      <c r="B3045" s="1">
        <v>45858</v>
      </c>
      <c r="C3045" t="s">
        <v>14</v>
      </c>
      <c r="D3045" t="s">
        <v>21</v>
      </c>
      <c r="E3045" s="2">
        <v>14.3</v>
      </c>
      <c r="F3045" s="3">
        <v>29.29</v>
      </c>
      <c r="G3045" s="4">
        <v>213.73</v>
      </c>
      <c r="H3045">
        <v>1.2</v>
      </c>
      <c r="I3045" s="4">
        <v>256.48</v>
      </c>
      <c r="J3045">
        <v>3.8</v>
      </c>
      <c r="K3045" t="s">
        <v>18</v>
      </c>
      <c r="L3045" t="s">
        <v>19</v>
      </c>
      <c r="O3045"/>
    </row>
    <row r="3046" spans="1:15" x14ac:dyDescent="0.3">
      <c r="A3046" t="s">
        <v>3070</v>
      </c>
      <c r="B3046" s="1">
        <v>46021</v>
      </c>
      <c r="C3046" t="s">
        <v>22</v>
      </c>
      <c r="D3046" t="s">
        <v>21</v>
      </c>
      <c r="E3046" s="2">
        <v>18.059999999999999</v>
      </c>
      <c r="F3046" s="3">
        <v>45.39</v>
      </c>
      <c r="G3046" s="4">
        <v>282.41000000000003</v>
      </c>
      <c r="H3046">
        <v>1.2</v>
      </c>
      <c r="I3046" s="4">
        <v>338.89</v>
      </c>
      <c r="J3046">
        <v>4.9000000000000004</v>
      </c>
      <c r="K3046" t="s">
        <v>33</v>
      </c>
      <c r="L3046" t="s">
        <v>16</v>
      </c>
      <c r="O3046"/>
    </row>
    <row r="3047" spans="1:15" x14ac:dyDescent="0.3">
      <c r="A3047" t="s">
        <v>3071</v>
      </c>
      <c r="B3047" s="1">
        <v>45771</v>
      </c>
      <c r="C3047" t="s">
        <v>21</v>
      </c>
      <c r="D3047" t="s">
        <v>13</v>
      </c>
      <c r="E3047" s="2">
        <v>27.83</v>
      </c>
      <c r="F3047" s="3">
        <v>104.33</v>
      </c>
      <c r="G3047" s="4">
        <v>373.41</v>
      </c>
      <c r="H3047">
        <v>1.2</v>
      </c>
      <c r="I3047" s="4">
        <v>448.09</v>
      </c>
      <c r="J3047">
        <v>4.7</v>
      </c>
      <c r="K3047" t="s">
        <v>33</v>
      </c>
      <c r="L3047" t="s">
        <v>19</v>
      </c>
      <c r="O3047"/>
    </row>
    <row r="3048" spans="1:15" x14ac:dyDescent="0.3">
      <c r="A3048" t="s">
        <v>3072</v>
      </c>
      <c r="B3048" s="1">
        <v>45863</v>
      </c>
      <c r="C3048" t="s">
        <v>13</v>
      </c>
      <c r="D3048" t="s">
        <v>21</v>
      </c>
      <c r="E3048" s="2">
        <v>19.89</v>
      </c>
      <c r="F3048" s="3">
        <v>61.06</v>
      </c>
      <c r="G3048" s="4">
        <v>290.26</v>
      </c>
      <c r="H3048">
        <v>2</v>
      </c>
      <c r="I3048" s="4">
        <v>580.52</v>
      </c>
      <c r="J3048">
        <v>3.8</v>
      </c>
      <c r="K3048" t="s">
        <v>15</v>
      </c>
      <c r="L3048" t="s">
        <v>26</v>
      </c>
      <c r="O3048"/>
    </row>
    <row r="3049" spans="1:15" x14ac:dyDescent="0.3">
      <c r="A3049" t="s">
        <v>3073</v>
      </c>
      <c r="B3049" s="1">
        <v>45939</v>
      </c>
      <c r="C3049" t="s">
        <v>13</v>
      </c>
      <c r="D3049" t="s">
        <v>22</v>
      </c>
      <c r="E3049" s="2">
        <v>11.25</v>
      </c>
      <c r="F3049" s="3">
        <v>36.65</v>
      </c>
      <c r="G3049" s="4">
        <v>212.09</v>
      </c>
      <c r="H3049">
        <v>1.5</v>
      </c>
      <c r="I3049" s="4">
        <v>318.14</v>
      </c>
      <c r="J3049">
        <v>4</v>
      </c>
      <c r="K3049" t="s">
        <v>30</v>
      </c>
      <c r="L3049" t="s">
        <v>16</v>
      </c>
      <c r="O3049"/>
    </row>
    <row r="3050" spans="1:15" x14ac:dyDescent="0.3">
      <c r="A3050" t="s">
        <v>3074</v>
      </c>
      <c r="B3050" s="1">
        <v>45780</v>
      </c>
      <c r="C3050" t="s">
        <v>13</v>
      </c>
      <c r="D3050" t="s">
        <v>13</v>
      </c>
      <c r="E3050" s="2">
        <v>9.2799999999999994</v>
      </c>
      <c r="F3050" s="3">
        <v>25.03</v>
      </c>
      <c r="G3050" s="4">
        <v>138.6</v>
      </c>
      <c r="H3050">
        <v>1.2</v>
      </c>
      <c r="I3050" s="4">
        <v>166.32</v>
      </c>
      <c r="J3050">
        <v>3.7</v>
      </c>
      <c r="K3050" t="s">
        <v>30</v>
      </c>
      <c r="L3050" t="s">
        <v>19</v>
      </c>
      <c r="O3050"/>
    </row>
    <row r="3051" spans="1:15" x14ac:dyDescent="0.3">
      <c r="A3051" t="s">
        <v>3075</v>
      </c>
      <c r="B3051" s="1">
        <v>45895</v>
      </c>
      <c r="C3051" t="s">
        <v>13</v>
      </c>
      <c r="D3051" t="s">
        <v>14</v>
      </c>
      <c r="E3051" s="2">
        <v>5.74</v>
      </c>
      <c r="F3051" s="3">
        <v>15.42</v>
      </c>
      <c r="G3051" s="4">
        <v>89.66</v>
      </c>
      <c r="H3051">
        <v>2</v>
      </c>
      <c r="I3051" s="4">
        <v>179.32</v>
      </c>
      <c r="J3051">
        <v>4.7</v>
      </c>
      <c r="K3051" t="s">
        <v>15</v>
      </c>
      <c r="L3051" t="s">
        <v>16</v>
      </c>
      <c r="O3051"/>
    </row>
    <row r="3052" spans="1:15" x14ac:dyDescent="0.3">
      <c r="A3052" t="s">
        <v>3076</v>
      </c>
      <c r="B3052" s="1">
        <v>45886</v>
      </c>
      <c r="C3052" t="s">
        <v>13</v>
      </c>
      <c r="D3052" t="s">
        <v>13</v>
      </c>
      <c r="E3052" s="2">
        <v>22.42</v>
      </c>
      <c r="F3052" s="3">
        <v>77.900000000000006</v>
      </c>
      <c r="G3052" s="4">
        <v>320.07</v>
      </c>
      <c r="H3052">
        <v>1.5</v>
      </c>
      <c r="I3052" s="4">
        <v>480.1</v>
      </c>
      <c r="J3052">
        <v>4.8</v>
      </c>
      <c r="K3052" t="s">
        <v>30</v>
      </c>
      <c r="L3052" t="s">
        <v>26</v>
      </c>
      <c r="O3052"/>
    </row>
    <row r="3053" spans="1:15" x14ac:dyDescent="0.3">
      <c r="A3053" t="s">
        <v>3077</v>
      </c>
      <c r="B3053" s="1">
        <v>45913</v>
      </c>
      <c r="C3053" t="s">
        <v>25</v>
      </c>
      <c r="D3053" t="s">
        <v>21</v>
      </c>
      <c r="E3053" s="2">
        <v>3.07</v>
      </c>
      <c r="F3053" s="3">
        <v>8.14</v>
      </c>
      <c r="G3053" s="4">
        <v>37.85</v>
      </c>
      <c r="H3053">
        <v>2</v>
      </c>
      <c r="I3053" s="4">
        <v>75.7</v>
      </c>
      <c r="J3053">
        <v>4.3</v>
      </c>
      <c r="K3053" t="s">
        <v>15</v>
      </c>
      <c r="L3053" t="s">
        <v>16</v>
      </c>
      <c r="O3053"/>
    </row>
    <row r="3054" spans="1:15" x14ac:dyDescent="0.3">
      <c r="A3054" t="s">
        <v>3078</v>
      </c>
      <c r="B3054" s="1">
        <v>45971</v>
      </c>
      <c r="C3054" t="s">
        <v>25</v>
      </c>
      <c r="D3054" t="s">
        <v>21</v>
      </c>
      <c r="E3054" s="2">
        <v>5.14</v>
      </c>
      <c r="F3054" s="3">
        <v>10.85</v>
      </c>
      <c r="G3054" s="4">
        <v>83.56</v>
      </c>
      <c r="H3054">
        <v>1.5</v>
      </c>
      <c r="I3054" s="4">
        <v>125.34</v>
      </c>
      <c r="J3054">
        <v>3.4</v>
      </c>
      <c r="K3054" t="s">
        <v>30</v>
      </c>
      <c r="L3054" t="s">
        <v>19</v>
      </c>
      <c r="O3054"/>
    </row>
    <row r="3055" spans="1:15" x14ac:dyDescent="0.3">
      <c r="A3055" t="s">
        <v>3079</v>
      </c>
      <c r="B3055" s="1">
        <v>45946</v>
      </c>
      <c r="C3055" t="s">
        <v>22</v>
      </c>
      <c r="D3055" t="s">
        <v>14</v>
      </c>
      <c r="E3055" s="2">
        <v>28.75</v>
      </c>
      <c r="F3055" s="3">
        <v>84.05</v>
      </c>
      <c r="G3055" s="4">
        <v>295.95999999999998</v>
      </c>
      <c r="H3055">
        <v>2</v>
      </c>
      <c r="I3055" s="4">
        <v>591.91999999999996</v>
      </c>
      <c r="J3055">
        <v>3.2</v>
      </c>
      <c r="K3055" t="s">
        <v>18</v>
      </c>
      <c r="L3055" t="s">
        <v>16</v>
      </c>
      <c r="O3055"/>
    </row>
    <row r="3056" spans="1:15" x14ac:dyDescent="0.3">
      <c r="A3056" t="s">
        <v>3080</v>
      </c>
      <c r="B3056" s="1">
        <v>46015</v>
      </c>
      <c r="C3056" t="s">
        <v>25</v>
      </c>
      <c r="D3056" t="s">
        <v>21</v>
      </c>
      <c r="E3056" s="2">
        <v>10.53</v>
      </c>
      <c r="F3056" s="3">
        <v>21.63</v>
      </c>
      <c r="G3056" s="4">
        <v>152.09</v>
      </c>
      <c r="H3056">
        <v>2</v>
      </c>
      <c r="I3056" s="4">
        <v>304.18</v>
      </c>
      <c r="J3056">
        <v>4.5999999999999996</v>
      </c>
      <c r="K3056" t="s">
        <v>30</v>
      </c>
      <c r="L3056" t="s">
        <v>28</v>
      </c>
      <c r="O3056"/>
    </row>
    <row r="3057" spans="1:15" x14ac:dyDescent="0.3">
      <c r="A3057" t="s">
        <v>3081</v>
      </c>
      <c r="B3057" s="1">
        <v>45978</v>
      </c>
      <c r="C3057" t="s">
        <v>14</v>
      </c>
      <c r="D3057" t="s">
        <v>22</v>
      </c>
      <c r="E3057" s="2">
        <v>18.97</v>
      </c>
      <c r="F3057" s="3">
        <v>39.369999999999997</v>
      </c>
      <c r="G3057" s="4">
        <v>244.84</v>
      </c>
      <c r="H3057">
        <v>2</v>
      </c>
      <c r="I3057" s="4">
        <v>489.68</v>
      </c>
      <c r="J3057">
        <v>3.8</v>
      </c>
      <c r="K3057" t="s">
        <v>36</v>
      </c>
      <c r="L3057" t="s">
        <v>26</v>
      </c>
      <c r="O3057"/>
    </row>
    <row r="3058" spans="1:15" x14ac:dyDescent="0.3">
      <c r="A3058" t="s">
        <v>3082</v>
      </c>
      <c r="B3058" s="1">
        <v>45720</v>
      </c>
      <c r="C3058" t="s">
        <v>13</v>
      </c>
      <c r="D3058" t="s">
        <v>25</v>
      </c>
      <c r="E3058" s="2">
        <v>9.59</v>
      </c>
      <c r="F3058" s="3">
        <v>24.7</v>
      </c>
      <c r="G3058" s="4">
        <v>190.17</v>
      </c>
      <c r="H3058">
        <v>1.5</v>
      </c>
      <c r="I3058" s="4">
        <v>285.26</v>
      </c>
      <c r="J3058">
        <v>3.7</v>
      </c>
      <c r="K3058" t="s">
        <v>30</v>
      </c>
      <c r="L3058" t="s">
        <v>16</v>
      </c>
      <c r="O3058"/>
    </row>
    <row r="3059" spans="1:15" x14ac:dyDescent="0.3">
      <c r="A3059" t="s">
        <v>3083</v>
      </c>
      <c r="B3059" s="1">
        <v>45876</v>
      </c>
      <c r="C3059" t="s">
        <v>25</v>
      </c>
      <c r="D3059" t="s">
        <v>21</v>
      </c>
      <c r="E3059" s="2">
        <v>2.38</v>
      </c>
      <c r="F3059" s="3">
        <v>6.13</v>
      </c>
      <c r="G3059" s="4">
        <v>35.549999999999997</v>
      </c>
      <c r="H3059">
        <v>1.2</v>
      </c>
      <c r="I3059" s="4">
        <v>42.66</v>
      </c>
      <c r="J3059">
        <v>3.1</v>
      </c>
      <c r="K3059" t="s">
        <v>30</v>
      </c>
      <c r="L3059" t="s">
        <v>16</v>
      </c>
      <c r="O3059"/>
    </row>
    <row r="3060" spans="1:15" x14ac:dyDescent="0.3">
      <c r="A3060" t="s">
        <v>3084</v>
      </c>
      <c r="B3060" s="1">
        <v>45722</v>
      </c>
      <c r="C3060" t="s">
        <v>25</v>
      </c>
      <c r="D3060" t="s">
        <v>25</v>
      </c>
      <c r="E3060" s="2">
        <v>29.23</v>
      </c>
      <c r="F3060" s="3">
        <v>80.680000000000007</v>
      </c>
      <c r="G3060" s="4">
        <v>457.74</v>
      </c>
      <c r="H3060">
        <v>1.2</v>
      </c>
      <c r="I3060" s="4">
        <v>549.29</v>
      </c>
      <c r="J3060">
        <v>4.8</v>
      </c>
      <c r="K3060" t="s">
        <v>15</v>
      </c>
      <c r="L3060" t="s">
        <v>19</v>
      </c>
      <c r="O3060"/>
    </row>
    <row r="3061" spans="1:15" x14ac:dyDescent="0.3">
      <c r="A3061" t="s">
        <v>3085</v>
      </c>
      <c r="B3061" s="1">
        <v>45673</v>
      </c>
      <c r="C3061" t="s">
        <v>21</v>
      </c>
      <c r="D3061" t="s">
        <v>22</v>
      </c>
      <c r="E3061" s="2">
        <v>10.77</v>
      </c>
      <c r="F3061" s="3">
        <v>23.95</v>
      </c>
      <c r="G3061" s="4">
        <v>138.04</v>
      </c>
      <c r="H3061">
        <v>1.2</v>
      </c>
      <c r="I3061" s="4">
        <v>165.65</v>
      </c>
      <c r="J3061">
        <v>4.0999999999999996</v>
      </c>
      <c r="K3061" t="s">
        <v>33</v>
      </c>
      <c r="L3061" t="s">
        <v>16</v>
      </c>
      <c r="O3061"/>
    </row>
    <row r="3062" spans="1:15" x14ac:dyDescent="0.3">
      <c r="A3062" t="s">
        <v>3086</v>
      </c>
      <c r="B3062" s="1">
        <v>45887</v>
      </c>
      <c r="C3062" t="s">
        <v>21</v>
      </c>
      <c r="D3062" t="s">
        <v>13</v>
      </c>
      <c r="E3062" s="2">
        <v>20.69</v>
      </c>
      <c r="F3062" s="3">
        <v>61.72</v>
      </c>
      <c r="G3062" s="4">
        <v>366.62</v>
      </c>
      <c r="H3062">
        <v>1.5</v>
      </c>
      <c r="I3062" s="4">
        <v>549.92999999999995</v>
      </c>
      <c r="J3062">
        <v>3.3</v>
      </c>
      <c r="K3062" t="s">
        <v>36</v>
      </c>
      <c r="L3062" t="s">
        <v>19</v>
      </c>
      <c r="O3062"/>
    </row>
    <row r="3063" spans="1:15" x14ac:dyDescent="0.3">
      <c r="A3063" t="s">
        <v>3087</v>
      </c>
      <c r="B3063" s="1">
        <v>45966</v>
      </c>
      <c r="C3063" t="s">
        <v>14</v>
      </c>
      <c r="D3063" t="s">
        <v>13</v>
      </c>
      <c r="E3063" s="2">
        <v>9.16</v>
      </c>
      <c r="F3063" s="3">
        <v>22.06</v>
      </c>
      <c r="G3063" s="4">
        <v>178.24</v>
      </c>
      <c r="H3063">
        <v>1.2</v>
      </c>
      <c r="I3063" s="4">
        <v>213.89</v>
      </c>
      <c r="J3063">
        <v>4.5</v>
      </c>
      <c r="K3063" t="s">
        <v>33</v>
      </c>
      <c r="L3063" t="s">
        <v>28</v>
      </c>
      <c r="O3063"/>
    </row>
    <row r="3064" spans="1:15" x14ac:dyDescent="0.3">
      <c r="A3064" t="s">
        <v>3088</v>
      </c>
      <c r="B3064" s="1">
        <v>45851</v>
      </c>
      <c r="C3064" t="s">
        <v>22</v>
      </c>
      <c r="D3064" t="s">
        <v>22</v>
      </c>
      <c r="E3064" s="2">
        <v>3.34</v>
      </c>
      <c r="F3064" s="3">
        <v>13.23</v>
      </c>
      <c r="G3064" s="4">
        <v>64.08</v>
      </c>
      <c r="H3064">
        <v>1</v>
      </c>
      <c r="I3064" s="4">
        <v>64.08</v>
      </c>
      <c r="J3064">
        <v>4.5999999999999996</v>
      </c>
      <c r="K3064" t="s">
        <v>30</v>
      </c>
      <c r="L3064" t="s">
        <v>16</v>
      </c>
      <c r="O3064"/>
    </row>
    <row r="3065" spans="1:15" x14ac:dyDescent="0.3">
      <c r="A3065" t="s">
        <v>3089</v>
      </c>
      <c r="B3065" s="1">
        <v>45955</v>
      </c>
      <c r="C3065" t="s">
        <v>22</v>
      </c>
      <c r="D3065" t="s">
        <v>13</v>
      </c>
      <c r="E3065" s="2">
        <v>6.52</v>
      </c>
      <c r="F3065" s="3">
        <v>15.93</v>
      </c>
      <c r="G3065" s="4">
        <v>94.09</v>
      </c>
      <c r="H3065">
        <v>2</v>
      </c>
      <c r="I3065" s="4">
        <v>188.18</v>
      </c>
      <c r="J3065">
        <v>4.0999999999999996</v>
      </c>
      <c r="K3065" t="s">
        <v>18</v>
      </c>
      <c r="L3065" t="s">
        <v>26</v>
      </c>
      <c r="O3065"/>
    </row>
    <row r="3066" spans="1:15" x14ac:dyDescent="0.3">
      <c r="A3066" t="s">
        <v>3090</v>
      </c>
      <c r="B3066" s="1">
        <v>45915</v>
      </c>
      <c r="C3066" t="s">
        <v>14</v>
      </c>
      <c r="D3066" t="s">
        <v>21</v>
      </c>
      <c r="E3066" s="2">
        <v>12.05</v>
      </c>
      <c r="F3066" s="3">
        <v>41.42</v>
      </c>
      <c r="G3066" s="4">
        <v>227.01</v>
      </c>
      <c r="H3066">
        <v>2</v>
      </c>
      <c r="I3066" s="4">
        <v>454.02</v>
      </c>
      <c r="J3066">
        <v>3.8</v>
      </c>
      <c r="K3066" t="s">
        <v>30</v>
      </c>
      <c r="L3066" t="s">
        <v>19</v>
      </c>
      <c r="O3066"/>
    </row>
    <row r="3067" spans="1:15" x14ac:dyDescent="0.3">
      <c r="A3067" t="s">
        <v>3091</v>
      </c>
      <c r="B3067" s="1">
        <v>45855</v>
      </c>
      <c r="C3067" t="s">
        <v>13</v>
      </c>
      <c r="D3067" t="s">
        <v>14</v>
      </c>
      <c r="E3067" s="2">
        <v>15.83</v>
      </c>
      <c r="F3067" s="3">
        <v>53.85</v>
      </c>
      <c r="G3067" s="4">
        <v>293.75</v>
      </c>
      <c r="H3067">
        <v>1.2</v>
      </c>
      <c r="I3067" s="4">
        <v>352.5</v>
      </c>
      <c r="J3067">
        <v>3.6</v>
      </c>
      <c r="K3067" t="s">
        <v>33</v>
      </c>
      <c r="L3067" t="s">
        <v>19</v>
      </c>
      <c r="O3067"/>
    </row>
    <row r="3068" spans="1:15" x14ac:dyDescent="0.3">
      <c r="A3068" t="s">
        <v>3092</v>
      </c>
      <c r="B3068" s="1">
        <v>45807</v>
      </c>
      <c r="C3068" t="s">
        <v>14</v>
      </c>
      <c r="D3068" t="s">
        <v>22</v>
      </c>
      <c r="E3068" s="2">
        <v>6.15</v>
      </c>
      <c r="F3068" s="3">
        <v>14.26</v>
      </c>
      <c r="G3068" s="4">
        <v>101.93</v>
      </c>
      <c r="H3068">
        <v>1</v>
      </c>
      <c r="I3068" s="4">
        <v>101.93</v>
      </c>
      <c r="J3068">
        <v>3.5</v>
      </c>
      <c r="K3068" t="s">
        <v>33</v>
      </c>
      <c r="L3068" t="s">
        <v>28</v>
      </c>
      <c r="O3068"/>
    </row>
    <row r="3069" spans="1:15" x14ac:dyDescent="0.3">
      <c r="A3069" t="s">
        <v>3093</v>
      </c>
      <c r="B3069" s="1">
        <v>45834</v>
      </c>
      <c r="C3069" t="s">
        <v>22</v>
      </c>
      <c r="D3069" t="s">
        <v>21</v>
      </c>
      <c r="E3069" s="2">
        <v>22.61</v>
      </c>
      <c r="F3069" s="3">
        <v>70.87</v>
      </c>
      <c r="G3069" s="4">
        <v>295.18</v>
      </c>
      <c r="H3069">
        <v>1.5</v>
      </c>
      <c r="I3069" s="4">
        <v>442.77</v>
      </c>
      <c r="J3069">
        <v>3.6</v>
      </c>
      <c r="K3069" t="s">
        <v>33</v>
      </c>
      <c r="L3069" t="s">
        <v>16</v>
      </c>
      <c r="O3069"/>
    </row>
    <row r="3070" spans="1:15" x14ac:dyDescent="0.3">
      <c r="A3070" t="s">
        <v>3094</v>
      </c>
      <c r="B3070" s="1">
        <v>45919</v>
      </c>
      <c r="C3070" t="s">
        <v>21</v>
      </c>
      <c r="D3070" t="s">
        <v>21</v>
      </c>
      <c r="E3070" s="2">
        <v>16.13</v>
      </c>
      <c r="F3070" s="3">
        <v>49.05</v>
      </c>
      <c r="G3070" s="4">
        <v>173.19</v>
      </c>
      <c r="H3070">
        <v>1</v>
      </c>
      <c r="I3070" s="4">
        <v>173.19</v>
      </c>
      <c r="J3070">
        <v>4.9000000000000004</v>
      </c>
      <c r="K3070" t="s">
        <v>30</v>
      </c>
      <c r="L3070" t="s">
        <v>28</v>
      </c>
      <c r="O3070"/>
    </row>
    <row r="3071" spans="1:15" x14ac:dyDescent="0.3">
      <c r="A3071" t="s">
        <v>3095</v>
      </c>
      <c r="B3071" s="1">
        <v>45881</v>
      </c>
      <c r="C3071" t="s">
        <v>25</v>
      </c>
      <c r="D3071" t="s">
        <v>14</v>
      </c>
      <c r="E3071" s="2">
        <v>19.3</v>
      </c>
      <c r="F3071" s="3">
        <v>60.54</v>
      </c>
      <c r="G3071" s="4">
        <v>364.83</v>
      </c>
      <c r="H3071">
        <v>1.5</v>
      </c>
      <c r="I3071" s="4">
        <v>547.24</v>
      </c>
      <c r="J3071">
        <v>4.8</v>
      </c>
      <c r="K3071" t="s">
        <v>15</v>
      </c>
      <c r="L3071" t="s">
        <v>26</v>
      </c>
      <c r="O3071"/>
    </row>
    <row r="3072" spans="1:15" x14ac:dyDescent="0.3">
      <c r="A3072" t="s">
        <v>3096</v>
      </c>
      <c r="B3072" s="1">
        <v>45834</v>
      </c>
      <c r="C3072" t="s">
        <v>21</v>
      </c>
      <c r="D3072" t="s">
        <v>14</v>
      </c>
      <c r="E3072" s="2">
        <v>28.84</v>
      </c>
      <c r="F3072" s="3">
        <v>70.7</v>
      </c>
      <c r="G3072" s="4">
        <v>497.59</v>
      </c>
      <c r="H3072">
        <v>1</v>
      </c>
      <c r="I3072" s="4">
        <v>497.59</v>
      </c>
      <c r="J3072">
        <v>4.9000000000000004</v>
      </c>
      <c r="K3072" t="s">
        <v>18</v>
      </c>
      <c r="L3072" t="s">
        <v>28</v>
      </c>
      <c r="O3072"/>
    </row>
    <row r="3073" spans="1:15" x14ac:dyDescent="0.3">
      <c r="A3073" t="s">
        <v>3097</v>
      </c>
      <c r="B3073" s="1">
        <v>45848</v>
      </c>
      <c r="C3073" t="s">
        <v>14</v>
      </c>
      <c r="D3073" t="s">
        <v>21</v>
      </c>
      <c r="E3073" s="2">
        <v>14.71</v>
      </c>
      <c r="F3073" s="3">
        <v>31.22</v>
      </c>
      <c r="G3073" s="4">
        <v>223.89</v>
      </c>
      <c r="H3073">
        <v>2</v>
      </c>
      <c r="I3073" s="4">
        <v>447.78</v>
      </c>
      <c r="J3073">
        <v>4.7</v>
      </c>
      <c r="K3073" t="s">
        <v>15</v>
      </c>
      <c r="L3073" t="s">
        <v>16</v>
      </c>
      <c r="O3073"/>
    </row>
    <row r="3074" spans="1:15" x14ac:dyDescent="0.3">
      <c r="A3074" t="s">
        <v>3098</v>
      </c>
      <c r="B3074" s="1">
        <v>45740</v>
      </c>
      <c r="C3074" t="s">
        <v>25</v>
      </c>
      <c r="D3074" t="s">
        <v>14</v>
      </c>
      <c r="E3074" s="2">
        <v>10.72</v>
      </c>
      <c r="F3074" s="3">
        <v>29.83</v>
      </c>
      <c r="G3074" s="4">
        <v>213.32</v>
      </c>
      <c r="H3074">
        <v>1.2</v>
      </c>
      <c r="I3074" s="4">
        <v>255.98</v>
      </c>
      <c r="J3074">
        <v>3.8</v>
      </c>
      <c r="K3074" t="s">
        <v>36</v>
      </c>
      <c r="L3074" t="s">
        <v>28</v>
      </c>
      <c r="O3074"/>
    </row>
    <row r="3075" spans="1:15" x14ac:dyDescent="0.3">
      <c r="A3075" t="s">
        <v>3099</v>
      </c>
      <c r="B3075" s="1">
        <v>45718</v>
      </c>
      <c r="C3075" t="s">
        <v>22</v>
      </c>
      <c r="D3075" t="s">
        <v>25</v>
      </c>
      <c r="E3075" s="2">
        <v>25.14</v>
      </c>
      <c r="F3075" s="3">
        <v>81.56</v>
      </c>
      <c r="G3075" s="4">
        <v>260.81</v>
      </c>
      <c r="H3075">
        <v>1.2</v>
      </c>
      <c r="I3075" s="4">
        <v>312.97000000000003</v>
      </c>
      <c r="J3075">
        <v>4</v>
      </c>
      <c r="K3075" t="s">
        <v>36</v>
      </c>
      <c r="L3075" t="s">
        <v>16</v>
      </c>
      <c r="O3075"/>
    </row>
    <row r="3076" spans="1:15" x14ac:dyDescent="0.3">
      <c r="A3076" t="s">
        <v>3100</v>
      </c>
      <c r="B3076" s="1">
        <v>45689</v>
      </c>
      <c r="C3076" t="s">
        <v>21</v>
      </c>
      <c r="D3076" t="s">
        <v>13</v>
      </c>
      <c r="E3076" s="2">
        <v>12.71</v>
      </c>
      <c r="F3076" s="3">
        <v>39.94</v>
      </c>
      <c r="G3076" s="4">
        <v>128.07</v>
      </c>
      <c r="H3076">
        <v>1.5</v>
      </c>
      <c r="I3076" s="4">
        <v>192.1</v>
      </c>
      <c r="J3076">
        <v>4</v>
      </c>
      <c r="K3076" t="s">
        <v>18</v>
      </c>
      <c r="L3076" t="s">
        <v>16</v>
      </c>
      <c r="O3076"/>
    </row>
    <row r="3077" spans="1:15" x14ac:dyDescent="0.3">
      <c r="A3077" t="s">
        <v>3101</v>
      </c>
      <c r="B3077" s="1">
        <v>45904</v>
      </c>
      <c r="C3077" t="s">
        <v>22</v>
      </c>
      <c r="D3077" t="s">
        <v>14</v>
      </c>
      <c r="E3077" s="2">
        <v>22.63</v>
      </c>
      <c r="F3077" s="3">
        <v>56.73</v>
      </c>
      <c r="G3077" s="4">
        <v>424.47</v>
      </c>
      <c r="H3077">
        <v>1.2</v>
      </c>
      <c r="I3077" s="4">
        <v>509.36</v>
      </c>
      <c r="J3077">
        <v>4.9000000000000004</v>
      </c>
      <c r="K3077" t="s">
        <v>18</v>
      </c>
      <c r="L3077" t="s">
        <v>16</v>
      </c>
      <c r="O3077"/>
    </row>
    <row r="3078" spans="1:15" x14ac:dyDescent="0.3">
      <c r="A3078" t="s">
        <v>3102</v>
      </c>
      <c r="B3078" s="1">
        <v>45897</v>
      </c>
      <c r="C3078" t="s">
        <v>22</v>
      </c>
      <c r="D3078" t="s">
        <v>25</v>
      </c>
      <c r="E3078" s="2">
        <v>26.1</v>
      </c>
      <c r="F3078" s="3">
        <v>74.010000000000005</v>
      </c>
      <c r="G3078" s="4">
        <v>456.83</v>
      </c>
      <c r="H3078">
        <v>1</v>
      </c>
      <c r="I3078" s="4">
        <v>456.83</v>
      </c>
      <c r="J3078">
        <v>4.5999999999999996</v>
      </c>
      <c r="K3078" t="s">
        <v>36</v>
      </c>
      <c r="L3078" t="s">
        <v>26</v>
      </c>
      <c r="O3078"/>
    </row>
    <row r="3079" spans="1:15" x14ac:dyDescent="0.3">
      <c r="A3079" t="s">
        <v>3103</v>
      </c>
      <c r="B3079" s="1">
        <v>46013</v>
      </c>
      <c r="C3079" t="s">
        <v>13</v>
      </c>
      <c r="D3079" t="s">
        <v>13</v>
      </c>
      <c r="E3079" s="2">
        <v>24.49</v>
      </c>
      <c r="F3079" s="3">
        <v>77.61</v>
      </c>
      <c r="G3079" s="4">
        <v>340.55</v>
      </c>
      <c r="H3079">
        <v>1.2</v>
      </c>
      <c r="I3079" s="4">
        <v>408.66</v>
      </c>
      <c r="J3079">
        <v>3.3</v>
      </c>
      <c r="K3079" t="s">
        <v>30</v>
      </c>
      <c r="L3079" t="s">
        <v>26</v>
      </c>
      <c r="O3079"/>
    </row>
    <row r="3080" spans="1:15" x14ac:dyDescent="0.3">
      <c r="A3080" t="s">
        <v>3104</v>
      </c>
      <c r="B3080" s="1">
        <v>46006</v>
      </c>
      <c r="C3080" t="s">
        <v>22</v>
      </c>
      <c r="D3080" t="s">
        <v>25</v>
      </c>
      <c r="E3080" s="2">
        <v>2.0299999999999998</v>
      </c>
      <c r="F3080" s="3">
        <v>7.56</v>
      </c>
      <c r="G3080" s="4">
        <v>27.61</v>
      </c>
      <c r="H3080">
        <v>2</v>
      </c>
      <c r="I3080" s="4">
        <v>55.22</v>
      </c>
      <c r="J3080">
        <v>3.5</v>
      </c>
      <c r="K3080" t="s">
        <v>30</v>
      </c>
      <c r="L3080" t="s">
        <v>28</v>
      </c>
      <c r="O3080"/>
    </row>
    <row r="3081" spans="1:15" x14ac:dyDescent="0.3">
      <c r="A3081" t="s">
        <v>3105</v>
      </c>
      <c r="B3081" s="1">
        <v>45996</v>
      </c>
      <c r="C3081" t="s">
        <v>13</v>
      </c>
      <c r="D3081" t="s">
        <v>21</v>
      </c>
      <c r="E3081" s="2">
        <v>5.4</v>
      </c>
      <c r="F3081" s="3">
        <v>16.920000000000002</v>
      </c>
      <c r="G3081" s="4">
        <v>95.28</v>
      </c>
      <c r="H3081">
        <v>1.2</v>
      </c>
      <c r="I3081" s="4">
        <v>114.34</v>
      </c>
      <c r="J3081">
        <v>4.5999999999999996</v>
      </c>
      <c r="K3081" t="s">
        <v>15</v>
      </c>
      <c r="L3081" t="s">
        <v>19</v>
      </c>
      <c r="O3081"/>
    </row>
    <row r="3082" spans="1:15" x14ac:dyDescent="0.3">
      <c r="A3082" t="s">
        <v>3106</v>
      </c>
      <c r="B3082" s="1">
        <v>46002</v>
      </c>
      <c r="C3082" t="s">
        <v>22</v>
      </c>
      <c r="D3082" t="s">
        <v>13</v>
      </c>
      <c r="E3082" s="2">
        <v>19.12</v>
      </c>
      <c r="F3082" s="3">
        <v>67.209999999999994</v>
      </c>
      <c r="G3082" s="4">
        <v>352</v>
      </c>
      <c r="H3082">
        <v>1.5</v>
      </c>
      <c r="I3082" s="4">
        <v>528</v>
      </c>
      <c r="J3082">
        <v>3</v>
      </c>
      <c r="K3082" t="s">
        <v>33</v>
      </c>
      <c r="L3082" t="s">
        <v>28</v>
      </c>
      <c r="O3082"/>
    </row>
    <row r="3083" spans="1:15" x14ac:dyDescent="0.3">
      <c r="A3083" t="s">
        <v>3107</v>
      </c>
      <c r="B3083" s="1">
        <v>45973</v>
      </c>
      <c r="C3083" t="s">
        <v>21</v>
      </c>
      <c r="D3083" t="s">
        <v>14</v>
      </c>
      <c r="E3083" s="2">
        <v>29.91</v>
      </c>
      <c r="F3083" s="3">
        <v>85.81</v>
      </c>
      <c r="G3083" s="4">
        <v>306.42</v>
      </c>
      <c r="H3083">
        <v>1</v>
      </c>
      <c r="I3083" s="4">
        <v>306.42</v>
      </c>
      <c r="J3083">
        <v>3.8</v>
      </c>
      <c r="K3083" t="s">
        <v>18</v>
      </c>
      <c r="L3083" t="s">
        <v>28</v>
      </c>
      <c r="O3083"/>
    </row>
    <row r="3084" spans="1:15" x14ac:dyDescent="0.3">
      <c r="A3084" t="s">
        <v>3108</v>
      </c>
      <c r="B3084" s="1">
        <v>45857</v>
      </c>
      <c r="C3084" t="s">
        <v>14</v>
      </c>
      <c r="D3084" t="s">
        <v>22</v>
      </c>
      <c r="E3084" s="2">
        <v>4.5199999999999996</v>
      </c>
      <c r="F3084" s="3">
        <v>11.59</v>
      </c>
      <c r="G3084" s="4">
        <v>47.61</v>
      </c>
      <c r="H3084">
        <v>1</v>
      </c>
      <c r="I3084" s="4">
        <v>47.61</v>
      </c>
      <c r="J3084">
        <v>4.3</v>
      </c>
      <c r="K3084" t="s">
        <v>18</v>
      </c>
      <c r="L3084" t="s">
        <v>16</v>
      </c>
      <c r="O3084"/>
    </row>
    <row r="3085" spans="1:15" x14ac:dyDescent="0.3">
      <c r="A3085" t="s">
        <v>3109</v>
      </c>
      <c r="B3085" s="1">
        <v>46011</v>
      </c>
      <c r="C3085" t="s">
        <v>21</v>
      </c>
      <c r="D3085" t="s">
        <v>25</v>
      </c>
      <c r="E3085" s="2">
        <v>6.9</v>
      </c>
      <c r="F3085" s="3">
        <v>15.08</v>
      </c>
      <c r="G3085" s="4">
        <v>73.36</v>
      </c>
      <c r="H3085">
        <v>2</v>
      </c>
      <c r="I3085" s="4">
        <v>146.72</v>
      </c>
      <c r="J3085">
        <v>3.4</v>
      </c>
      <c r="K3085" t="s">
        <v>33</v>
      </c>
      <c r="L3085" t="s">
        <v>16</v>
      </c>
      <c r="O3085"/>
    </row>
    <row r="3086" spans="1:15" x14ac:dyDescent="0.3">
      <c r="A3086" t="s">
        <v>3110</v>
      </c>
      <c r="B3086" s="1">
        <v>45861</v>
      </c>
      <c r="C3086" t="s">
        <v>14</v>
      </c>
      <c r="D3086" t="s">
        <v>21</v>
      </c>
      <c r="E3086" s="2">
        <v>28.98</v>
      </c>
      <c r="F3086" s="3">
        <v>108.71</v>
      </c>
      <c r="G3086" s="4">
        <v>543.65</v>
      </c>
      <c r="H3086">
        <v>1.5</v>
      </c>
      <c r="I3086" s="4">
        <v>815.47</v>
      </c>
      <c r="J3086">
        <v>4.0999999999999996</v>
      </c>
      <c r="K3086" t="s">
        <v>18</v>
      </c>
      <c r="L3086" t="s">
        <v>16</v>
      </c>
      <c r="O3086"/>
    </row>
    <row r="3087" spans="1:15" x14ac:dyDescent="0.3">
      <c r="A3087" t="s">
        <v>3111</v>
      </c>
      <c r="B3087" s="1">
        <v>45951</v>
      </c>
      <c r="C3087" t="s">
        <v>14</v>
      </c>
      <c r="D3087" t="s">
        <v>14</v>
      </c>
      <c r="E3087" s="2">
        <v>13.02</v>
      </c>
      <c r="F3087" s="3">
        <v>49.56</v>
      </c>
      <c r="G3087" s="4">
        <v>177.43</v>
      </c>
      <c r="H3087">
        <v>2</v>
      </c>
      <c r="I3087" s="4">
        <v>354.86</v>
      </c>
      <c r="J3087">
        <v>3.5</v>
      </c>
      <c r="K3087" t="s">
        <v>18</v>
      </c>
      <c r="L3087" t="s">
        <v>16</v>
      </c>
      <c r="O3087"/>
    </row>
    <row r="3088" spans="1:15" x14ac:dyDescent="0.3">
      <c r="A3088" t="s">
        <v>3112</v>
      </c>
      <c r="B3088" s="1">
        <v>45790</v>
      </c>
      <c r="C3088" t="s">
        <v>14</v>
      </c>
      <c r="D3088" t="s">
        <v>13</v>
      </c>
      <c r="E3088" s="2">
        <v>29.73</v>
      </c>
      <c r="F3088" s="3">
        <v>104.46</v>
      </c>
      <c r="G3088" s="4">
        <v>546.12</v>
      </c>
      <c r="H3088">
        <v>1</v>
      </c>
      <c r="I3088" s="4">
        <v>546.12</v>
      </c>
      <c r="J3088">
        <v>4</v>
      </c>
      <c r="K3088" t="s">
        <v>33</v>
      </c>
      <c r="L3088" t="s">
        <v>19</v>
      </c>
      <c r="O3088"/>
    </row>
    <row r="3089" spans="1:15" x14ac:dyDescent="0.3">
      <c r="A3089" t="s">
        <v>3113</v>
      </c>
      <c r="B3089" s="1">
        <v>45710</v>
      </c>
      <c r="C3089" t="s">
        <v>13</v>
      </c>
      <c r="D3089" t="s">
        <v>21</v>
      </c>
      <c r="E3089" s="2">
        <v>18.760000000000002</v>
      </c>
      <c r="F3089" s="3">
        <v>73.209999999999994</v>
      </c>
      <c r="G3089" s="4">
        <v>341.02</v>
      </c>
      <c r="H3089">
        <v>1.2</v>
      </c>
      <c r="I3089" s="4">
        <v>409.22</v>
      </c>
      <c r="J3089">
        <v>4.4000000000000004</v>
      </c>
      <c r="K3089" t="s">
        <v>18</v>
      </c>
      <c r="L3089" t="s">
        <v>16</v>
      </c>
      <c r="O3089"/>
    </row>
    <row r="3090" spans="1:15" x14ac:dyDescent="0.3">
      <c r="A3090" t="s">
        <v>3114</v>
      </c>
      <c r="B3090" s="1">
        <v>45668</v>
      </c>
      <c r="C3090" t="s">
        <v>14</v>
      </c>
      <c r="D3090" t="s">
        <v>14</v>
      </c>
      <c r="E3090" s="2">
        <v>10.49</v>
      </c>
      <c r="F3090" s="3">
        <v>35.700000000000003</v>
      </c>
      <c r="G3090" s="4">
        <v>150.96</v>
      </c>
      <c r="H3090">
        <v>1.5</v>
      </c>
      <c r="I3090" s="4">
        <v>226.44</v>
      </c>
      <c r="J3090">
        <v>3.8</v>
      </c>
      <c r="K3090" t="s">
        <v>36</v>
      </c>
      <c r="L3090" t="s">
        <v>19</v>
      </c>
      <c r="O3090"/>
    </row>
    <row r="3091" spans="1:15" x14ac:dyDescent="0.3">
      <c r="A3091" t="s">
        <v>3115</v>
      </c>
      <c r="B3091" s="1">
        <v>45805</v>
      </c>
      <c r="C3091" t="s">
        <v>21</v>
      </c>
      <c r="D3091" t="s">
        <v>13</v>
      </c>
      <c r="E3091" s="2">
        <v>16.309999999999999</v>
      </c>
      <c r="F3091" s="3">
        <v>52</v>
      </c>
      <c r="G3091" s="4">
        <v>255.87</v>
      </c>
      <c r="H3091">
        <v>1.2</v>
      </c>
      <c r="I3091" s="4">
        <v>307.04000000000002</v>
      </c>
      <c r="J3091">
        <v>4.0999999999999996</v>
      </c>
      <c r="K3091" t="s">
        <v>33</v>
      </c>
      <c r="L3091" t="s">
        <v>28</v>
      </c>
      <c r="O3091"/>
    </row>
    <row r="3092" spans="1:15" x14ac:dyDescent="0.3">
      <c r="A3092" t="s">
        <v>3116</v>
      </c>
      <c r="B3092" s="1">
        <v>45686</v>
      </c>
      <c r="C3092" t="s">
        <v>22</v>
      </c>
      <c r="D3092" t="s">
        <v>21</v>
      </c>
      <c r="E3092" s="2">
        <v>20.25</v>
      </c>
      <c r="F3092" s="3">
        <v>57.89</v>
      </c>
      <c r="G3092" s="4">
        <v>374.38</v>
      </c>
      <c r="H3092">
        <v>1.2</v>
      </c>
      <c r="I3092" s="4">
        <v>449.26</v>
      </c>
      <c r="J3092">
        <v>3.1</v>
      </c>
      <c r="K3092" t="s">
        <v>18</v>
      </c>
      <c r="L3092" t="s">
        <v>19</v>
      </c>
      <c r="O3092"/>
    </row>
    <row r="3093" spans="1:15" x14ac:dyDescent="0.3">
      <c r="A3093" t="s">
        <v>3117</v>
      </c>
      <c r="B3093" s="1">
        <v>45949</v>
      </c>
      <c r="C3093" t="s">
        <v>13</v>
      </c>
      <c r="D3093" t="s">
        <v>25</v>
      </c>
      <c r="E3093" s="2">
        <v>17.25</v>
      </c>
      <c r="F3093" s="3">
        <v>36.61</v>
      </c>
      <c r="G3093" s="4">
        <v>285.57</v>
      </c>
      <c r="H3093">
        <v>2</v>
      </c>
      <c r="I3093" s="4">
        <v>571.14</v>
      </c>
      <c r="J3093">
        <v>4.7</v>
      </c>
      <c r="K3093" t="s">
        <v>30</v>
      </c>
      <c r="L3093" t="s">
        <v>28</v>
      </c>
      <c r="O3093"/>
    </row>
    <row r="3094" spans="1:15" x14ac:dyDescent="0.3">
      <c r="A3094" t="s">
        <v>3118</v>
      </c>
      <c r="B3094" s="1">
        <v>45975</v>
      </c>
      <c r="C3094" t="s">
        <v>25</v>
      </c>
      <c r="D3094" t="s">
        <v>13</v>
      </c>
      <c r="E3094" s="2">
        <v>28.17</v>
      </c>
      <c r="F3094" s="3">
        <v>75.55</v>
      </c>
      <c r="G3094" s="4">
        <v>365.39</v>
      </c>
      <c r="H3094">
        <v>2</v>
      </c>
      <c r="I3094" s="4">
        <v>730.78</v>
      </c>
      <c r="J3094">
        <v>4.9000000000000004</v>
      </c>
      <c r="K3094" t="s">
        <v>30</v>
      </c>
      <c r="L3094" t="s">
        <v>19</v>
      </c>
      <c r="O3094"/>
    </row>
    <row r="3095" spans="1:15" x14ac:dyDescent="0.3">
      <c r="A3095" t="s">
        <v>3119</v>
      </c>
      <c r="B3095" s="1">
        <v>45714</v>
      </c>
      <c r="C3095" t="s">
        <v>21</v>
      </c>
      <c r="D3095" t="s">
        <v>14</v>
      </c>
      <c r="E3095" s="2">
        <v>20.71</v>
      </c>
      <c r="F3095" s="3">
        <v>51.2</v>
      </c>
      <c r="G3095" s="4">
        <v>285.18</v>
      </c>
      <c r="H3095">
        <v>2</v>
      </c>
      <c r="I3095" s="4">
        <v>570.36</v>
      </c>
      <c r="J3095">
        <v>4.4000000000000004</v>
      </c>
      <c r="K3095" t="s">
        <v>30</v>
      </c>
      <c r="L3095" t="s">
        <v>16</v>
      </c>
      <c r="O3095"/>
    </row>
    <row r="3096" spans="1:15" x14ac:dyDescent="0.3">
      <c r="A3096" t="s">
        <v>3120</v>
      </c>
      <c r="B3096" s="1">
        <v>45889</v>
      </c>
      <c r="C3096" t="s">
        <v>14</v>
      </c>
      <c r="D3096" t="s">
        <v>21</v>
      </c>
      <c r="E3096" s="2">
        <v>26.77</v>
      </c>
      <c r="F3096" s="3">
        <v>73.92</v>
      </c>
      <c r="G3096" s="4">
        <v>510.91</v>
      </c>
      <c r="H3096">
        <v>1.2</v>
      </c>
      <c r="I3096" s="4">
        <v>613.09</v>
      </c>
      <c r="J3096">
        <v>3.3</v>
      </c>
      <c r="K3096" t="s">
        <v>30</v>
      </c>
      <c r="L3096" t="s">
        <v>28</v>
      </c>
      <c r="O3096"/>
    </row>
    <row r="3097" spans="1:15" x14ac:dyDescent="0.3">
      <c r="A3097" t="s">
        <v>3121</v>
      </c>
      <c r="B3097" s="1">
        <v>45808</v>
      </c>
      <c r="C3097" t="s">
        <v>21</v>
      </c>
      <c r="D3097" t="s">
        <v>25</v>
      </c>
      <c r="E3097" s="2">
        <v>27.98</v>
      </c>
      <c r="F3097" s="3">
        <v>106.75</v>
      </c>
      <c r="G3097" s="4">
        <v>295.74</v>
      </c>
      <c r="H3097">
        <v>1.2</v>
      </c>
      <c r="I3097" s="4">
        <v>354.89</v>
      </c>
      <c r="J3097">
        <v>3.2</v>
      </c>
      <c r="K3097" t="s">
        <v>18</v>
      </c>
      <c r="L3097" t="s">
        <v>28</v>
      </c>
      <c r="O3097"/>
    </row>
    <row r="3098" spans="1:15" x14ac:dyDescent="0.3">
      <c r="A3098" t="s">
        <v>3122</v>
      </c>
      <c r="B3098" s="1">
        <v>45956</v>
      </c>
      <c r="C3098" t="s">
        <v>13</v>
      </c>
      <c r="D3098" t="s">
        <v>14</v>
      </c>
      <c r="E3098" s="2">
        <v>13.52</v>
      </c>
      <c r="F3098" s="3">
        <v>44.37</v>
      </c>
      <c r="G3098" s="4">
        <v>262.92</v>
      </c>
      <c r="H3098">
        <v>1.2</v>
      </c>
      <c r="I3098" s="4">
        <v>315.5</v>
      </c>
      <c r="J3098">
        <v>4.9000000000000004</v>
      </c>
      <c r="K3098" t="s">
        <v>15</v>
      </c>
      <c r="L3098" t="s">
        <v>28</v>
      </c>
      <c r="O3098"/>
    </row>
    <row r="3099" spans="1:15" x14ac:dyDescent="0.3">
      <c r="A3099" t="s">
        <v>3123</v>
      </c>
      <c r="B3099" s="1">
        <v>45753</v>
      </c>
      <c r="C3099" t="s">
        <v>14</v>
      </c>
      <c r="D3099" t="s">
        <v>14</v>
      </c>
      <c r="E3099" s="2">
        <v>13.89</v>
      </c>
      <c r="F3099" s="3">
        <v>28.12</v>
      </c>
      <c r="G3099" s="4">
        <v>157.38999999999999</v>
      </c>
      <c r="H3099">
        <v>1.2</v>
      </c>
      <c r="I3099" s="4">
        <v>188.87</v>
      </c>
      <c r="J3099">
        <v>4.5999999999999996</v>
      </c>
      <c r="K3099" t="s">
        <v>33</v>
      </c>
      <c r="L3099" t="s">
        <v>19</v>
      </c>
      <c r="O3099"/>
    </row>
    <row r="3100" spans="1:15" x14ac:dyDescent="0.3">
      <c r="A3100" t="s">
        <v>3124</v>
      </c>
      <c r="B3100" s="1">
        <v>45922</v>
      </c>
      <c r="C3100" t="s">
        <v>22</v>
      </c>
      <c r="D3100" t="s">
        <v>25</v>
      </c>
      <c r="E3100" s="2">
        <v>5.58</v>
      </c>
      <c r="F3100" s="3">
        <v>17.14</v>
      </c>
      <c r="G3100" s="4">
        <v>109.72</v>
      </c>
      <c r="H3100">
        <v>1.2</v>
      </c>
      <c r="I3100" s="4">
        <v>131.66</v>
      </c>
      <c r="J3100">
        <v>4.0999999999999996</v>
      </c>
      <c r="K3100" t="s">
        <v>36</v>
      </c>
      <c r="L3100" t="s">
        <v>16</v>
      </c>
      <c r="O3100"/>
    </row>
    <row r="3101" spans="1:15" x14ac:dyDescent="0.3">
      <c r="A3101" t="s">
        <v>3125</v>
      </c>
      <c r="B3101" s="1">
        <v>45995</v>
      </c>
      <c r="C3101" t="s">
        <v>13</v>
      </c>
      <c r="D3101" t="s">
        <v>13</v>
      </c>
      <c r="E3101" s="2">
        <v>27.88</v>
      </c>
      <c r="F3101" s="3">
        <v>95.11</v>
      </c>
      <c r="G3101" s="4">
        <v>321.17</v>
      </c>
      <c r="H3101">
        <v>1.5</v>
      </c>
      <c r="I3101" s="4">
        <v>481.76</v>
      </c>
      <c r="J3101">
        <v>3.6</v>
      </c>
      <c r="K3101" t="s">
        <v>18</v>
      </c>
      <c r="L3101" t="s">
        <v>26</v>
      </c>
      <c r="O3101"/>
    </row>
    <row r="3102" spans="1:15" x14ac:dyDescent="0.3">
      <c r="A3102" t="s">
        <v>3126</v>
      </c>
      <c r="B3102" s="1">
        <v>45791</v>
      </c>
      <c r="C3102" t="s">
        <v>14</v>
      </c>
      <c r="D3102" t="s">
        <v>21</v>
      </c>
      <c r="E3102" s="2">
        <v>13.55</v>
      </c>
      <c r="F3102" s="3">
        <v>48.18</v>
      </c>
      <c r="G3102" s="4">
        <v>210.56</v>
      </c>
      <c r="H3102">
        <v>2</v>
      </c>
      <c r="I3102" s="4">
        <v>421.12</v>
      </c>
      <c r="J3102">
        <v>4.2</v>
      </c>
      <c r="K3102" t="s">
        <v>33</v>
      </c>
      <c r="L3102" t="s">
        <v>28</v>
      </c>
      <c r="O3102"/>
    </row>
    <row r="3103" spans="1:15" x14ac:dyDescent="0.3">
      <c r="A3103" t="s">
        <v>3127</v>
      </c>
      <c r="B3103" s="1">
        <v>46009</v>
      </c>
      <c r="C3103" t="s">
        <v>13</v>
      </c>
      <c r="D3103" t="s">
        <v>22</v>
      </c>
      <c r="E3103" s="2">
        <v>5.68</v>
      </c>
      <c r="F3103" s="3">
        <v>11.51</v>
      </c>
      <c r="G3103" s="4">
        <v>103.45</v>
      </c>
      <c r="H3103">
        <v>1.5</v>
      </c>
      <c r="I3103" s="4">
        <v>155.18</v>
      </c>
      <c r="J3103">
        <v>4</v>
      </c>
      <c r="K3103" t="s">
        <v>33</v>
      </c>
      <c r="L3103" t="s">
        <v>16</v>
      </c>
      <c r="O3103"/>
    </row>
    <row r="3104" spans="1:15" x14ac:dyDescent="0.3">
      <c r="A3104" t="s">
        <v>3128</v>
      </c>
      <c r="B3104" s="1">
        <v>45812</v>
      </c>
      <c r="C3104" t="s">
        <v>13</v>
      </c>
      <c r="D3104" t="s">
        <v>22</v>
      </c>
      <c r="E3104" s="2">
        <v>13.13</v>
      </c>
      <c r="F3104" s="3">
        <v>47.31</v>
      </c>
      <c r="G3104" s="4">
        <v>202.03</v>
      </c>
      <c r="H3104">
        <v>1</v>
      </c>
      <c r="I3104" s="4">
        <v>202.03</v>
      </c>
      <c r="J3104">
        <v>4.3</v>
      </c>
      <c r="K3104" t="s">
        <v>30</v>
      </c>
      <c r="L3104" t="s">
        <v>16</v>
      </c>
      <c r="O3104"/>
    </row>
    <row r="3105" spans="1:15" x14ac:dyDescent="0.3">
      <c r="A3105" t="s">
        <v>3129</v>
      </c>
      <c r="B3105" s="1">
        <v>45786</v>
      </c>
      <c r="C3105" t="s">
        <v>22</v>
      </c>
      <c r="D3105" t="s">
        <v>21</v>
      </c>
      <c r="E3105" s="2">
        <v>7.31</v>
      </c>
      <c r="F3105" s="3">
        <v>26.66</v>
      </c>
      <c r="G3105" s="4">
        <v>115.63</v>
      </c>
      <c r="H3105">
        <v>1.5</v>
      </c>
      <c r="I3105" s="4">
        <v>173.44</v>
      </c>
      <c r="J3105">
        <v>4.2</v>
      </c>
      <c r="K3105" t="s">
        <v>15</v>
      </c>
      <c r="L3105" t="s">
        <v>16</v>
      </c>
      <c r="O3105"/>
    </row>
    <row r="3106" spans="1:15" x14ac:dyDescent="0.3">
      <c r="A3106" t="s">
        <v>3130</v>
      </c>
      <c r="B3106" s="1">
        <v>45885</v>
      </c>
      <c r="C3106" t="s">
        <v>21</v>
      </c>
      <c r="D3106" t="s">
        <v>21</v>
      </c>
      <c r="E3106" s="2">
        <v>29.62</v>
      </c>
      <c r="F3106" s="3">
        <v>74.02</v>
      </c>
      <c r="G3106" s="4">
        <v>349.78</v>
      </c>
      <c r="H3106">
        <v>1.5</v>
      </c>
      <c r="I3106" s="4">
        <v>524.66999999999996</v>
      </c>
      <c r="J3106">
        <v>4.8</v>
      </c>
      <c r="K3106" t="s">
        <v>33</v>
      </c>
      <c r="L3106" t="s">
        <v>19</v>
      </c>
      <c r="O3106"/>
    </row>
    <row r="3107" spans="1:15" x14ac:dyDescent="0.3">
      <c r="A3107" t="s">
        <v>3131</v>
      </c>
      <c r="B3107" s="1">
        <v>45861</v>
      </c>
      <c r="C3107" t="s">
        <v>22</v>
      </c>
      <c r="D3107" t="s">
        <v>14</v>
      </c>
      <c r="E3107" s="2">
        <v>23.96</v>
      </c>
      <c r="F3107" s="3">
        <v>90.27</v>
      </c>
      <c r="G3107" s="4">
        <v>403.98</v>
      </c>
      <c r="H3107">
        <v>1</v>
      </c>
      <c r="I3107" s="4">
        <v>403.98</v>
      </c>
      <c r="J3107">
        <v>3.6</v>
      </c>
      <c r="K3107" t="s">
        <v>18</v>
      </c>
      <c r="L3107" t="s">
        <v>26</v>
      </c>
      <c r="O3107"/>
    </row>
    <row r="3108" spans="1:15" x14ac:dyDescent="0.3">
      <c r="A3108" t="s">
        <v>3132</v>
      </c>
      <c r="B3108" s="1">
        <v>45921</v>
      </c>
      <c r="C3108" t="s">
        <v>13</v>
      </c>
      <c r="D3108" t="s">
        <v>21</v>
      </c>
      <c r="E3108" s="2">
        <v>12.08</v>
      </c>
      <c r="F3108" s="3">
        <v>44.29</v>
      </c>
      <c r="G3108" s="4">
        <v>162.82</v>
      </c>
      <c r="H3108">
        <v>1</v>
      </c>
      <c r="I3108" s="4">
        <v>162.82</v>
      </c>
      <c r="J3108">
        <v>3.1</v>
      </c>
      <c r="K3108" t="s">
        <v>30</v>
      </c>
      <c r="L3108" t="s">
        <v>28</v>
      </c>
      <c r="O3108"/>
    </row>
    <row r="3109" spans="1:15" x14ac:dyDescent="0.3">
      <c r="A3109" t="s">
        <v>3133</v>
      </c>
      <c r="B3109" s="1">
        <v>46004</v>
      </c>
      <c r="C3109" t="s">
        <v>22</v>
      </c>
      <c r="D3109" t="s">
        <v>25</v>
      </c>
      <c r="E3109" s="2">
        <v>19.21</v>
      </c>
      <c r="F3109" s="3">
        <v>76.61</v>
      </c>
      <c r="G3109" s="4">
        <v>295.33</v>
      </c>
      <c r="H3109">
        <v>1</v>
      </c>
      <c r="I3109" s="4">
        <v>295.33</v>
      </c>
      <c r="J3109">
        <v>4.0999999999999996</v>
      </c>
      <c r="K3109" t="s">
        <v>15</v>
      </c>
      <c r="L3109" t="s">
        <v>28</v>
      </c>
      <c r="O3109"/>
    </row>
    <row r="3110" spans="1:15" x14ac:dyDescent="0.3">
      <c r="A3110" t="s">
        <v>3134</v>
      </c>
      <c r="B3110" s="1">
        <v>45988</v>
      </c>
      <c r="C3110" t="s">
        <v>14</v>
      </c>
      <c r="D3110" t="s">
        <v>21</v>
      </c>
      <c r="E3110" s="2">
        <v>19.32</v>
      </c>
      <c r="F3110" s="3">
        <v>68.19</v>
      </c>
      <c r="G3110" s="4">
        <v>343.61</v>
      </c>
      <c r="H3110">
        <v>1.5</v>
      </c>
      <c r="I3110" s="4">
        <v>515.41999999999996</v>
      </c>
      <c r="J3110">
        <v>3.5</v>
      </c>
      <c r="K3110" t="s">
        <v>18</v>
      </c>
      <c r="L3110" t="s">
        <v>19</v>
      </c>
      <c r="O3110"/>
    </row>
    <row r="3111" spans="1:15" x14ac:dyDescent="0.3">
      <c r="A3111" t="s">
        <v>3135</v>
      </c>
      <c r="B3111" s="1">
        <v>45985</v>
      </c>
      <c r="C3111" t="s">
        <v>25</v>
      </c>
      <c r="D3111" t="s">
        <v>13</v>
      </c>
      <c r="E3111" s="2">
        <v>29.29</v>
      </c>
      <c r="F3111" s="3">
        <v>116.88</v>
      </c>
      <c r="G3111" s="4">
        <v>315.04000000000002</v>
      </c>
      <c r="H3111">
        <v>1</v>
      </c>
      <c r="I3111" s="4">
        <v>315.04000000000002</v>
      </c>
      <c r="J3111">
        <v>3.5</v>
      </c>
      <c r="K3111" t="s">
        <v>36</v>
      </c>
      <c r="L3111" t="s">
        <v>26</v>
      </c>
      <c r="O3111"/>
    </row>
    <row r="3112" spans="1:15" x14ac:dyDescent="0.3">
      <c r="A3112" t="s">
        <v>3136</v>
      </c>
      <c r="B3112" s="1">
        <v>45692</v>
      </c>
      <c r="C3112" t="s">
        <v>13</v>
      </c>
      <c r="D3112" t="s">
        <v>21</v>
      </c>
      <c r="E3112" s="2">
        <v>20.99</v>
      </c>
      <c r="F3112" s="3">
        <v>56.17</v>
      </c>
      <c r="G3112" s="4">
        <v>413.03</v>
      </c>
      <c r="H3112">
        <v>1</v>
      </c>
      <c r="I3112" s="4">
        <v>413.03</v>
      </c>
      <c r="J3112">
        <v>3.5</v>
      </c>
      <c r="K3112" t="s">
        <v>15</v>
      </c>
      <c r="L3112" t="s">
        <v>26</v>
      </c>
      <c r="O3112"/>
    </row>
    <row r="3113" spans="1:15" x14ac:dyDescent="0.3">
      <c r="A3113" t="s">
        <v>3137</v>
      </c>
      <c r="B3113" s="1">
        <v>45892</v>
      </c>
      <c r="C3113" t="s">
        <v>13</v>
      </c>
      <c r="D3113" t="s">
        <v>22</v>
      </c>
      <c r="E3113" s="2">
        <v>13.41</v>
      </c>
      <c r="F3113" s="3">
        <v>35.56</v>
      </c>
      <c r="G3113" s="4">
        <v>220.67</v>
      </c>
      <c r="H3113">
        <v>2</v>
      </c>
      <c r="I3113" s="4">
        <v>441.34</v>
      </c>
      <c r="J3113">
        <v>3.2</v>
      </c>
      <c r="K3113" t="s">
        <v>30</v>
      </c>
      <c r="L3113" t="s">
        <v>28</v>
      </c>
      <c r="O3113"/>
    </row>
    <row r="3114" spans="1:15" x14ac:dyDescent="0.3">
      <c r="A3114" t="s">
        <v>3138</v>
      </c>
      <c r="B3114" s="1">
        <v>45695</v>
      </c>
      <c r="C3114" t="s">
        <v>21</v>
      </c>
      <c r="D3114" t="s">
        <v>13</v>
      </c>
      <c r="E3114" s="2">
        <v>29.44</v>
      </c>
      <c r="F3114" s="3">
        <v>106.25</v>
      </c>
      <c r="G3114" s="4">
        <v>547.59</v>
      </c>
      <c r="H3114">
        <v>1.2</v>
      </c>
      <c r="I3114" s="4">
        <v>657.11</v>
      </c>
      <c r="J3114">
        <v>4.0999999999999996</v>
      </c>
      <c r="K3114" t="s">
        <v>18</v>
      </c>
      <c r="L3114" t="s">
        <v>19</v>
      </c>
      <c r="O3114"/>
    </row>
    <row r="3115" spans="1:15" x14ac:dyDescent="0.3">
      <c r="A3115" t="s">
        <v>3139</v>
      </c>
      <c r="B3115" s="1">
        <v>45874</v>
      </c>
      <c r="C3115" t="s">
        <v>13</v>
      </c>
      <c r="D3115" t="s">
        <v>22</v>
      </c>
      <c r="E3115" s="2">
        <v>15.99</v>
      </c>
      <c r="F3115" s="3">
        <v>33.44</v>
      </c>
      <c r="G3115" s="4">
        <v>311.06</v>
      </c>
      <c r="H3115">
        <v>1.2</v>
      </c>
      <c r="I3115" s="4">
        <v>373.27</v>
      </c>
      <c r="J3115">
        <v>3.5</v>
      </c>
      <c r="K3115" t="s">
        <v>36</v>
      </c>
      <c r="L3115" t="s">
        <v>16</v>
      </c>
      <c r="O3115"/>
    </row>
    <row r="3116" spans="1:15" x14ac:dyDescent="0.3">
      <c r="A3116" t="s">
        <v>3140</v>
      </c>
      <c r="B3116" s="1">
        <v>45683</v>
      </c>
      <c r="C3116" t="s">
        <v>14</v>
      </c>
      <c r="D3116" t="s">
        <v>14</v>
      </c>
      <c r="E3116" s="2">
        <v>3.42</v>
      </c>
      <c r="F3116" s="3">
        <v>12.47</v>
      </c>
      <c r="G3116" s="4">
        <v>39.4</v>
      </c>
      <c r="H3116">
        <v>1.5</v>
      </c>
      <c r="I3116" s="4">
        <v>59.1</v>
      </c>
      <c r="J3116">
        <v>4.2</v>
      </c>
      <c r="K3116" t="s">
        <v>36</v>
      </c>
      <c r="L3116" t="s">
        <v>16</v>
      </c>
      <c r="O3116"/>
    </row>
    <row r="3117" spans="1:15" x14ac:dyDescent="0.3">
      <c r="A3117" t="s">
        <v>3141</v>
      </c>
      <c r="B3117" s="1">
        <v>45695</v>
      </c>
      <c r="C3117" t="s">
        <v>21</v>
      </c>
      <c r="D3117" t="s">
        <v>13</v>
      </c>
      <c r="E3117" s="2">
        <v>9.1300000000000008</v>
      </c>
      <c r="F3117" s="3">
        <v>31.31</v>
      </c>
      <c r="G3117" s="4">
        <v>141.97999999999999</v>
      </c>
      <c r="H3117">
        <v>1.5</v>
      </c>
      <c r="I3117" s="4">
        <v>212.97</v>
      </c>
      <c r="J3117">
        <v>4.4000000000000004</v>
      </c>
      <c r="K3117" t="s">
        <v>15</v>
      </c>
      <c r="L3117" t="s">
        <v>26</v>
      </c>
      <c r="O3117"/>
    </row>
    <row r="3118" spans="1:15" x14ac:dyDescent="0.3">
      <c r="A3118" t="s">
        <v>3142</v>
      </c>
      <c r="B3118" s="1">
        <v>45949</v>
      </c>
      <c r="C3118" t="s">
        <v>25</v>
      </c>
      <c r="D3118" t="s">
        <v>21</v>
      </c>
      <c r="E3118" s="2">
        <v>14.12</v>
      </c>
      <c r="F3118" s="3">
        <v>48.98</v>
      </c>
      <c r="G3118" s="4">
        <v>211.94</v>
      </c>
      <c r="H3118">
        <v>1.5</v>
      </c>
      <c r="I3118" s="4">
        <v>317.91000000000003</v>
      </c>
      <c r="J3118">
        <v>3.1</v>
      </c>
      <c r="K3118" t="s">
        <v>33</v>
      </c>
      <c r="L3118" t="s">
        <v>26</v>
      </c>
      <c r="O3118"/>
    </row>
    <row r="3119" spans="1:15" x14ac:dyDescent="0.3">
      <c r="A3119" t="s">
        <v>3143</v>
      </c>
      <c r="B3119" s="1">
        <v>46010</v>
      </c>
      <c r="C3119" t="s">
        <v>14</v>
      </c>
      <c r="D3119" t="s">
        <v>25</v>
      </c>
      <c r="E3119" s="2">
        <v>6.81</v>
      </c>
      <c r="F3119" s="3">
        <v>21.01</v>
      </c>
      <c r="G3119" s="4">
        <v>98.08</v>
      </c>
      <c r="H3119">
        <v>2</v>
      </c>
      <c r="I3119" s="4">
        <v>196.16</v>
      </c>
      <c r="J3119">
        <v>3.3</v>
      </c>
      <c r="K3119" t="s">
        <v>30</v>
      </c>
      <c r="L3119" t="s">
        <v>26</v>
      </c>
      <c r="O3119"/>
    </row>
    <row r="3120" spans="1:15" x14ac:dyDescent="0.3">
      <c r="A3120" t="s">
        <v>3144</v>
      </c>
      <c r="B3120" s="1">
        <v>45708</v>
      </c>
      <c r="C3120" t="s">
        <v>13</v>
      </c>
      <c r="D3120" t="s">
        <v>21</v>
      </c>
      <c r="E3120" s="2">
        <v>21.02</v>
      </c>
      <c r="F3120" s="3">
        <v>43.97</v>
      </c>
      <c r="G3120" s="4">
        <v>281.39999999999998</v>
      </c>
      <c r="H3120">
        <v>1.2</v>
      </c>
      <c r="I3120" s="4">
        <v>337.68</v>
      </c>
      <c r="J3120">
        <v>3.8</v>
      </c>
      <c r="K3120" t="s">
        <v>18</v>
      </c>
      <c r="L3120" t="s">
        <v>16</v>
      </c>
      <c r="O3120"/>
    </row>
    <row r="3121" spans="1:15" x14ac:dyDescent="0.3">
      <c r="A3121" t="s">
        <v>3145</v>
      </c>
      <c r="B3121" s="1">
        <v>45866</v>
      </c>
      <c r="C3121" t="s">
        <v>13</v>
      </c>
      <c r="D3121" t="s">
        <v>14</v>
      </c>
      <c r="E3121" s="2">
        <v>7.84</v>
      </c>
      <c r="F3121" s="3">
        <v>16.489999999999998</v>
      </c>
      <c r="G3121" s="4">
        <v>156.51</v>
      </c>
      <c r="H3121">
        <v>1</v>
      </c>
      <c r="I3121" s="4">
        <v>156.51</v>
      </c>
      <c r="J3121">
        <v>3.6</v>
      </c>
      <c r="K3121" t="s">
        <v>33</v>
      </c>
      <c r="L3121" t="s">
        <v>19</v>
      </c>
      <c r="O3121"/>
    </row>
    <row r="3122" spans="1:15" x14ac:dyDescent="0.3">
      <c r="A3122" t="s">
        <v>3146</v>
      </c>
      <c r="B3122" s="1">
        <v>45825</v>
      </c>
      <c r="C3122" t="s">
        <v>21</v>
      </c>
      <c r="D3122" t="s">
        <v>21</v>
      </c>
      <c r="E3122" s="2">
        <v>1.59</v>
      </c>
      <c r="F3122" s="3">
        <v>5.47</v>
      </c>
      <c r="G3122" s="4">
        <v>22.88</v>
      </c>
      <c r="H3122">
        <v>1.5</v>
      </c>
      <c r="I3122" s="4">
        <v>34.32</v>
      </c>
      <c r="J3122">
        <v>4.4000000000000004</v>
      </c>
      <c r="K3122" t="s">
        <v>18</v>
      </c>
      <c r="L3122" t="s">
        <v>16</v>
      </c>
      <c r="O3122"/>
    </row>
    <row r="3123" spans="1:15" x14ac:dyDescent="0.3">
      <c r="A3123" t="s">
        <v>3147</v>
      </c>
      <c r="B3123" s="1">
        <v>45674</v>
      </c>
      <c r="C3123" t="s">
        <v>22</v>
      </c>
      <c r="D3123" t="s">
        <v>21</v>
      </c>
      <c r="E3123" s="2">
        <v>18.5</v>
      </c>
      <c r="F3123" s="3">
        <v>52.3</v>
      </c>
      <c r="G3123" s="4">
        <v>254.06</v>
      </c>
      <c r="H3123">
        <v>2</v>
      </c>
      <c r="I3123" s="4">
        <v>508.12</v>
      </c>
      <c r="J3123">
        <v>4.2</v>
      </c>
      <c r="K3123" t="s">
        <v>36</v>
      </c>
      <c r="L3123" t="s">
        <v>28</v>
      </c>
      <c r="O3123"/>
    </row>
    <row r="3124" spans="1:15" x14ac:dyDescent="0.3">
      <c r="A3124" t="s">
        <v>3148</v>
      </c>
      <c r="B3124" s="1">
        <v>45761</v>
      </c>
      <c r="C3124" t="s">
        <v>25</v>
      </c>
      <c r="D3124" t="s">
        <v>22</v>
      </c>
      <c r="E3124" s="2">
        <v>26.4</v>
      </c>
      <c r="F3124" s="3">
        <v>96.38</v>
      </c>
      <c r="G3124" s="4">
        <v>355.45</v>
      </c>
      <c r="H3124">
        <v>2</v>
      </c>
      <c r="I3124" s="4">
        <v>710.9</v>
      </c>
      <c r="J3124">
        <v>4.9000000000000004</v>
      </c>
      <c r="K3124" t="s">
        <v>30</v>
      </c>
      <c r="L3124" t="s">
        <v>16</v>
      </c>
      <c r="O3124"/>
    </row>
    <row r="3125" spans="1:15" x14ac:dyDescent="0.3">
      <c r="A3125" t="s">
        <v>3149</v>
      </c>
      <c r="B3125" s="1">
        <v>45670</v>
      </c>
      <c r="C3125" t="s">
        <v>25</v>
      </c>
      <c r="D3125" t="s">
        <v>21</v>
      </c>
      <c r="E3125" s="2">
        <v>8.8800000000000008</v>
      </c>
      <c r="F3125" s="3">
        <v>30.95</v>
      </c>
      <c r="G3125" s="4">
        <v>96.15</v>
      </c>
      <c r="H3125">
        <v>1</v>
      </c>
      <c r="I3125" s="4">
        <v>96.15</v>
      </c>
      <c r="J3125">
        <v>4.0999999999999996</v>
      </c>
      <c r="K3125" t="s">
        <v>18</v>
      </c>
      <c r="L3125" t="s">
        <v>19</v>
      </c>
      <c r="O3125"/>
    </row>
    <row r="3126" spans="1:15" x14ac:dyDescent="0.3">
      <c r="A3126" t="s">
        <v>3150</v>
      </c>
      <c r="B3126" s="1">
        <v>46022</v>
      </c>
      <c r="C3126" t="s">
        <v>25</v>
      </c>
      <c r="D3126" t="s">
        <v>21</v>
      </c>
      <c r="E3126" s="2">
        <v>18.87</v>
      </c>
      <c r="F3126" s="3">
        <v>71.989999999999995</v>
      </c>
      <c r="G3126" s="4">
        <v>323.69</v>
      </c>
      <c r="H3126">
        <v>1.5</v>
      </c>
      <c r="I3126" s="4">
        <v>485.54</v>
      </c>
      <c r="J3126">
        <v>3.9</v>
      </c>
      <c r="K3126" t="s">
        <v>15</v>
      </c>
      <c r="L3126" t="s">
        <v>26</v>
      </c>
      <c r="O3126"/>
    </row>
    <row r="3127" spans="1:15" x14ac:dyDescent="0.3">
      <c r="A3127" t="s">
        <v>3151</v>
      </c>
      <c r="B3127" s="1">
        <v>45915</v>
      </c>
      <c r="C3127" t="s">
        <v>14</v>
      </c>
      <c r="D3127" t="s">
        <v>21</v>
      </c>
      <c r="E3127" s="2">
        <v>19.36</v>
      </c>
      <c r="F3127" s="3">
        <v>69.84</v>
      </c>
      <c r="G3127" s="4">
        <v>383.18</v>
      </c>
      <c r="H3127">
        <v>1.5</v>
      </c>
      <c r="I3127" s="4">
        <v>574.77</v>
      </c>
      <c r="J3127">
        <v>3.1</v>
      </c>
      <c r="K3127" t="s">
        <v>15</v>
      </c>
      <c r="L3127" t="s">
        <v>26</v>
      </c>
      <c r="O3127"/>
    </row>
    <row r="3128" spans="1:15" x14ac:dyDescent="0.3">
      <c r="A3128" t="s">
        <v>3152</v>
      </c>
      <c r="B3128" s="1">
        <v>45858</v>
      </c>
      <c r="C3128" t="s">
        <v>21</v>
      </c>
      <c r="D3128" t="s">
        <v>25</v>
      </c>
      <c r="E3128" s="2">
        <v>4.93</v>
      </c>
      <c r="F3128" s="3">
        <v>17.920000000000002</v>
      </c>
      <c r="G3128" s="4">
        <v>85.58</v>
      </c>
      <c r="H3128">
        <v>2</v>
      </c>
      <c r="I3128" s="4">
        <v>171.16</v>
      </c>
      <c r="J3128">
        <v>4.7</v>
      </c>
      <c r="K3128" t="s">
        <v>15</v>
      </c>
      <c r="L3128" t="s">
        <v>16</v>
      </c>
      <c r="O3128"/>
    </row>
    <row r="3129" spans="1:15" x14ac:dyDescent="0.3">
      <c r="A3129" t="s">
        <v>3153</v>
      </c>
      <c r="B3129" s="1">
        <v>45894</v>
      </c>
      <c r="C3129" t="s">
        <v>13</v>
      </c>
      <c r="D3129" t="s">
        <v>21</v>
      </c>
      <c r="E3129" s="2">
        <v>27.2</v>
      </c>
      <c r="F3129" s="3">
        <v>59.69</v>
      </c>
      <c r="G3129" s="4">
        <v>340.98</v>
      </c>
      <c r="H3129">
        <v>2</v>
      </c>
      <c r="I3129" s="4">
        <v>681.96</v>
      </c>
      <c r="J3129">
        <v>4</v>
      </c>
      <c r="K3129" t="s">
        <v>15</v>
      </c>
      <c r="L3129" t="s">
        <v>28</v>
      </c>
      <c r="O3129"/>
    </row>
    <row r="3130" spans="1:15" x14ac:dyDescent="0.3">
      <c r="A3130" t="s">
        <v>3154</v>
      </c>
      <c r="B3130" s="1">
        <v>45883</v>
      </c>
      <c r="C3130" t="s">
        <v>22</v>
      </c>
      <c r="D3130" t="s">
        <v>22</v>
      </c>
      <c r="E3130" s="2">
        <v>10.09</v>
      </c>
      <c r="F3130" s="3">
        <v>34.340000000000003</v>
      </c>
      <c r="G3130" s="4">
        <v>140.04</v>
      </c>
      <c r="H3130">
        <v>1.5</v>
      </c>
      <c r="I3130" s="4">
        <v>210.06</v>
      </c>
      <c r="J3130">
        <v>3.7</v>
      </c>
      <c r="K3130" t="s">
        <v>33</v>
      </c>
      <c r="L3130" t="s">
        <v>16</v>
      </c>
      <c r="O3130"/>
    </row>
    <row r="3131" spans="1:15" x14ac:dyDescent="0.3">
      <c r="A3131" t="s">
        <v>3155</v>
      </c>
      <c r="B3131" s="1">
        <v>45957</v>
      </c>
      <c r="C3131" t="s">
        <v>21</v>
      </c>
      <c r="D3131" t="s">
        <v>21</v>
      </c>
      <c r="E3131" s="2">
        <v>26.6</v>
      </c>
      <c r="F3131" s="3">
        <v>65.05</v>
      </c>
      <c r="G3131" s="4">
        <v>296.02999999999997</v>
      </c>
      <c r="H3131">
        <v>1.5</v>
      </c>
      <c r="I3131" s="4">
        <v>444.04</v>
      </c>
      <c r="J3131">
        <v>3.7</v>
      </c>
      <c r="K3131" t="s">
        <v>33</v>
      </c>
      <c r="L3131" t="s">
        <v>16</v>
      </c>
      <c r="O3131"/>
    </row>
    <row r="3132" spans="1:15" x14ac:dyDescent="0.3">
      <c r="A3132" t="s">
        <v>3156</v>
      </c>
      <c r="B3132" s="1">
        <v>45758</v>
      </c>
      <c r="C3132" t="s">
        <v>13</v>
      </c>
      <c r="D3132" t="s">
        <v>21</v>
      </c>
      <c r="E3132" s="2">
        <v>24.1</v>
      </c>
      <c r="F3132" s="3">
        <v>89.72</v>
      </c>
      <c r="G3132" s="4">
        <v>444.88</v>
      </c>
      <c r="H3132">
        <v>1.5</v>
      </c>
      <c r="I3132" s="4">
        <v>667.32</v>
      </c>
      <c r="J3132">
        <v>3.5</v>
      </c>
      <c r="K3132" t="s">
        <v>30</v>
      </c>
      <c r="L3132" t="s">
        <v>28</v>
      </c>
      <c r="O3132"/>
    </row>
    <row r="3133" spans="1:15" x14ac:dyDescent="0.3">
      <c r="A3133" t="s">
        <v>3157</v>
      </c>
      <c r="B3133" s="1">
        <v>45719</v>
      </c>
      <c r="C3133" t="s">
        <v>22</v>
      </c>
      <c r="D3133" t="s">
        <v>25</v>
      </c>
      <c r="E3133" s="2">
        <v>19.850000000000001</v>
      </c>
      <c r="F3133" s="3">
        <v>52.48</v>
      </c>
      <c r="G3133" s="4">
        <v>206.66</v>
      </c>
      <c r="H3133">
        <v>1</v>
      </c>
      <c r="I3133" s="4">
        <v>206.66</v>
      </c>
      <c r="J3133">
        <v>3.5</v>
      </c>
      <c r="K3133" t="s">
        <v>30</v>
      </c>
      <c r="L3133" t="s">
        <v>16</v>
      </c>
      <c r="O3133"/>
    </row>
    <row r="3134" spans="1:15" x14ac:dyDescent="0.3">
      <c r="A3134" t="s">
        <v>3158</v>
      </c>
      <c r="B3134" s="1">
        <v>45909</v>
      </c>
      <c r="C3134" t="s">
        <v>21</v>
      </c>
      <c r="D3134" t="s">
        <v>13</v>
      </c>
      <c r="E3134" s="2">
        <v>26.63</v>
      </c>
      <c r="F3134" s="3">
        <v>101.76</v>
      </c>
      <c r="G3134" s="4">
        <v>521.62</v>
      </c>
      <c r="H3134">
        <v>1</v>
      </c>
      <c r="I3134" s="4">
        <v>521.62</v>
      </c>
      <c r="J3134">
        <v>5</v>
      </c>
      <c r="K3134" t="s">
        <v>30</v>
      </c>
      <c r="L3134" t="s">
        <v>19</v>
      </c>
      <c r="O3134"/>
    </row>
    <row r="3135" spans="1:15" x14ac:dyDescent="0.3">
      <c r="A3135" t="s">
        <v>3159</v>
      </c>
      <c r="B3135" s="1">
        <v>45878</v>
      </c>
      <c r="C3135" t="s">
        <v>25</v>
      </c>
      <c r="D3135" t="s">
        <v>21</v>
      </c>
      <c r="E3135" s="2">
        <v>7.8</v>
      </c>
      <c r="F3135" s="3">
        <v>18.68</v>
      </c>
      <c r="G3135" s="4">
        <v>78.510000000000005</v>
      </c>
      <c r="H3135">
        <v>1.2</v>
      </c>
      <c r="I3135" s="4">
        <v>94.21</v>
      </c>
      <c r="J3135">
        <v>4.4000000000000004</v>
      </c>
      <c r="K3135" t="s">
        <v>33</v>
      </c>
      <c r="L3135" t="s">
        <v>26</v>
      </c>
      <c r="O3135"/>
    </row>
    <row r="3136" spans="1:15" x14ac:dyDescent="0.3">
      <c r="A3136" t="s">
        <v>3160</v>
      </c>
      <c r="B3136" s="1">
        <v>45922</v>
      </c>
      <c r="C3136" t="s">
        <v>25</v>
      </c>
      <c r="D3136" t="s">
        <v>14</v>
      </c>
      <c r="E3136" s="2">
        <v>6.42</v>
      </c>
      <c r="F3136" s="3">
        <v>21.02</v>
      </c>
      <c r="G3136" s="4">
        <v>112.12</v>
      </c>
      <c r="H3136">
        <v>2</v>
      </c>
      <c r="I3136" s="4">
        <v>224.24</v>
      </c>
      <c r="J3136">
        <v>3.2</v>
      </c>
      <c r="K3136" t="s">
        <v>36</v>
      </c>
      <c r="L3136" t="s">
        <v>26</v>
      </c>
      <c r="O3136"/>
    </row>
    <row r="3137" spans="1:15" x14ac:dyDescent="0.3">
      <c r="A3137" t="s">
        <v>3161</v>
      </c>
      <c r="B3137" s="1">
        <v>45725</v>
      </c>
      <c r="C3137" t="s">
        <v>25</v>
      </c>
      <c r="D3137" t="s">
        <v>14</v>
      </c>
      <c r="E3137" s="2">
        <v>11</v>
      </c>
      <c r="F3137" s="3">
        <v>29.7</v>
      </c>
      <c r="G3137" s="4">
        <v>169.73</v>
      </c>
      <c r="H3137">
        <v>2</v>
      </c>
      <c r="I3137" s="4">
        <v>339.46</v>
      </c>
      <c r="J3137">
        <v>3.3</v>
      </c>
      <c r="K3137" t="s">
        <v>18</v>
      </c>
      <c r="L3137" t="s">
        <v>26</v>
      </c>
      <c r="O3137"/>
    </row>
    <row r="3138" spans="1:15" x14ac:dyDescent="0.3">
      <c r="A3138" t="s">
        <v>3162</v>
      </c>
      <c r="B3138" s="1">
        <v>45978</v>
      </c>
      <c r="C3138" t="s">
        <v>13</v>
      </c>
      <c r="D3138" t="s">
        <v>14</v>
      </c>
      <c r="E3138" s="2">
        <v>19.010000000000002</v>
      </c>
      <c r="F3138" s="3">
        <v>53.46</v>
      </c>
      <c r="G3138" s="4">
        <v>249.94</v>
      </c>
      <c r="H3138">
        <v>1.2</v>
      </c>
      <c r="I3138" s="4">
        <v>299.93</v>
      </c>
      <c r="J3138">
        <v>4</v>
      </c>
      <c r="K3138" t="s">
        <v>30</v>
      </c>
      <c r="L3138" t="s">
        <v>19</v>
      </c>
      <c r="O3138"/>
    </row>
    <row r="3139" spans="1:15" x14ac:dyDescent="0.3">
      <c r="A3139" t="s">
        <v>3163</v>
      </c>
      <c r="B3139" s="1">
        <v>45709</v>
      </c>
      <c r="C3139" t="s">
        <v>21</v>
      </c>
      <c r="D3139" t="s">
        <v>14</v>
      </c>
      <c r="E3139" s="2">
        <v>6.14</v>
      </c>
      <c r="F3139" s="3">
        <v>12.45</v>
      </c>
      <c r="G3139" s="4">
        <v>87.04</v>
      </c>
      <c r="H3139">
        <v>1</v>
      </c>
      <c r="I3139" s="4">
        <v>87.04</v>
      </c>
      <c r="J3139">
        <v>4.5</v>
      </c>
      <c r="K3139" t="s">
        <v>36</v>
      </c>
      <c r="L3139" t="s">
        <v>26</v>
      </c>
      <c r="O3139"/>
    </row>
    <row r="3140" spans="1:15" x14ac:dyDescent="0.3">
      <c r="A3140" t="s">
        <v>3164</v>
      </c>
      <c r="B3140" s="1">
        <v>45820</v>
      </c>
      <c r="C3140" t="s">
        <v>25</v>
      </c>
      <c r="D3140" t="s">
        <v>13</v>
      </c>
      <c r="E3140" s="2">
        <v>28.81</v>
      </c>
      <c r="F3140" s="3">
        <v>87.31</v>
      </c>
      <c r="G3140" s="4">
        <v>571.30999999999995</v>
      </c>
      <c r="H3140">
        <v>2</v>
      </c>
      <c r="I3140" s="4">
        <v>1142.6199999999999</v>
      </c>
      <c r="J3140">
        <v>3.8</v>
      </c>
      <c r="K3140" t="s">
        <v>33</v>
      </c>
      <c r="L3140" t="s">
        <v>26</v>
      </c>
      <c r="O3140"/>
    </row>
    <row r="3141" spans="1:15" x14ac:dyDescent="0.3">
      <c r="A3141" t="s">
        <v>3165</v>
      </c>
      <c r="B3141" s="1">
        <v>45763</v>
      </c>
      <c r="C3141" t="s">
        <v>21</v>
      </c>
      <c r="D3141" t="s">
        <v>21</v>
      </c>
      <c r="E3141" s="2">
        <v>11.13</v>
      </c>
      <c r="F3141" s="3">
        <v>41.04</v>
      </c>
      <c r="G3141" s="4">
        <v>151.5</v>
      </c>
      <c r="H3141">
        <v>1</v>
      </c>
      <c r="I3141" s="4">
        <v>151.5</v>
      </c>
      <c r="J3141">
        <v>3.1</v>
      </c>
      <c r="K3141" t="s">
        <v>30</v>
      </c>
      <c r="L3141" t="s">
        <v>19</v>
      </c>
      <c r="O3141"/>
    </row>
    <row r="3142" spans="1:15" x14ac:dyDescent="0.3">
      <c r="A3142" t="s">
        <v>3166</v>
      </c>
      <c r="B3142" s="1">
        <v>45834</v>
      </c>
      <c r="C3142" t="s">
        <v>14</v>
      </c>
      <c r="D3142" t="s">
        <v>14</v>
      </c>
      <c r="E3142" s="2">
        <v>11.86</v>
      </c>
      <c r="F3142" s="3">
        <v>24.12</v>
      </c>
      <c r="G3142" s="4">
        <v>164.89</v>
      </c>
      <c r="H3142">
        <v>1</v>
      </c>
      <c r="I3142" s="4">
        <v>164.89</v>
      </c>
      <c r="J3142">
        <v>4.7</v>
      </c>
      <c r="K3142" t="s">
        <v>33</v>
      </c>
      <c r="L3142" t="s">
        <v>19</v>
      </c>
      <c r="O3142"/>
    </row>
    <row r="3143" spans="1:15" x14ac:dyDescent="0.3">
      <c r="A3143" t="s">
        <v>3167</v>
      </c>
      <c r="B3143" s="1">
        <v>45737</v>
      </c>
      <c r="C3143" t="s">
        <v>21</v>
      </c>
      <c r="D3143" t="s">
        <v>21</v>
      </c>
      <c r="E3143" s="2">
        <v>13.53</v>
      </c>
      <c r="F3143" s="3">
        <v>28.59</v>
      </c>
      <c r="G3143" s="4">
        <v>214.87</v>
      </c>
      <c r="H3143">
        <v>2</v>
      </c>
      <c r="I3143" s="4">
        <v>429.74</v>
      </c>
      <c r="J3143">
        <v>3.8</v>
      </c>
      <c r="K3143" t="s">
        <v>36</v>
      </c>
      <c r="L3143" t="s">
        <v>16</v>
      </c>
      <c r="O3143"/>
    </row>
    <row r="3144" spans="1:15" x14ac:dyDescent="0.3">
      <c r="A3144" t="s">
        <v>3168</v>
      </c>
      <c r="B3144" s="1">
        <v>45882</v>
      </c>
      <c r="C3144" t="s">
        <v>25</v>
      </c>
      <c r="D3144" t="s">
        <v>21</v>
      </c>
      <c r="E3144" s="2">
        <v>13.19</v>
      </c>
      <c r="F3144" s="3">
        <v>28.71</v>
      </c>
      <c r="G3144" s="4">
        <v>158.54</v>
      </c>
      <c r="H3144">
        <v>1</v>
      </c>
      <c r="I3144" s="4">
        <v>158.54</v>
      </c>
      <c r="J3144">
        <v>4.5</v>
      </c>
      <c r="K3144" t="s">
        <v>36</v>
      </c>
      <c r="L3144" t="s">
        <v>19</v>
      </c>
      <c r="O3144"/>
    </row>
    <row r="3145" spans="1:15" x14ac:dyDescent="0.3">
      <c r="A3145" t="s">
        <v>3169</v>
      </c>
      <c r="B3145" s="1">
        <v>45698</v>
      </c>
      <c r="C3145" t="s">
        <v>22</v>
      </c>
      <c r="D3145" t="s">
        <v>14</v>
      </c>
      <c r="E3145" s="2">
        <v>16.350000000000001</v>
      </c>
      <c r="F3145" s="3">
        <v>63.73</v>
      </c>
      <c r="G3145" s="4">
        <v>175.47</v>
      </c>
      <c r="H3145">
        <v>1</v>
      </c>
      <c r="I3145" s="4">
        <v>175.47</v>
      </c>
      <c r="J3145">
        <v>3.9</v>
      </c>
      <c r="K3145" t="s">
        <v>30</v>
      </c>
      <c r="L3145" t="s">
        <v>28</v>
      </c>
      <c r="O3145"/>
    </row>
    <row r="3146" spans="1:15" x14ac:dyDescent="0.3">
      <c r="A3146" t="s">
        <v>3170</v>
      </c>
      <c r="B3146" s="1">
        <v>45982</v>
      </c>
      <c r="C3146" t="s">
        <v>25</v>
      </c>
      <c r="D3146" t="s">
        <v>13</v>
      </c>
      <c r="E3146" s="2">
        <v>15.97</v>
      </c>
      <c r="F3146" s="3">
        <v>59.83</v>
      </c>
      <c r="G3146" s="4">
        <v>192.52</v>
      </c>
      <c r="H3146">
        <v>2</v>
      </c>
      <c r="I3146" s="4">
        <v>385.04</v>
      </c>
      <c r="J3146">
        <v>3.5</v>
      </c>
      <c r="K3146" t="s">
        <v>33</v>
      </c>
      <c r="L3146" t="s">
        <v>19</v>
      </c>
      <c r="O3146"/>
    </row>
    <row r="3147" spans="1:15" x14ac:dyDescent="0.3">
      <c r="A3147" t="s">
        <v>3171</v>
      </c>
      <c r="B3147" s="1">
        <v>45986</v>
      </c>
      <c r="C3147" t="s">
        <v>14</v>
      </c>
      <c r="D3147" t="s">
        <v>21</v>
      </c>
      <c r="E3147" s="2">
        <v>19.52</v>
      </c>
      <c r="F3147" s="3">
        <v>62.06</v>
      </c>
      <c r="G3147" s="4">
        <v>221.9</v>
      </c>
      <c r="H3147">
        <v>1.2</v>
      </c>
      <c r="I3147" s="4">
        <v>266.27999999999997</v>
      </c>
      <c r="J3147">
        <v>4.2</v>
      </c>
      <c r="K3147" t="s">
        <v>15</v>
      </c>
      <c r="L3147" t="s">
        <v>28</v>
      </c>
      <c r="O3147"/>
    </row>
    <row r="3148" spans="1:15" x14ac:dyDescent="0.3">
      <c r="A3148" t="s">
        <v>3172</v>
      </c>
      <c r="B3148" s="1">
        <v>45946</v>
      </c>
      <c r="C3148" t="s">
        <v>22</v>
      </c>
      <c r="D3148" t="s">
        <v>13</v>
      </c>
      <c r="E3148" s="2">
        <v>5.71</v>
      </c>
      <c r="F3148" s="3">
        <v>12.82</v>
      </c>
      <c r="G3148" s="4">
        <v>112.23</v>
      </c>
      <c r="H3148">
        <v>1.2</v>
      </c>
      <c r="I3148" s="4">
        <v>134.68</v>
      </c>
      <c r="J3148">
        <v>4.9000000000000004</v>
      </c>
      <c r="K3148" t="s">
        <v>33</v>
      </c>
      <c r="L3148" t="s">
        <v>19</v>
      </c>
      <c r="O3148"/>
    </row>
    <row r="3149" spans="1:15" x14ac:dyDescent="0.3">
      <c r="A3149" t="s">
        <v>3173</v>
      </c>
      <c r="B3149" s="1">
        <v>45757</v>
      </c>
      <c r="C3149" t="s">
        <v>22</v>
      </c>
      <c r="D3149" t="s">
        <v>25</v>
      </c>
      <c r="E3149" s="2">
        <v>12.91</v>
      </c>
      <c r="F3149" s="3">
        <v>35.78</v>
      </c>
      <c r="G3149" s="4">
        <v>219.59</v>
      </c>
      <c r="H3149">
        <v>1.2</v>
      </c>
      <c r="I3149" s="4">
        <v>263.51</v>
      </c>
      <c r="J3149">
        <v>3.9</v>
      </c>
      <c r="K3149" t="s">
        <v>36</v>
      </c>
      <c r="L3149" t="s">
        <v>19</v>
      </c>
      <c r="O3149"/>
    </row>
    <row r="3150" spans="1:15" x14ac:dyDescent="0.3">
      <c r="A3150" t="s">
        <v>3174</v>
      </c>
      <c r="B3150" s="1">
        <v>45717</v>
      </c>
      <c r="C3150" t="s">
        <v>14</v>
      </c>
      <c r="D3150" t="s">
        <v>25</v>
      </c>
      <c r="E3150" s="2">
        <v>9.7799999999999994</v>
      </c>
      <c r="F3150" s="3">
        <v>36.54</v>
      </c>
      <c r="G3150" s="4">
        <v>149.55000000000001</v>
      </c>
      <c r="H3150">
        <v>1</v>
      </c>
      <c r="I3150" s="4">
        <v>149.55000000000001</v>
      </c>
      <c r="J3150">
        <v>3.4</v>
      </c>
      <c r="K3150" t="s">
        <v>15</v>
      </c>
      <c r="L3150" t="s">
        <v>16</v>
      </c>
      <c r="O3150"/>
    </row>
    <row r="3151" spans="1:15" x14ac:dyDescent="0.3">
      <c r="A3151" t="s">
        <v>3175</v>
      </c>
      <c r="B3151" s="1">
        <v>45841</v>
      </c>
      <c r="C3151" t="s">
        <v>22</v>
      </c>
      <c r="D3151" t="s">
        <v>13</v>
      </c>
      <c r="E3151" s="2">
        <v>18.12</v>
      </c>
      <c r="F3151" s="3">
        <v>41.74</v>
      </c>
      <c r="G3151" s="4">
        <v>225.81</v>
      </c>
      <c r="H3151">
        <v>1.2</v>
      </c>
      <c r="I3151" s="4">
        <v>270.97000000000003</v>
      </c>
      <c r="J3151">
        <v>4.4000000000000004</v>
      </c>
      <c r="K3151" t="s">
        <v>36</v>
      </c>
      <c r="L3151" t="s">
        <v>16</v>
      </c>
      <c r="O3151"/>
    </row>
    <row r="3152" spans="1:15" x14ac:dyDescent="0.3">
      <c r="A3152" t="s">
        <v>3176</v>
      </c>
      <c r="B3152" s="1">
        <v>45924</v>
      </c>
      <c r="C3152" t="s">
        <v>14</v>
      </c>
      <c r="D3152" t="s">
        <v>14</v>
      </c>
      <c r="E3152" s="2">
        <v>11.82</v>
      </c>
      <c r="F3152" s="3">
        <v>35.6</v>
      </c>
      <c r="G3152" s="4">
        <v>195.08</v>
      </c>
      <c r="H3152">
        <v>1.5</v>
      </c>
      <c r="I3152" s="4">
        <v>292.62</v>
      </c>
      <c r="J3152">
        <v>4.2</v>
      </c>
      <c r="K3152" t="s">
        <v>36</v>
      </c>
      <c r="L3152" t="s">
        <v>19</v>
      </c>
      <c r="O3152"/>
    </row>
    <row r="3153" spans="1:15" x14ac:dyDescent="0.3">
      <c r="A3153" t="s">
        <v>3177</v>
      </c>
      <c r="B3153" s="1">
        <v>45817</v>
      </c>
      <c r="C3153" t="s">
        <v>22</v>
      </c>
      <c r="D3153" t="s">
        <v>14</v>
      </c>
      <c r="E3153" s="2">
        <v>11</v>
      </c>
      <c r="F3153" s="3">
        <v>36.74</v>
      </c>
      <c r="G3153" s="4">
        <v>138.36000000000001</v>
      </c>
      <c r="H3153">
        <v>1</v>
      </c>
      <c r="I3153" s="4">
        <v>138.36000000000001</v>
      </c>
      <c r="J3153">
        <v>3.8</v>
      </c>
      <c r="K3153" t="s">
        <v>30</v>
      </c>
      <c r="L3153" t="s">
        <v>16</v>
      </c>
      <c r="O3153"/>
    </row>
    <row r="3154" spans="1:15" x14ac:dyDescent="0.3">
      <c r="A3154" t="s">
        <v>3178</v>
      </c>
      <c r="B3154" s="1">
        <v>45807</v>
      </c>
      <c r="C3154" t="s">
        <v>21</v>
      </c>
      <c r="D3154" t="s">
        <v>21</v>
      </c>
      <c r="E3154" s="2">
        <v>16.12</v>
      </c>
      <c r="F3154" s="3">
        <v>54.27</v>
      </c>
      <c r="G3154" s="4">
        <v>204.63</v>
      </c>
      <c r="H3154">
        <v>1.5</v>
      </c>
      <c r="I3154" s="4">
        <v>306.94</v>
      </c>
      <c r="J3154">
        <v>4.0999999999999996</v>
      </c>
      <c r="K3154" t="s">
        <v>18</v>
      </c>
      <c r="L3154" t="s">
        <v>28</v>
      </c>
      <c r="O3154"/>
    </row>
    <row r="3155" spans="1:15" x14ac:dyDescent="0.3">
      <c r="A3155" t="s">
        <v>3179</v>
      </c>
      <c r="B3155" s="1">
        <v>45914</v>
      </c>
      <c r="C3155" t="s">
        <v>13</v>
      </c>
      <c r="D3155" t="s">
        <v>21</v>
      </c>
      <c r="E3155" s="2">
        <v>18.309999999999999</v>
      </c>
      <c r="F3155" s="3">
        <v>47.27</v>
      </c>
      <c r="G3155" s="4">
        <v>314.10000000000002</v>
      </c>
      <c r="H3155">
        <v>1</v>
      </c>
      <c r="I3155" s="4">
        <v>314.10000000000002</v>
      </c>
      <c r="J3155">
        <v>3.9</v>
      </c>
      <c r="K3155" t="s">
        <v>18</v>
      </c>
      <c r="L3155" t="s">
        <v>16</v>
      </c>
      <c r="O3155"/>
    </row>
    <row r="3156" spans="1:15" x14ac:dyDescent="0.3">
      <c r="A3156" t="s">
        <v>3180</v>
      </c>
      <c r="B3156" s="1">
        <v>45862</v>
      </c>
      <c r="C3156" t="s">
        <v>14</v>
      </c>
      <c r="D3156" t="s">
        <v>25</v>
      </c>
      <c r="E3156" s="2">
        <v>9.7200000000000006</v>
      </c>
      <c r="F3156" s="3">
        <v>32.29</v>
      </c>
      <c r="G3156" s="4">
        <v>164.81</v>
      </c>
      <c r="H3156">
        <v>1.5</v>
      </c>
      <c r="I3156" s="4">
        <v>247.22</v>
      </c>
      <c r="J3156">
        <v>4.9000000000000004</v>
      </c>
      <c r="K3156" t="s">
        <v>18</v>
      </c>
      <c r="L3156" t="s">
        <v>26</v>
      </c>
      <c r="O3156"/>
    </row>
    <row r="3157" spans="1:15" x14ac:dyDescent="0.3">
      <c r="A3157" t="s">
        <v>3181</v>
      </c>
      <c r="B3157" s="1">
        <v>45912</v>
      </c>
      <c r="C3157" t="s">
        <v>13</v>
      </c>
      <c r="D3157" t="s">
        <v>25</v>
      </c>
      <c r="E3157" s="2">
        <v>12.39</v>
      </c>
      <c r="F3157" s="3">
        <v>34.56</v>
      </c>
      <c r="G3157" s="4">
        <v>155.47</v>
      </c>
      <c r="H3157">
        <v>1.2</v>
      </c>
      <c r="I3157" s="4">
        <v>186.56</v>
      </c>
      <c r="J3157">
        <v>4.7</v>
      </c>
      <c r="K3157" t="s">
        <v>36</v>
      </c>
      <c r="L3157" t="s">
        <v>19</v>
      </c>
      <c r="O3157"/>
    </row>
    <row r="3158" spans="1:15" x14ac:dyDescent="0.3">
      <c r="A3158" t="s">
        <v>3182</v>
      </c>
      <c r="B3158" s="1">
        <v>45777</v>
      </c>
      <c r="C3158" t="s">
        <v>14</v>
      </c>
      <c r="D3158" t="s">
        <v>22</v>
      </c>
      <c r="E3158" s="2">
        <v>4.72</v>
      </c>
      <c r="F3158" s="3">
        <v>10.09</v>
      </c>
      <c r="G3158" s="4">
        <v>68.319999999999993</v>
      </c>
      <c r="H3158">
        <v>2</v>
      </c>
      <c r="I3158" s="4">
        <v>136.63999999999999</v>
      </c>
      <c r="J3158">
        <v>4.8</v>
      </c>
      <c r="K3158" t="s">
        <v>36</v>
      </c>
      <c r="L3158" t="s">
        <v>19</v>
      </c>
      <c r="O3158"/>
    </row>
    <row r="3159" spans="1:15" x14ac:dyDescent="0.3">
      <c r="A3159" t="s">
        <v>3183</v>
      </c>
      <c r="B3159" s="1">
        <v>45732</v>
      </c>
      <c r="C3159" t="s">
        <v>13</v>
      </c>
      <c r="D3159" t="s">
        <v>13</v>
      </c>
      <c r="E3159" s="2">
        <v>25.55</v>
      </c>
      <c r="F3159" s="3">
        <v>59.18</v>
      </c>
      <c r="G3159" s="4">
        <v>261.02999999999997</v>
      </c>
      <c r="H3159">
        <v>2</v>
      </c>
      <c r="I3159" s="4">
        <v>522.05999999999995</v>
      </c>
      <c r="J3159">
        <v>4.4000000000000004</v>
      </c>
      <c r="K3159" t="s">
        <v>18</v>
      </c>
      <c r="L3159" t="s">
        <v>16</v>
      </c>
      <c r="O3159"/>
    </row>
    <row r="3160" spans="1:15" x14ac:dyDescent="0.3">
      <c r="A3160" t="s">
        <v>3184</v>
      </c>
      <c r="B3160" s="1">
        <v>45956</v>
      </c>
      <c r="C3160" t="s">
        <v>25</v>
      </c>
      <c r="D3160" t="s">
        <v>25</v>
      </c>
      <c r="E3160" s="2">
        <v>29.67</v>
      </c>
      <c r="F3160" s="3">
        <v>99.38</v>
      </c>
      <c r="G3160" s="4">
        <v>520.25</v>
      </c>
      <c r="H3160">
        <v>2</v>
      </c>
      <c r="I3160" s="4">
        <v>1040.5</v>
      </c>
      <c r="J3160">
        <v>3.2</v>
      </c>
      <c r="K3160" t="s">
        <v>30</v>
      </c>
      <c r="L3160" t="s">
        <v>16</v>
      </c>
      <c r="O3160"/>
    </row>
    <row r="3161" spans="1:15" x14ac:dyDescent="0.3">
      <c r="A3161" t="s">
        <v>3185</v>
      </c>
      <c r="B3161" s="1">
        <v>45708</v>
      </c>
      <c r="C3161" t="s">
        <v>14</v>
      </c>
      <c r="D3161" t="s">
        <v>21</v>
      </c>
      <c r="E3161" s="2">
        <v>2.25</v>
      </c>
      <c r="F3161" s="3">
        <v>8.27</v>
      </c>
      <c r="G3161" s="4">
        <v>26.32</v>
      </c>
      <c r="H3161">
        <v>1.2</v>
      </c>
      <c r="I3161" s="4">
        <v>31.58</v>
      </c>
      <c r="J3161">
        <v>3.7</v>
      </c>
      <c r="K3161" t="s">
        <v>15</v>
      </c>
      <c r="L3161" t="s">
        <v>28</v>
      </c>
      <c r="O3161"/>
    </row>
    <row r="3162" spans="1:15" x14ac:dyDescent="0.3">
      <c r="A3162" t="s">
        <v>3186</v>
      </c>
      <c r="B3162" s="1">
        <v>45888</v>
      </c>
      <c r="C3162" t="s">
        <v>21</v>
      </c>
      <c r="D3162" t="s">
        <v>25</v>
      </c>
      <c r="E3162" s="2">
        <v>2.99</v>
      </c>
      <c r="F3162" s="3">
        <v>8.86</v>
      </c>
      <c r="G3162" s="4">
        <v>34.96</v>
      </c>
      <c r="H3162">
        <v>1.5</v>
      </c>
      <c r="I3162" s="4">
        <v>52.44</v>
      </c>
      <c r="J3162">
        <v>4.5999999999999996</v>
      </c>
      <c r="K3162" t="s">
        <v>18</v>
      </c>
      <c r="L3162" t="s">
        <v>16</v>
      </c>
      <c r="O3162"/>
    </row>
    <row r="3163" spans="1:15" x14ac:dyDescent="0.3">
      <c r="A3163" t="s">
        <v>3187</v>
      </c>
      <c r="B3163" s="1">
        <v>45703</v>
      </c>
      <c r="C3163" t="s">
        <v>13</v>
      </c>
      <c r="D3163" t="s">
        <v>13</v>
      </c>
      <c r="E3163" s="2">
        <v>10.93</v>
      </c>
      <c r="F3163" s="3">
        <v>34.26</v>
      </c>
      <c r="G3163" s="4">
        <v>140.44999999999999</v>
      </c>
      <c r="H3163">
        <v>2</v>
      </c>
      <c r="I3163" s="4">
        <v>280.89999999999998</v>
      </c>
      <c r="J3163">
        <v>3.3</v>
      </c>
      <c r="K3163" t="s">
        <v>30</v>
      </c>
      <c r="L3163" t="s">
        <v>28</v>
      </c>
      <c r="O3163"/>
    </row>
    <row r="3164" spans="1:15" x14ac:dyDescent="0.3">
      <c r="A3164" t="s">
        <v>3188</v>
      </c>
      <c r="B3164" s="1">
        <v>45900</v>
      </c>
      <c r="C3164" t="s">
        <v>13</v>
      </c>
      <c r="D3164" t="s">
        <v>22</v>
      </c>
      <c r="E3164" s="2">
        <v>6.2</v>
      </c>
      <c r="F3164" s="3">
        <v>13.42</v>
      </c>
      <c r="G3164" s="4">
        <v>82.36</v>
      </c>
      <c r="H3164">
        <v>1.5</v>
      </c>
      <c r="I3164" s="4">
        <v>123.54</v>
      </c>
      <c r="J3164">
        <v>4</v>
      </c>
      <c r="K3164" t="s">
        <v>18</v>
      </c>
      <c r="L3164" t="s">
        <v>19</v>
      </c>
      <c r="O3164"/>
    </row>
    <row r="3165" spans="1:15" x14ac:dyDescent="0.3">
      <c r="A3165" t="s">
        <v>3189</v>
      </c>
      <c r="B3165" s="1">
        <v>45875</v>
      </c>
      <c r="C3165" t="s">
        <v>21</v>
      </c>
      <c r="D3165" t="s">
        <v>22</v>
      </c>
      <c r="E3165" s="2">
        <v>11.27</v>
      </c>
      <c r="F3165" s="3">
        <v>38.869999999999997</v>
      </c>
      <c r="G3165" s="4">
        <v>146.62</v>
      </c>
      <c r="H3165">
        <v>2</v>
      </c>
      <c r="I3165" s="4">
        <v>293.24</v>
      </c>
      <c r="J3165">
        <v>3.8</v>
      </c>
      <c r="K3165" t="s">
        <v>33</v>
      </c>
      <c r="L3165" t="s">
        <v>28</v>
      </c>
      <c r="O3165"/>
    </row>
    <row r="3166" spans="1:15" x14ac:dyDescent="0.3">
      <c r="A3166" t="s">
        <v>3190</v>
      </c>
      <c r="B3166" s="1">
        <v>45705</v>
      </c>
      <c r="C3166" t="s">
        <v>25</v>
      </c>
      <c r="D3166" t="s">
        <v>14</v>
      </c>
      <c r="E3166" s="2">
        <v>22.4</v>
      </c>
      <c r="F3166" s="3">
        <v>51.52</v>
      </c>
      <c r="G3166" s="4">
        <v>337.08</v>
      </c>
      <c r="H3166">
        <v>2</v>
      </c>
      <c r="I3166" s="4">
        <v>674.16</v>
      </c>
      <c r="J3166">
        <v>3.6</v>
      </c>
      <c r="K3166" t="s">
        <v>36</v>
      </c>
      <c r="L3166" t="s">
        <v>28</v>
      </c>
      <c r="O3166"/>
    </row>
    <row r="3167" spans="1:15" x14ac:dyDescent="0.3">
      <c r="A3167" t="s">
        <v>3191</v>
      </c>
      <c r="B3167" s="1">
        <v>45998</v>
      </c>
      <c r="C3167" t="s">
        <v>25</v>
      </c>
      <c r="D3167" t="s">
        <v>13</v>
      </c>
      <c r="E3167" s="2">
        <v>18.91</v>
      </c>
      <c r="F3167" s="3">
        <v>73.819999999999993</v>
      </c>
      <c r="G3167" s="4">
        <v>247.85</v>
      </c>
      <c r="H3167">
        <v>1</v>
      </c>
      <c r="I3167" s="4">
        <v>247.85</v>
      </c>
      <c r="J3167">
        <v>3.2</v>
      </c>
      <c r="K3167" t="s">
        <v>33</v>
      </c>
      <c r="L3167" t="s">
        <v>19</v>
      </c>
      <c r="O3167"/>
    </row>
    <row r="3168" spans="1:15" x14ac:dyDescent="0.3">
      <c r="A3168" t="s">
        <v>3192</v>
      </c>
      <c r="B3168" s="1">
        <v>45686</v>
      </c>
      <c r="C3168" t="s">
        <v>13</v>
      </c>
      <c r="D3168" t="s">
        <v>13</v>
      </c>
      <c r="E3168" s="2">
        <v>19.86</v>
      </c>
      <c r="F3168" s="3">
        <v>66.459999999999994</v>
      </c>
      <c r="G3168" s="4">
        <v>234.14</v>
      </c>
      <c r="H3168">
        <v>1.2</v>
      </c>
      <c r="I3168" s="4">
        <v>280.97000000000003</v>
      </c>
      <c r="J3168">
        <v>4.8</v>
      </c>
      <c r="K3168" t="s">
        <v>15</v>
      </c>
      <c r="L3168" t="s">
        <v>19</v>
      </c>
      <c r="O3168"/>
    </row>
    <row r="3169" spans="1:15" x14ac:dyDescent="0.3">
      <c r="A3169" t="s">
        <v>3193</v>
      </c>
      <c r="B3169" s="1">
        <v>45931</v>
      </c>
      <c r="C3169" t="s">
        <v>13</v>
      </c>
      <c r="D3169" t="s">
        <v>25</v>
      </c>
      <c r="E3169" s="2">
        <v>14.66</v>
      </c>
      <c r="F3169" s="3">
        <v>52.8</v>
      </c>
      <c r="G3169" s="4">
        <v>214.14</v>
      </c>
      <c r="H3169">
        <v>1</v>
      </c>
      <c r="I3169" s="4">
        <v>214.14</v>
      </c>
      <c r="J3169">
        <v>3.5</v>
      </c>
      <c r="K3169" t="s">
        <v>30</v>
      </c>
      <c r="L3169" t="s">
        <v>16</v>
      </c>
      <c r="O3169"/>
    </row>
    <row r="3170" spans="1:15" x14ac:dyDescent="0.3">
      <c r="A3170" t="s">
        <v>3194</v>
      </c>
      <c r="B3170" s="1">
        <v>45997</v>
      </c>
      <c r="C3170" t="s">
        <v>25</v>
      </c>
      <c r="D3170" t="s">
        <v>21</v>
      </c>
      <c r="E3170" s="2">
        <v>16.8</v>
      </c>
      <c r="F3170" s="3">
        <v>64.66</v>
      </c>
      <c r="G3170" s="4">
        <v>264.16000000000003</v>
      </c>
      <c r="H3170">
        <v>1.2</v>
      </c>
      <c r="I3170" s="4">
        <v>316.99</v>
      </c>
      <c r="J3170">
        <v>3.2</v>
      </c>
      <c r="K3170" t="s">
        <v>36</v>
      </c>
      <c r="L3170" t="s">
        <v>26</v>
      </c>
      <c r="O3170"/>
    </row>
    <row r="3171" spans="1:15" x14ac:dyDescent="0.3">
      <c r="A3171" t="s">
        <v>3195</v>
      </c>
      <c r="B3171" s="1">
        <v>45775</v>
      </c>
      <c r="C3171" t="s">
        <v>22</v>
      </c>
      <c r="D3171" t="s">
        <v>22</v>
      </c>
      <c r="E3171" s="2">
        <v>13.77</v>
      </c>
      <c r="F3171" s="3">
        <v>44.76</v>
      </c>
      <c r="G3171" s="4">
        <v>205.23</v>
      </c>
      <c r="H3171">
        <v>1.5</v>
      </c>
      <c r="I3171" s="4">
        <v>307.83999999999997</v>
      </c>
      <c r="J3171">
        <v>4.2</v>
      </c>
      <c r="K3171" t="s">
        <v>36</v>
      </c>
      <c r="L3171" t="s">
        <v>19</v>
      </c>
      <c r="O3171"/>
    </row>
    <row r="3172" spans="1:15" x14ac:dyDescent="0.3">
      <c r="A3172" t="s">
        <v>3196</v>
      </c>
      <c r="B3172" s="1">
        <v>45855</v>
      </c>
      <c r="C3172" t="s">
        <v>14</v>
      </c>
      <c r="D3172" t="s">
        <v>25</v>
      </c>
      <c r="E3172" s="2">
        <v>27.81</v>
      </c>
      <c r="F3172" s="3">
        <v>95.65</v>
      </c>
      <c r="G3172" s="4">
        <v>309.12</v>
      </c>
      <c r="H3172">
        <v>1.5</v>
      </c>
      <c r="I3172" s="4">
        <v>463.68</v>
      </c>
      <c r="J3172">
        <v>3.1</v>
      </c>
      <c r="K3172" t="s">
        <v>30</v>
      </c>
      <c r="L3172" t="s">
        <v>16</v>
      </c>
      <c r="O3172"/>
    </row>
    <row r="3173" spans="1:15" x14ac:dyDescent="0.3">
      <c r="A3173" t="s">
        <v>3197</v>
      </c>
      <c r="B3173" s="1">
        <v>45766</v>
      </c>
      <c r="C3173" t="s">
        <v>14</v>
      </c>
      <c r="D3173" t="s">
        <v>21</v>
      </c>
      <c r="E3173" s="2">
        <v>25.24</v>
      </c>
      <c r="F3173" s="3">
        <v>78</v>
      </c>
      <c r="G3173" s="4">
        <v>392.34</v>
      </c>
      <c r="H3173">
        <v>1</v>
      </c>
      <c r="I3173" s="4">
        <v>392.34</v>
      </c>
      <c r="J3173">
        <v>4</v>
      </c>
      <c r="K3173" t="s">
        <v>30</v>
      </c>
      <c r="L3173" t="s">
        <v>28</v>
      </c>
      <c r="O3173"/>
    </row>
    <row r="3174" spans="1:15" x14ac:dyDescent="0.3">
      <c r="A3174" t="s">
        <v>3198</v>
      </c>
      <c r="B3174" s="1">
        <v>45929</v>
      </c>
      <c r="C3174" t="s">
        <v>14</v>
      </c>
      <c r="D3174" t="s">
        <v>13</v>
      </c>
      <c r="E3174" s="2">
        <v>20.73</v>
      </c>
      <c r="F3174" s="3">
        <v>45.96</v>
      </c>
      <c r="G3174" s="4">
        <v>406.57</v>
      </c>
      <c r="H3174">
        <v>1.5</v>
      </c>
      <c r="I3174" s="4">
        <v>609.86</v>
      </c>
      <c r="J3174">
        <v>3.2</v>
      </c>
      <c r="K3174" t="s">
        <v>36</v>
      </c>
      <c r="L3174" t="s">
        <v>19</v>
      </c>
      <c r="O3174"/>
    </row>
    <row r="3175" spans="1:15" x14ac:dyDescent="0.3">
      <c r="A3175" t="s">
        <v>3199</v>
      </c>
      <c r="B3175" s="1">
        <v>45826</v>
      </c>
      <c r="C3175" t="s">
        <v>14</v>
      </c>
      <c r="D3175" t="s">
        <v>14</v>
      </c>
      <c r="E3175" s="2">
        <v>10.17</v>
      </c>
      <c r="F3175" s="3">
        <v>23.61</v>
      </c>
      <c r="G3175" s="4">
        <v>143.33000000000001</v>
      </c>
      <c r="H3175">
        <v>1.2</v>
      </c>
      <c r="I3175" s="4">
        <v>172</v>
      </c>
      <c r="J3175">
        <v>3</v>
      </c>
      <c r="K3175" t="s">
        <v>18</v>
      </c>
      <c r="L3175" t="s">
        <v>19</v>
      </c>
      <c r="O3175"/>
    </row>
    <row r="3176" spans="1:15" x14ac:dyDescent="0.3">
      <c r="A3176" t="s">
        <v>3200</v>
      </c>
      <c r="B3176" s="1">
        <v>45984</v>
      </c>
      <c r="C3176" t="s">
        <v>25</v>
      </c>
      <c r="D3176" t="s">
        <v>21</v>
      </c>
      <c r="E3176" s="2">
        <v>14.69</v>
      </c>
      <c r="F3176" s="3">
        <v>40.94</v>
      </c>
      <c r="G3176" s="4">
        <v>204.92</v>
      </c>
      <c r="H3176">
        <v>1</v>
      </c>
      <c r="I3176" s="4">
        <v>204.92</v>
      </c>
      <c r="J3176">
        <v>3.9</v>
      </c>
      <c r="K3176" t="s">
        <v>30</v>
      </c>
      <c r="L3176" t="s">
        <v>26</v>
      </c>
      <c r="O3176"/>
    </row>
    <row r="3177" spans="1:15" x14ac:dyDescent="0.3">
      <c r="A3177" t="s">
        <v>3201</v>
      </c>
      <c r="B3177" s="1">
        <v>45906</v>
      </c>
      <c r="C3177" t="s">
        <v>13</v>
      </c>
      <c r="D3177" t="s">
        <v>25</v>
      </c>
      <c r="E3177" s="2">
        <v>10.49</v>
      </c>
      <c r="F3177" s="3">
        <v>41.65</v>
      </c>
      <c r="G3177" s="4">
        <v>143.52000000000001</v>
      </c>
      <c r="H3177">
        <v>2</v>
      </c>
      <c r="I3177" s="4">
        <v>287.04000000000002</v>
      </c>
      <c r="J3177">
        <v>5</v>
      </c>
      <c r="K3177" t="s">
        <v>15</v>
      </c>
      <c r="L3177" t="s">
        <v>26</v>
      </c>
      <c r="O3177"/>
    </row>
    <row r="3178" spans="1:15" x14ac:dyDescent="0.3">
      <c r="A3178" t="s">
        <v>3202</v>
      </c>
      <c r="B3178" s="1">
        <v>46002</v>
      </c>
      <c r="C3178" t="s">
        <v>22</v>
      </c>
      <c r="D3178" t="s">
        <v>22</v>
      </c>
      <c r="E3178" s="2">
        <v>16.3</v>
      </c>
      <c r="F3178" s="3">
        <v>43.18</v>
      </c>
      <c r="G3178" s="4">
        <v>248.37</v>
      </c>
      <c r="H3178">
        <v>1.5</v>
      </c>
      <c r="I3178" s="4">
        <v>372.56</v>
      </c>
      <c r="J3178">
        <v>3.8</v>
      </c>
      <c r="K3178" t="s">
        <v>30</v>
      </c>
      <c r="L3178" t="s">
        <v>16</v>
      </c>
      <c r="O3178"/>
    </row>
    <row r="3179" spans="1:15" x14ac:dyDescent="0.3">
      <c r="A3179" t="s">
        <v>3203</v>
      </c>
      <c r="B3179" s="1">
        <v>45790</v>
      </c>
      <c r="C3179" t="s">
        <v>25</v>
      </c>
      <c r="D3179" t="s">
        <v>22</v>
      </c>
      <c r="E3179" s="2">
        <v>22.04</v>
      </c>
      <c r="F3179" s="3">
        <v>47.37</v>
      </c>
      <c r="G3179" s="4">
        <v>309.2</v>
      </c>
      <c r="H3179">
        <v>1.5</v>
      </c>
      <c r="I3179" s="4">
        <v>463.8</v>
      </c>
      <c r="J3179">
        <v>4.5999999999999996</v>
      </c>
      <c r="K3179" t="s">
        <v>15</v>
      </c>
      <c r="L3179" t="s">
        <v>28</v>
      </c>
      <c r="O3179"/>
    </row>
    <row r="3180" spans="1:15" x14ac:dyDescent="0.3">
      <c r="A3180" t="s">
        <v>3204</v>
      </c>
      <c r="B3180" s="1">
        <v>45807</v>
      </c>
      <c r="C3180" t="s">
        <v>22</v>
      </c>
      <c r="D3180" t="s">
        <v>14</v>
      </c>
      <c r="E3180" s="2">
        <v>6.6</v>
      </c>
      <c r="F3180" s="3">
        <v>24.66</v>
      </c>
      <c r="G3180" s="4">
        <v>72.89</v>
      </c>
      <c r="H3180">
        <v>1.2</v>
      </c>
      <c r="I3180" s="4">
        <v>87.47</v>
      </c>
      <c r="J3180">
        <v>4</v>
      </c>
      <c r="K3180" t="s">
        <v>30</v>
      </c>
      <c r="L3180" t="s">
        <v>28</v>
      </c>
      <c r="O3180"/>
    </row>
    <row r="3181" spans="1:15" x14ac:dyDescent="0.3">
      <c r="A3181" t="s">
        <v>3205</v>
      </c>
      <c r="B3181" s="1">
        <v>45823</v>
      </c>
      <c r="C3181" t="s">
        <v>25</v>
      </c>
      <c r="D3181" t="s">
        <v>25</v>
      </c>
      <c r="E3181" s="2">
        <v>5.51</v>
      </c>
      <c r="F3181" s="3">
        <v>19.149999999999999</v>
      </c>
      <c r="G3181" s="4">
        <v>105.79</v>
      </c>
      <c r="H3181">
        <v>1.2</v>
      </c>
      <c r="I3181" s="4">
        <v>126.95</v>
      </c>
      <c r="J3181">
        <v>5</v>
      </c>
      <c r="K3181" t="s">
        <v>33</v>
      </c>
      <c r="L3181" t="s">
        <v>16</v>
      </c>
      <c r="O3181"/>
    </row>
    <row r="3182" spans="1:15" x14ac:dyDescent="0.3">
      <c r="A3182" t="s">
        <v>3206</v>
      </c>
      <c r="B3182" s="1">
        <v>45718</v>
      </c>
      <c r="C3182" t="s">
        <v>22</v>
      </c>
      <c r="D3182" t="s">
        <v>21</v>
      </c>
      <c r="E3182" s="2">
        <v>10.41</v>
      </c>
      <c r="F3182" s="3">
        <v>24.63</v>
      </c>
      <c r="G3182" s="4">
        <v>197.36</v>
      </c>
      <c r="H3182">
        <v>1.2</v>
      </c>
      <c r="I3182" s="4">
        <v>236.83</v>
      </c>
      <c r="J3182">
        <v>3.4</v>
      </c>
      <c r="K3182" t="s">
        <v>36</v>
      </c>
      <c r="L3182" t="s">
        <v>19</v>
      </c>
      <c r="O3182"/>
    </row>
    <row r="3183" spans="1:15" x14ac:dyDescent="0.3">
      <c r="A3183" t="s">
        <v>3207</v>
      </c>
      <c r="B3183" s="1">
        <v>45883</v>
      </c>
      <c r="C3183" t="s">
        <v>22</v>
      </c>
      <c r="D3183" t="s">
        <v>13</v>
      </c>
      <c r="E3183" s="2">
        <v>9.77</v>
      </c>
      <c r="F3183" s="3">
        <v>33.69</v>
      </c>
      <c r="G3183" s="4">
        <v>113.82</v>
      </c>
      <c r="H3183">
        <v>1.2</v>
      </c>
      <c r="I3183" s="4">
        <v>136.58000000000001</v>
      </c>
      <c r="J3183">
        <v>4</v>
      </c>
      <c r="K3183" t="s">
        <v>30</v>
      </c>
      <c r="L3183" t="s">
        <v>19</v>
      </c>
      <c r="O3183"/>
    </row>
    <row r="3184" spans="1:15" x14ac:dyDescent="0.3">
      <c r="A3184" t="s">
        <v>3208</v>
      </c>
      <c r="B3184" s="1">
        <v>45743</v>
      </c>
      <c r="C3184" t="s">
        <v>21</v>
      </c>
      <c r="D3184" t="s">
        <v>14</v>
      </c>
      <c r="E3184" s="2">
        <v>25.05</v>
      </c>
      <c r="F3184" s="3">
        <v>50.43</v>
      </c>
      <c r="G3184" s="4">
        <v>306.39</v>
      </c>
      <c r="H3184">
        <v>1</v>
      </c>
      <c r="I3184" s="4">
        <v>306.39</v>
      </c>
      <c r="J3184">
        <v>3.7</v>
      </c>
      <c r="K3184" t="s">
        <v>18</v>
      </c>
      <c r="L3184" t="s">
        <v>16</v>
      </c>
      <c r="O3184"/>
    </row>
    <row r="3185" spans="1:15" x14ac:dyDescent="0.3">
      <c r="A3185" t="s">
        <v>3209</v>
      </c>
      <c r="B3185" s="1">
        <v>45863</v>
      </c>
      <c r="C3185" t="s">
        <v>13</v>
      </c>
      <c r="D3185" t="s">
        <v>14</v>
      </c>
      <c r="E3185" s="2">
        <v>5.72</v>
      </c>
      <c r="F3185" s="3">
        <v>14.54</v>
      </c>
      <c r="G3185" s="4">
        <v>59.68</v>
      </c>
      <c r="H3185">
        <v>1</v>
      </c>
      <c r="I3185" s="4">
        <v>59.68</v>
      </c>
      <c r="J3185">
        <v>4.3</v>
      </c>
      <c r="K3185" t="s">
        <v>33</v>
      </c>
      <c r="L3185" t="s">
        <v>26</v>
      </c>
      <c r="O3185"/>
    </row>
    <row r="3186" spans="1:15" x14ac:dyDescent="0.3">
      <c r="A3186" t="s">
        <v>3210</v>
      </c>
      <c r="B3186" s="1">
        <v>45846</v>
      </c>
      <c r="C3186" t="s">
        <v>25</v>
      </c>
      <c r="D3186" t="s">
        <v>13</v>
      </c>
      <c r="E3186" s="2">
        <v>29.49</v>
      </c>
      <c r="F3186" s="3">
        <v>97.52</v>
      </c>
      <c r="G3186" s="4">
        <v>448.84</v>
      </c>
      <c r="H3186">
        <v>1.5</v>
      </c>
      <c r="I3186" s="4">
        <v>673.26</v>
      </c>
      <c r="J3186">
        <v>3.1</v>
      </c>
      <c r="K3186" t="s">
        <v>30</v>
      </c>
      <c r="L3186" t="s">
        <v>26</v>
      </c>
      <c r="O3186"/>
    </row>
    <row r="3187" spans="1:15" x14ac:dyDescent="0.3">
      <c r="A3187" t="s">
        <v>3211</v>
      </c>
      <c r="B3187" s="1">
        <v>45756</v>
      </c>
      <c r="C3187" t="s">
        <v>13</v>
      </c>
      <c r="D3187" t="s">
        <v>13</v>
      </c>
      <c r="E3187" s="2">
        <v>29.64</v>
      </c>
      <c r="F3187" s="3">
        <v>101.07</v>
      </c>
      <c r="G3187" s="4">
        <v>382.65</v>
      </c>
      <c r="H3187">
        <v>1</v>
      </c>
      <c r="I3187" s="4">
        <v>382.65</v>
      </c>
      <c r="J3187">
        <v>3.8</v>
      </c>
      <c r="K3187" t="s">
        <v>18</v>
      </c>
      <c r="L3187" t="s">
        <v>16</v>
      </c>
      <c r="O3187"/>
    </row>
    <row r="3188" spans="1:15" x14ac:dyDescent="0.3">
      <c r="A3188" t="s">
        <v>3212</v>
      </c>
      <c r="B3188" s="1">
        <v>45720</v>
      </c>
      <c r="C3188" t="s">
        <v>25</v>
      </c>
      <c r="D3188" t="s">
        <v>13</v>
      </c>
      <c r="E3188" s="2">
        <v>6.94</v>
      </c>
      <c r="F3188" s="3">
        <v>17.11</v>
      </c>
      <c r="G3188" s="4">
        <v>98.2</v>
      </c>
      <c r="H3188">
        <v>1.2</v>
      </c>
      <c r="I3188" s="4">
        <v>117.84</v>
      </c>
      <c r="J3188">
        <v>4.0999999999999996</v>
      </c>
      <c r="K3188" t="s">
        <v>18</v>
      </c>
      <c r="L3188" t="s">
        <v>19</v>
      </c>
      <c r="O3188"/>
    </row>
    <row r="3189" spans="1:15" x14ac:dyDescent="0.3">
      <c r="A3189" t="s">
        <v>3213</v>
      </c>
      <c r="B3189" s="1">
        <v>45674</v>
      </c>
      <c r="C3189" t="s">
        <v>25</v>
      </c>
      <c r="D3189" t="s">
        <v>22</v>
      </c>
      <c r="E3189" s="2">
        <v>7.13</v>
      </c>
      <c r="F3189" s="3">
        <v>16.940000000000001</v>
      </c>
      <c r="G3189" s="4">
        <v>104.9</v>
      </c>
      <c r="H3189">
        <v>2</v>
      </c>
      <c r="I3189" s="4">
        <v>209.8</v>
      </c>
      <c r="J3189">
        <v>3.7</v>
      </c>
      <c r="K3189" t="s">
        <v>18</v>
      </c>
      <c r="L3189" t="s">
        <v>19</v>
      </c>
      <c r="O3189"/>
    </row>
    <row r="3190" spans="1:15" x14ac:dyDescent="0.3">
      <c r="A3190" t="s">
        <v>3214</v>
      </c>
      <c r="B3190" s="1">
        <v>45957</v>
      </c>
      <c r="C3190" t="s">
        <v>25</v>
      </c>
      <c r="D3190" t="s">
        <v>25</v>
      </c>
      <c r="E3190" s="2">
        <v>2.38</v>
      </c>
      <c r="F3190" s="3">
        <v>7.49</v>
      </c>
      <c r="G3190" s="4">
        <v>31.79</v>
      </c>
      <c r="H3190">
        <v>1</v>
      </c>
      <c r="I3190" s="4">
        <v>31.79</v>
      </c>
      <c r="J3190">
        <v>4.0999999999999996</v>
      </c>
      <c r="K3190" t="s">
        <v>15</v>
      </c>
      <c r="L3190" t="s">
        <v>28</v>
      </c>
      <c r="O3190"/>
    </row>
    <row r="3191" spans="1:15" x14ac:dyDescent="0.3">
      <c r="A3191" t="s">
        <v>3215</v>
      </c>
      <c r="B3191" s="1">
        <v>45811</v>
      </c>
      <c r="C3191" t="s">
        <v>13</v>
      </c>
      <c r="D3191" t="s">
        <v>25</v>
      </c>
      <c r="E3191" s="2">
        <v>20.54</v>
      </c>
      <c r="F3191" s="3">
        <v>51.55</v>
      </c>
      <c r="G3191" s="4">
        <v>365.54</v>
      </c>
      <c r="H3191">
        <v>1.5</v>
      </c>
      <c r="I3191" s="4">
        <v>548.30999999999995</v>
      </c>
      <c r="J3191">
        <v>3.8</v>
      </c>
      <c r="K3191" t="s">
        <v>36</v>
      </c>
      <c r="L3191" t="s">
        <v>19</v>
      </c>
      <c r="O3191"/>
    </row>
    <row r="3192" spans="1:15" x14ac:dyDescent="0.3">
      <c r="A3192" t="s">
        <v>3216</v>
      </c>
      <c r="B3192" s="1">
        <v>45989</v>
      </c>
      <c r="C3192" t="s">
        <v>22</v>
      </c>
      <c r="D3192" t="s">
        <v>13</v>
      </c>
      <c r="E3192" s="2">
        <v>11.14</v>
      </c>
      <c r="F3192" s="3">
        <v>35.6</v>
      </c>
      <c r="G3192" s="4">
        <v>127.22</v>
      </c>
      <c r="H3192">
        <v>2</v>
      </c>
      <c r="I3192" s="4">
        <v>254.44</v>
      </c>
      <c r="J3192">
        <v>4.5</v>
      </c>
      <c r="K3192" t="s">
        <v>15</v>
      </c>
      <c r="L3192" t="s">
        <v>26</v>
      </c>
      <c r="O3192"/>
    </row>
    <row r="3193" spans="1:15" x14ac:dyDescent="0.3">
      <c r="A3193" t="s">
        <v>3217</v>
      </c>
      <c r="B3193" s="1">
        <v>46013</v>
      </c>
      <c r="C3193" t="s">
        <v>14</v>
      </c>
      <c r="D3193" t="s">
        <v>14</v>
      </c>
      <c r="E3193" s="2">
        <v>9.5</v>
      </c>
      <c r="F3193" s="3">
        <v>27.55</v>
      </c>
      <c r="G3193" s="4">
        <v>116.69</v>
      </c>
      <c r="H3193">
        <v>1.2</v>
      </c>
      <c r="I3193" s="4">
        <v>140.03</v>
      </c>
      <c r="J3193">
        <v>4</v>
      </c>
      <c r="K3193" t="s">
        <v>15</v>
      </c>
      <c r="L3193" t="s">
        <v>26</v>
      </c>
      <c r="O3193"/>
    </row>
    <row r="3194" spans="1:15" x14ac:dyDescent="0.3">
      <c r="A3194" t="s">
        <v>3218</v>
      </c>
      <c r="B3194" s="1">
        <v>45884</v>
      </c>
      <c r="C3194" t="s">
        <v>22</v>
      </c>
      <c r="D3194" t="s">
        <v>25</v>
      </c>
      <c r="E3194" s="2">
        <v>28.66</v>
      </c>
      <c r="F3194" s="3">
        <v>81.16</v>
      </c>
      <c r="G3194" s="4">
        <v>512.69000000000005</v>
      </c>
      <c r="H3194">
        <v>1</v>
      </c>
      <c r="I3194" s="4">
        <v>512.69000000000005</v>
      </c>
      <c r="J3194">
        <v>3.2</v>
      </c>
      <c r="K3194" t="s">
        <v>33</v>
      </c>
      <c r="L3194" t="s">
        <v>16</v>
      </c>
      <c r="O3194"/>
    </row>
    <row r="3195" spans="1:15" x14ac:dyDescent="0.3">
      <c r="A3195" t="s">
        <v>3219</v>
      </c>
      <c r="B3195" s="1">
        <v>45967</v>
      </c>
      <c r="C3195" t="s">
        <v>21</v>
      </c>
      <c r="D3195" t="s">
        <v>13</v>
      </c>
      <c r="E3195" s="2">
        <v>24.86</v>
      </c>
      <c r="F3195" s="3">
        <v>81.96</v>
      </c>
      <c r="G3195" s="4">
        <v>320.68</v>
      </c>
      <c r="H3195">
        <v>1</v>
      </c>
      <c r="I3195" s="4">
        <v>320.68</v>
      </c>
      <c r="J3195">
        <v>4</v>
      </c>
      <c r="K3195" t="s">
        <v>30</v>
      </c>
      <c r="L3195" t="s">
        <v>28</v>
      </c>
      <c r="O3195"/>
    </row>
    <row r="3196" spans="1:15" x14ac:dyDescent="0.3">
      <c r="A3196" t="s">
        <v>3220</v>
      </c>
      <c r="B3196" s="1">
        <v>45994</v>
      </c>
      <c r="C3196" t="s">
        <v>25</v>
      </c>
      <c r="D3196" t="s">
        <v>25</v>
      </c>
      <c r="E3196" s="2">
        <v>18.29</v>
      </c>
      <c r="F3196" s="3">
        <v>68.08</v>
      </c>
      <c r="G3196" s="4">
        <v>222.35</v>
      </c>
      <c r="H3196">
        <v>2</v>
      </c>
      <c r="I3196" s="4">
        <v>444.7</v>
      </c>
      <c r="J3196">
        <v>3.3</v>
      </c>
      <c r="K3196" t="s">
        <v>33</v>
      </c>
      <c r="L3196" t="s">
        <v>26</v>
      </c>
      <c r="O3196"/>
    </row>
    <row r="3197" spans="1:15" x14ac:dyDescent="0.3">
      <c r="A3197" t="s">
        <v>3221</v>
      </c>
      <c r="B3197" s="1">
        <v>45929</v>
      </c>
      <c r="C3197" t="s">
        <v>14</v>
      </c>
      <c r="D3197" t="s">
        <v>14</v>
      </c>
      <c r="E3197" s="2">
        <v>26.85</v>
      </c>
      <c r="F3197" s="3">
        <v>104.23</v>
      </c>
      <c r="G3197" s="4">
        <v>421.45</v>
      </c>
      <c r="H3197">
        <v>2</v>
      </c>
      <c r="I3197" s="4">
        <v>842.9</v>
      </c>
      <c r="J3197">
        <v>4.9000000000000004</v>
      </c>
      <c r="K3197" t="s">
        <v>15</v>
      </c>
      <c r="L3197" t="s">
        <v>28</v>
      </c>
      <c r="O3197"/>
    </row>
    <row r="3198" spans="1:15" x14ac:dyDescent="0.3">
      <c r="A3198" t="s">
        <v>3222</v>
      </c>
      <c r="B3198" s="1">
        <v>45723</v>
      </c>
      <c r="C3198" t="s">
        <v>14</v>
      </c>
      <c r="D3198" t="s">
        <v>22</v>
      </c>
      <c r="E3198" s="2">
        <v>18.87</v>
      </c>
      <c r="F3198" s="3">
        <v>44.17</v>
      </c>
      <c r="G3198" s="4">
        <v>318.23</v>
      </c>
      <c r="H3198">
        <v>1.5</v>
      </c>
      <c r="I3198" s="4">
        <v>477.34</v>
      </c>
      <c r="J3198">
        <v>3.4</v>
      </c>
      <c r="K3198" t="s">
        <v>36</v>
      </c>
      <c r="L3198" t="s">
        <v>26</v>
      </c>
      <c r="O3198"/>
    </row>
    <row r="3199" spans="1:15" x14ac:dyDescent="0.3">
      <c r="A3199" t="s">
        <v>3223</v>
      </c>
      <c r="B3199" s="1">
        <v>45884</v>
      </c>
      <c r="C3199" t="s">
        <v>13</v>
      </c>
      <c r="D3199" t="s">
        <v>22</v>
      </c>
      <c r="E3199" s="2">
        <v>1.88</v>
      </c>
      <c r="F3199" s="3">
        <v>6.63</v>
      </c>
      <c r="G3199" s="4">
        <v>34.51</v>
      </c>
      <c r="H3199">
        <v>1.5</v>
      </c>
      <c r="I3199" s="4">
        <v>51.76</v>
      </c>
      <c r="J3199">
        <v>4.3</v>
      </c>
      <c r="K3199" t="s">
        <v>15</v>
      </c>
      <c r="L3199" t="s">
        <v>28</v>
      </c>
      <c r="O3199"/>
    </row>
    <row r="3200" spans="1:15" x14ac:dyDescent="0.3">
      <c r="A3200" t="s">
        <v>3224</v>
      </c>
      <c r="B3200" s="1">
        <v>45828</v>
      </c>
      <c r="C3200" t="s">
        <v>14</v>
      </c>
      <c r="D3200" t="s">
        <v>13</v>
      </c>
      <c r="E3200" s="2">
        <v>16.16</v>
      </c>
      <c r="F3200" s="3">
        <v>52.31</v>
      </c>
      <c r="G3200" s="4">
        <v>225.36</v>
      </c>
      <c r="H3200">
        <v>1.2</v>
      </c>
      <c r="I3200" s="4">
        <v>270.43</v>
      </c>
      <c r="J3200">
        <v>4.4000000000000004</v>
      </c>
      <c r="K3200" t="s">
        <v>18</v>
      </c>
      <c r="L3200" t="s">
        <v>16</v>
      </c>
      <c r="O3200"/>
    </row>
    <row r="3201" spans="1:15" x14ac:dyDescent="0.3">
      <c r="A3201" t="s">
        <v>3225</v>
      </c>
      <c r="B3201" s="1">
        <v>45775</v>
      </c>
      <c r="C3201" t="s">
        <v>14</v>
      </c>
      <c r="D3201" t="s">
        <v>21</v>
      </c>
      <c r="E3201" s="2">
        <v>20.73</v>
      </c>
      <c r="F3201" s="3">
        <v>67.22</v>
      </c>
      <c r="G3201" s="4">
        <v>352.89</v>
      </c>
      <c r="H3201">
        <v>1</v>
      </c>
      <c r="I3201" s="4">
        <v>352.89</v>
      </c>
      <c r="J3201">
        <v>4.5</v>
      </c>
      <c r="K3201" t="s">
        <v>33</v>
      </c>
      <c r="L3201" t="s">
        <v>16</v>
      </c>
      <c r="O3201"/>
    </row>
    <row r="3202" spans="1:15" x14ac:dyDescent="0.3">
      <c r="A3202" t="s">
        <v>3226</v>
      </c>
      <c r="B3202" s="1">
        <v>45929</v>
      </c>
      <c r="C3202" t="s">
        <v>14</v>
      </c>
      <c r="D3202" t="s">
        <v>25</v>
      </c>
      <c r="E3202" s="2">
        <v>13.27</v>
      </c>
      <c r="F3202" s="3">
        <v>42.95</v>
      </c>
      <c r="G3202" s="4">
        <v>178.03</v>
      </c>
      <c r="H3202">
        <v>1.2</v>
      </c>
      <c r="I3202" s="4">
        <v>213.64</v>
      </c>
      <c r="J3202">
        <v>3.3</v>
      </c>
      <c r="K3202" t="s">
        <v>30</v>
      </c>
      <c r="L3202" t="s">
        <v>26</v>
      </c>
      <c r="O3202"/>
    </row>
    <row r="3203" spans="1:15" x14ac:dyDescent="0.3">
      <c r="A3203" t="s">
        <v>3227</v>
      </c>
      <c r="B3203" s="1">
        <v>45981</v>
      </c>
      <c r="C3203" t="s">
        <v>25</v>
      </c>
      <c r="D3203" t="s">
        <v>13</v>
      </c>
      <c r="E3203" s="2">
        <v>19.16</v>
      </c>
      <c r="F3203" s="3">
        <v>41.54</v>
      </c>
      <c r="G3203" s="4">
        <v>361.16</v>
      </c>
      <c r="H3203">
        <v>1</v>
      </c>
      <c r="I3203" s="4">
        <v>361.16</v>
      </c>
      <c r="J3203">
        <v>3.8</v>
      </c>
      <c r="K3203" t="s">
        <v>36</v>
      </c>
      <c r="L3203" t="s">
        <v>28</v>
      </c>
      <c r="O3203"/>
    </row>
    <row r="3204" spans="1:15" x14ac:dyDescent="0.3">
      <c r="A3204" t="s">
        <v>3228</v>
      </c>
      <c r="B3204" s="1">
        <v>45974</v>
      </c>
      <c r="C3204" t="s">
        <v>21</v>
      </c>
      <c r="D3204" t="s">
        <v>25</v>
      </c>
      <c r="E3204" s="2">
        <v>9.6199999999999992</v>
      </c>
      <c r="F3204" s="3">
        <v>30.35</v>
      </c>
      <c r="G3204" s="4">
        <v>148.6</v>
      </c>
      <c r="H3204">
        <v>2</v>
      </c>
      <c r="I3204" s="4">
        <v>297.2</v>
      </c>
      <c r="J3204">
        <v>4.3</v>
      </c>
      <c r="K3204" t="s">
        <v>18</v>
      </c>
      <c r="L3204" t="s">
        <v>26</v>
      </c>
      <c r="O3204"/>
    </row>
    <row r="3205" spans="1:15" x14ac:dyDescent="0.3">
      <c r="A3205" t="s">
        <v>3229</v>
      </c>
      <c r="B3205" s="1">
        <v>45899</v>
      </c>
      <c r="C3205" t="s">
        <v>13</v>
      </c>
      <c r="D3205" t="s">
        <v>25</v>
      </c>
      <c r="E3205" s="2">
        <v>10.18</v>
      </c>
      <c r="F3205" s="3">
        <v>36.28</v>
      </c>
      <c r="G3205" s="4">
        <v>119.65</v>
      </c>
      <c r="H3205">
        <v>2</v>
      </c>
      <c r="I3205" s="4">
        <v>239.3</v>
      </c>
      <c r="J3205">
        <v>3.4</v>
      </c>
      <c r="K3205" t="s">
        <v>36</v>
      </c>
      <c r="L3205" t="s">
        <v>16</v>
      </c>
      <c r="O3205"/>
    </row>
    <row r="3206" spans="1:15" x14ac:dyDescent="0.3">
      <c r="A3206" t="s">
        <v>3230</v>
      </c>
      <c r="B3206" s="1">
        <v>45809</v>
      </c>
      <c r="C3206" t="s">
        <v>25</v>
      </c>
      <c r="D3206" t="s">
        <v>21</v>
      </c>
      <c r="E3206" s="2">
        <v>14.97</v>
      </c>
      <c r="F3206" s="3">
        <v>49.91</v>
      </c>
      <c r="G3206" s="4">
        <v>161.65</v>
      </c>
      <c r="H3206">
        <v>1.2</v>
      </c>
      <c r="I3206" s="4">
        <v>193.98</v>
      </c>
      <c r="J3206">
        <v>3.4</v>
      </c>
      <c r="K3206" t="s">
        <v>30</v>
      </c>
      <c r="L3206" t="s">
        <v>16</v>
      </c>
      <c r="O3206"/>
    </row>
    <row r="3207" spans="1:15" x14ac:dyDescent="0.3">
      <c r="A3207" t="s">
        <v>3231</v>
      </c>
      <c r="B3207" s="1">
        <v>45757</v>
      </c>
      <c r="C3207" t="s">
        <v>13</v>
      </c>
      <c r="D3207" t="s">
        <v>22</v>
      </c>
      <c r="E3207" s="2">
        <v>5.31</v>
      </c>
      <c r="F3207" s="3">
        <v>16.75</v>
      </c>
      <c r="G3207" s="4">
        <v>92.36</v>
      </c>
      <c r="H3207">
        <v>1</v>
      </c>
      <c r="I3207" s="4">
        <v>92.36</v>
      </c>
      <c r="J3207">
        <v>4.4000000000000004</v>
      </c>
      <c r="K3207" t="s">
        <v>15</v>
      </c>
      <c r="L3207" t="s">
        <v>19</v>
      </c>
      <c r="O3207"/>
    </row>
    <row r="3208" spans="1:15" x14ac:dyDescent="0.3">
      <c r="A3208" t="s">
        <v>3232</v>
      </c>
      <c r="B3208" s="1">
        <v>45883</v>
      </c>
      <c r="C3208" t="s">
        <v>13</v>
      </c>
      <c r="D3208" t="s">
        <v>13</v>
      </c>
      <c r="E3208" s="2">
        <v>15.57</v>
      </c>
      <c r="F3208" s="3">
        <v>37.229999999999997</v>
      </c>
      <c r="G3208" s="4">
        <v>269.36</v>
      </c>
      <c r="H3208">
        <v>1.5</v>
      </c>
      <c r="I3208" s="4">
        <v>404.04</v>
      </c>
      <c r="J3208">
        <v>4</v>
      </c>
      <c r="K3208" t="s">
        <v>36</v>
      </c>
      <c r="L3208" t="s">
        <v>16</v>
      </c>
      <c r="O3208"/>
    </row>
    <row r="3209" spans="1:15" x14ac:dyDescent="0.3">
      <c r="A3209" t="s">
        <v>3233</v>
      </c>
      <c r="B3209" s="1">
        <v>46012</v>
      </c>
      <c r="C3209" t="s">
        <v>25</v>
      </c>
      <c r="D3209" t="s">
        <v>13</v>
      </c>
      <c r="E3209" s="2">
        <v>27.88</v>
      </c>
      <c r="F3209" s="3">
        <v>81.150000000000006</v>
      </c>
      <c r="G3209" s="4">
        <v>352.93</v>
      </c>
      <c r="H3209">
        <v>1.5</v>
      </c>
      <c r="I3209" s="4">
        <v>529.4</v>
      </c>
      <c r="J3209">
        <v>3.6</v>
      </c>
      <c r="K3209" t="s">
        <v>36</v>
      </c>
      <c r="L3209" t="s">
        <v>16</v>
      </c>
      <c r="O3209"/>
    </row>
    <row r="3210" spans="1:15" x14ac:dyDescent="0.3">
      <c r="A3210" t="s">
        <v>3234</v>
      </c>
      <c r="B3210" s="1">
        <v>45732</v>
      </c>
      <c r="C3210" t="s">
        <v>25</v>
      </c>
      <c r="D3210" t="s">
        <v>13</v>
      </c>
      <c r="E3210" s="2">
        <v>10.11</v>
      </c>
      <c r="F3210" s="3">
        <v>27.79</v>
      </c>
      <c r="G3210" s="4">
        <v>163.85</v>
      </c>
      <c r="H3210">
        <v>1</v>
      </c>
      <c r="I3210" s="4">
        <v>163.85</v>
      </c>
      <c r="J3210">
        <v>4.8</v>
      </c>
      <c r="K3210" t="s">
        <v>15</v>
      </c>
      <c r="L3210" t="s">
        <v>28</v>
      </c>
      <c r="O3210"/>
    </row>
    <row r="3211" spans="1:15" x14ac:dyDescent="0.3">
      <c r="A3211" t="s">
        <v>3235</v>
      </c>
      <c r="B3211" s="1">
        <v>45750</v>
      </c>
      <c r="C3211" t="s">
        <v>14</v>
      </c>
      <c r="D3211" t="s">
        <v>25</v>
      </c>
      <c r="E3211" s="2">
        <v>24.62</v>
      </c>
      <c r="F3211" s="3">
        <v>50.82</v>
      </c>
      <c r="G3211" s="4">
        <v>257.95</v>
      </c>
      <c r="H3211">
        <v>1.2</v>
      </c>
      <c r="I3211" s="4">
        <v>309.54000000000002</v>
      </c>
      <c r="J3211">
        <v>4</v>
      </c>
      <c r="K3211" t="s">
        <v>18</v>
      </c>
      <c r="L3211" t="s">
        <v>28</v>
      </c>
      <c r="O3211"/>
    </row>
    <row r="3212" spans="1:15" x14ac:dyDescent="0.3">
      <c r="A3212" t="s">
        <v>3236</v>
      </c>
      <c r="B3212" s="1">
        <v>45909</v>
      </c>
      <c r="C3212" t="s">
        <v>25</v>
      </c>
      <c r="D3212" t="s">
        <v>22</v>
      </c>
      <c r="E3212" s="2">
        <v>21.21</v>
      </c>
      <c r="F3212" s="3">
        <v>80.62</v>
      </c>
      <c r="G3212" s="4">
        <v>280.02999999999997</v>
      </c>
      <c r="H3212">
        <v>1.2</v>
      </c>
      <c r="I3212" s="4">
        <v>336.04</v>
      </c>
      <c r="J3212">
        <v>4.7</v>
      </c>
      <c r="K3212" t="s">
        <v>18</v>
      </c>
      <c r="L3212" t="s">
        <v>19</v>
      </c>
      <c r="O3212"/>
    </row>
    <row r="3213" spans="1:15" x14ac:dyDescent="0.3">
      <c r="A3213" t="s">
        <v>3237</v>
      </c>
      <c r="B3213" s="1">
        <v>45790</v>
      </c>
      <c r="C3213" t="s">
        <v>13</v>
      </c>
      <c r="D3213" t="s">
        <v>13</v>
      </c>
      <c r="E3213" s="2">
        <v>6.32</v>
      </c>
      <c r="F3213" s="3">
        <v>22.47</v>
      </c>
      <c r="G3213" s="4">
        <v>75.88</v>
      </c>
      <c r="H3213">
        <v>1.5</v>
      </c>
      <c r="I3213" s="4">
        <v>113.82</v>
      </c>
      <c r="J3213">
        <v>4.0999999999999996</v>
      </c>
      <c r="K3213" t="s">
        <v>33</v>
      </c>
      <c r="L3213" t="s">
        <v>26</v>
      </c>
      <c r="O3213"/>
    </row>
    <row r="3214" spans="1:15" x14ac:dyDescent="0.3">
      <c r="A3214" t="s">
        <v>3238</v>
      </c>
      <c r="B3214" s="1">
        <v>45915</v>
      </c>
      <c r="C3214" t="s">
        <v>14</v>
      </c>
      <c r="D3214" t="s">
        <v>14</v>
      </c>
      <c r="E3214" s="2">
        <v>29.86</v>
      </c>
      <c r="F3214" s="3">
        <v>71.510000000000005</v>
      </c>
      <c r="G3214" s="4">
        <v>326.36</v>
      </c>
      <c r="H3214">
        <v>1.2</v>
      </c>
      <c r="I3214" s="4">
        <v>391.63</v>
      </c>
      <c r="J3214">
        <v>3.4</v>
      </c>
      <c r="K3214" t="s">
        <v>15</v>
      </c>
      <c r="L3214" t="s">
        <v>16</v>
      </c>
      <c r="O3214"/>
    </row>
    <row r="3215" spans="1:15" x14ac:dyDescent="0.3">
      <c r="A3215" t="s">
        <v>3239</v>
      </c>
      <c r="B3215" s="1">
        <v>45860</v>
      </c>
      <c r="C3215" t="s">
        <v>13</v>
      </c>
      <c r="D3215" t="s">
        <v>21</v>
      </c>
      <c r="E3215" s="2">
        <v>13.7</v>
      </c>
      <c r="F3215" s="3">
        <v>27.49</v>
      </c>
      <c r="G3215" s="4">
        <v>256.83999999999997</v>
      </c>
      <c r="H3215">
        <v>1.5</v>
      </c>
      <c r="I3215" s="4">
        <v>385.26</v>
      </c>
      <c r="J3215">
        <v>3.4</v>
      </c>
      <c r="K3215" t="s">
        <v>33</v>
      </c>
      <c r="L3215" t="s">
        <v>28</v>
      </c>
      <c r="O3215"/>
    </row>
    <row r="3216" spans="1:15" x14ac:dyDescent="0.3">
      <c r="A3216" t="s">
        <v>3240</v>
      </c>
      <c r="B3216" s="1">
        <v>45887</v>
      </c>
      <c r="C3216" t="s">
        <v>22</v>
      </c>
      <c r="D3216" t="s">
        <v>21</v>
      </c>
      <c r="E3216" s="2">
        <v>8.1999999999999993</v>
      </c>
      <c r="F3216" s="3">
        <v>22.51</v>
      </c>
      <c r="G3216" s="4">
        <v>143.08000000000001</v>
      </c>
      <c r="H3216">
        <v>1.5</v>
      </c>
      <c r="I3216" s="4">
        <v>214.62</v>
      </c>
      <c r="J3216">
        <v>4.4000000000000004</v>
      </c>
      <c r="K3216" t="s">
        <v>36</v>
      </c>
      <c r="L3216" t="s">
        <v>26</v>
      </c>
      <c r="O3216"/>
    </row>
    <row r="3217" spans="1:15" x14ac:dyDescent="0.3">
      <c r="A3217" t="s">
        <v>3241</v>
      </c>
      <c r="B3217" s="1">
        <v>45936</v>
      </c>
      <c r="C3217" t="s">
        <v>21</v>
      </c>
      <c r="D3217" t="s">
        <v>13</v>
      </c>
      <c r="E3217" s="2">
        <v>8.0399999999999991</v>
      </c>
      <c r="F3217" s="3">
        <v>31.72</v>
      </c>
      <c r="G3217" s="4">
        <v>92.54</v>
      </c>
      <c r="H3217">
        <v>1.5</v>
      </c>
      <c r="I3217" s="4">
        <v>138.81</v>
      </c>
      <c r="J3217">
        <v>4</v>
      </c>
      <c r="K3217" t="s">
        <v>36</v>
      </c>
      <c r="L3217" t="s">
        <v>19</v>
      </c>
      <c r="O3217"/>
    </row>
    <row r="3218" spans="1:15" x14ac:dyDescent="0.3">
      <c r="A3218" t="s">
        <v>3242</v>
      </c>
      <c r="B3218" s="1">
        <v>45889</v>
      </c>
      <c r="C3218" t="s">
        <v>13</v>
      </c>
      <c r="D3218" t="s">
        <v>13</v>
      </c>
      <c r="E3218" s="2">
        <v>20.170000000000002</v>
      </c>
      <c r="F3218" s="3">
        <v>58.06</v>
      </c>
      <c r="G3218" s="4">
        <v>273.08</v>
      </c>
      <c r="H3218">
        <v>1</v>
      </c>
      <c r="I3218" s="4">
        <v>273.08</v>
      </c>
      <c r="J3218">
        <v>3.4</v>
      </c>
      <c r="K3218" t="s">
        <v>36</v>
      </c>
      <c r="L3218" t="s">
        <v>26</v>
      </c>
      <c r="O3218"/>
    </row>
    <row r="3219" spans="1:15" x14ac:dyDescent="0.3">
      <c r="A3219" t="s">
        <v>3243</v>
      </c>
      <c r="B3219" s="1">
        <v>45734</v>
      </c>
      <c r="C3219" t="s">
        <v>21</v>
      </c>
      <c r="D3219" t="s">
        <v>14</v>
      </c>
      <c r="E3219" s="2">
        <v>7.98</v>
      </c>
      <c r="F3219" s="3">
        <v>28.08</v>
      </c>
      <c r="G3219" s="4">
        <v>124.83</v>
      </c>
      <c r="H3219">
        <v>1.2</v>
      </c>
      <c r="I3219" s="4">
        <v>149.80000000000001</v>
      </c>
      <c r="J3219">
        <v>3.4</v>
      </c>
      <c r="K3219" t="s">
        <v>18</v>
      </c>
      <c r="L3219" t="s">
        <v>16</v>
      </c>
      <c r="O3219"/>
    </row>
    <row r="3220" spans="1:15" x14ac:dyDescent="0.3">
      <c r="A3220" t="s">
        <v>3244</v>
      </c>
      <c r="B3220" s="1">
        <v>45764</v>
      </c>
      <c r="C3220" t="s">
        <v>21</v>
      </c>
      <c r="D3220" t="s">
        <v>22</v>
      </c>
      <c r="E3220" s="2">
        <v>19.809999999999999</v>
      </c>
      <c r="F3220" s="3">
        <v>68.36</v>
      </c>
      <c r="G3220" s="4">
        <v>306.89999999999998</v>
      </c>
      <c r="H3220">
        <v>1.5</v>
      </c>
      <c r="I3220" s="4">
        <v>460.35</v>
      </c>
      <c r="J3220">
        <v>3.3</v>
      </c>
      <c r="K3220" t="s">
        <v>33</v>
      </c>
      <c r="L3220" t="s">
        <v>28</v>
      </c>
      <c r="O3220"/>
    </row>
    <row r="3221" spans="1:15" x14ac:dyDescent="0.3">
      <c r="A3221" t="s">
        <v>3245</v>
      </c>
      <c r="B3221" s="1">
        <v>45996</v>
      </c>
      <c r="C3221" t="s">
        <v>25</v>
      </c>
      <c r="D3221" t="s">
        <v>14</v>
      </c>
      <c r="E3221" s="2">
        <v>27.34</v>
      </c>
      <c r="F3221" s="3">
        <v>77.459999999999994</v>
      </c>
      <c r="G3221" s="4">
        <v>359.36</v>
      </c>
      <c r="H3221">
        <v>1.5</v>
      </c>
      <c r="I3221" s="4">
        <v>539.04</v>
      </c>
      <c r="J3221">
        <v>3.7</v>
      </c>
      <c r="K3221" t="s">
        <v>15</v>
      </c>
      <c r="L3221" t="s">
        <v>19</v>
      </c>
      <c r="O3221"/>
    </row>
    <row r="3222" spans="1:15" x14ac:dyDescent="0.3">
      <c r="A3222" t="s">
        <v>3246</v>
      </c>
      <c r="B3222" s="1">
        <v>45802</v>
      </c>
      <c r="C3222" t="s">
        <v>25</v>
      </c>
      <c r="D3222" t="s">
        <v>14</v>
      </c>
      <c r="E3222" s="2">
        <v>3.13</v>
      </c>
      <c r="F3222" s="3">
        <v>9.3800000000000008</v>
      </c>
      <c r="G3222" s="4">
        <v>46.77</v>
      </c>
      <c r="H3222">
        <v>1.2</v>
      </c>
      <c r="I3222" s="4">
        <v>56.12</v>
      </c>
      <c r="J3222">
        <v>4.2</v>
      </c>
      <c r="K3222" t="s">
        <v>18</v>
      </c>
      <c r="L3222" t="s">
        <v>19</v>
      </c>
      <c r="O3222"/>
    </row>
    <row r="3223" spans="1:15" x14ac:dyDescent="0.3">
      <c r="A3223" t="s">
        <v>3247</v>
      </c>
      <c r="B3223" s="1">
        <v>45750</v>
      </c>
      <c r="C3223" t="s">
        <v>25</v>
      </c>
      <c r="D3223" t="s">
        <v>14</v>
      </c>
      <c r="E3223" s="2">
        <v>18.78</v>
      </c>
      <c r="F3223" s="3">
        <v>70.55</v>
      </c>
      <c r="G3223" s="4">
        <v>367.24</v>
      </c>
      <c r="H3223">
        <v>1.5</v>
      </c>
      <c r="I3223" s="4">
        <v>550.86</v>
      </c>
      <c r="J3223">
        <v>4.4000000000000004</v>
      </c>
      <c r="K3223" t="s">
        <v>30</v>
      </c>
      <c r="L3223" t="s">
        <v>26</v>
      </c>
      <c r="O3223"/>
    </row>
    <row r="3224" spans="1:15" x14ac:dyDescent="0.3">
      <c r="A3224" t="s">
        <v>3248</v>
      </c>
      <c r="B3224" s="1">
        <v>45705</v>
      </c>
      <c r="C3224" t="s">
        <v>14</v>
      </c>
      <c r="D3224" t="s">
        <v>22</v>
      </c>
      <c r="E3224" s="2">
        <v>29.11</v>
      </c>
      <c r="F3224" s="3">
        <v>99.32</v>
      </c>
      <c r="G3224" s="4">
        <v>388.9</v>
      </c>
      <c r="H3224">
        <v>1</v>
      </c>
      <c r="I3224" s="4">
        <v>388.9</v>
      </c>
      <c r="J3224">
        <v>3.6</v>
      </c>
      <c r="K3224" t="s">
        <v>18</v>
      </c>
      <c r="L3224" t="s">
        <v>26</v>
      </c>
      <c r="O3224"/>
    </row>
    <row r="3225" spans="1:15" x14ac:dyDescent="0.3">
      <c r="A3225" t="s">
        <v>3249</v>
      </c>
      <c r="B3225" s="1">
        <v>45913</v>
      </c>
      <c r="C3225" t="s">
        <v>13</v>
      </c>
      <c r="D3225" t="s">
        <v>22</v>
      </c>
      <c r="E3225" s="2">
        <v>5.86</v>
      </c>
      <c r="F3225" s="3">
        <v>12.25</v>
      </c>
      <c r="G3225" s="4">
        <v>111.47</v>
      </c>
      <c r="H3225">
        <v>1.2</v>
      </c>
      <c r="I3225" s="4">
        <v>133.76</v>
      </c>
      <c r="J3225">
        <v>4.2</v>
      </c>
      <c r="K3225" t="s">
        <v>18</v>
      </c>
      <c r="L3225" t="s">
        <v>26</v>
      </c>
      <c r="O3225"/>
    </row>
    <row r="3226" spans="1:15" x14ac:dyDescent="0.3">
      <c r="A3226" t="s">
        <v>3250</v>
      </c>
      <c r="B3226" s="1">
        <v>45722</v>
      </c>
      <c r="C3226" t="s">
        <v>14</v>
      </c>
      <c r="D3226" t="s">
        <v>25</v>
      </c>
      <c r="E3226" s="2">
        <v>25.02</v>
      </c>
      <c r="F3226" s="3">
        <v>89.65</v>
      </c>
      <c r="G3226" s="4">
        <v>471.03</v>
      </c>
      <c r="H3226">
        <v>1</v>
      </c>
      <c r="I3226" s="4">
        <v>471.03</v>
      </c>
      <c r="J3226">
        <v>4.7</v>
      </c>
      <c r="K3226" t="s">
        <v>15</v>
      </c>
      <c r="L3226" t="s">
        <v>26</v>
      </c>
      <c r="O3226"/>
    </row>
    <row r="3227" spans="1:15" x14ac:dyDescent="0.3">
      <c r="A3227" t="s">
        <v>3251</v>
      </c>
      <c r="B3227" s="1">
        <v>45897</v>
      </c>
      <c r="C3227" t="s">
        <v>13</v>
      </c>
      <c r="D3227" t="s">
        <v>13</v>
      </c>
      <c r="E3227" s="2">
        <v>28.56</v>
      </c>
      <c r="F3227" s="3">
        <v>98.43</v>
      </c>
      <c r="G3227" s="4">
        <v>305.77999999999997</v>
      </c>
      <c r="H3227">
        <v>1.5</v>
      </c>
      <c r="I3227" s="4">
        <v>458.67</v>
      </c>
      <c r="J3227">
        <v>4</v>
      </c>
      <c r="K3227" t="s">
        <v>18</v>
      </c>
      <c r="L3227" t="s">
        <v>26</v>
      </c>
      <c r="O3227"/>
    </row>
    <row r="3228" spans="1:15" x14ac:dyDescent="0.3">
      <c r="A3228" t="s">
        <v>3252</v>
      </c>
      <c r="B3228" s="1">
        <v>45715</v>
      </c>
      <c r="C3228" t="s">
        <v>13</v>
      </c>
      <c r="D3228" t="s">
        <v>21</v>
      </c>
      <c r="E3228" s="2">
        <v>27.27</v>
      </c>
      <c r="F3228" s="3">
        <v>74.88</v>
      </c>
      <c r="G3228" s="4">
        <v>432.21</v>
      </c>
      <c r="H3228">
        <v>1</v>
      </c>
      <c r="I3228" s="4">
        <v>432.21</v>
      </c>
      <c r="J3228">
        <v>3.8</v>
      </c>
      <c r="K3228" t="s">
        <v>33</v>
      </c>
      <c r="L3228" t="s">
        <v>28</v>
      </c>
      <c r="O3228"/>
    </row>
    <row r="3229" spans="1:15" x14ac:dyDescent="0.3">
      <c r="A3229" t="s">
        <v>3253</v>
      </c>
      <c r="B3229" s="1">
        <v>45711</v>
      </c>
      <c r="C3229" t="s">
        <v>21</v>
      </c>
      <c r="D3229" t="s">
        <v>25</v>
      </c>
      <c r="E3229" s="2">
        <v>2.81</v>
      </c>
      <c r="F3229" s="3">
        <v>8.5500000000000007</v>
      </c>
      <c r="G3229" s="4">
        <v>51.07</v>
      </c>
      <c r="H3229">
        <v>1.2</v>
      </c>
      <c r="I3229" s="4">
        <v>61.28</v>
      </c>
      <c r="J3229">
        <v>3.2</v>
      </c>
      <c r="K3229" t="s">
        <v>36</v>
      </c>
      <c r="L3229" t="s">
        <v>19</v>
      </c>
      <c r="O3229"/>
    </row>
    <row r="3230" spans="1:15" x14ac:dyDescent="0.3">
      <c r="A3230" t="s">
        <v>3254</v>
      </c>
      <c r="B3230" s="1">
        <v>45669</v>
      </c>
      <c r="C3230" t="s">
        <v>21</v>
      </c>
      <c r="D3230" t="s">
        <v>22</v>
      </c>
      <c r="E3230" s="2">
        <v>6.92</v>
      </c>
      <c r="F3230" s="3">
        <v>15.51</v>
      </c>
      <c r="G3230" s="4">
        <v>104.56</v>
      </c>
      <c r="H3230">
        <v>1</v>
      </c>
      <c r="I3230" s="4">
        <v>104.56</v>
      </c>
      <c r="J3230">
        <v>3.2</v>
      </c>
      <c r="K3230" t="s">
        <v>15</v>
      </c>
      <c r="L3230" t="s">
        <v>26</v>
      </c>
      <c r="O3230"/>
    </row>
    <row r="3231" spans="1:15" x14ac:dyDescent="0.3">
      <c r="A3231" t="s">
        <v>3255</v>
      </c>
      <c r="B3231" s="1">
        <v>45685</v>
      </c>
      <c r="C3231" t="s">
        <v>13</v>
      </c>
      <c r="D3231" t="s">
        <v>14</v>
      </c>
      <c r="E3231" s="2">
        <v>1.91</v>
      </c>
      <c r="F3231" s="3">
        <v>4.2300000000000004</v>
      </c>
      <c r="G3231" s="4">
        <v>29.6</v>
      </c>
      <c r="H3231">
        <v>1.5</v>
      </c>
      <c r="I3231" s="4">
        <v>44.4</v>
      </c>
      <c r="J3231">
        <v>3.6</v>
      </c>
      <c r="K3231" t="s">
        <v>18</v>
      </c>
      <c r="L3231" t="s">
        <v>19</v>
      </c>
      <c r="O3231"/>
    </row>
    <row r="3232" spans="1:15" x14ac:dyDescent="0.3">
      <c r="A3232" t="s">
        <v>3256</v>
      </c>
      <c r="B3232" s="1">
        <v>45719</v>
      </c>
      <c r="C3232" t="s">
        <v>22</v>
      </c>
      <c r="D3232" t="s">
        <v>22</v>
      </c>
      <c r="E3232" s="2">
        <v>23.43</v>
      </c>
      <c r="F3232" s="3">
        <v>87.68</v>
      </c>
      <c r="G3232" s="4">
        <v>284.45</v>
      </c>
      <c r="H3232">
        <v>1.5</v>
      </c>
      <c r="I3232" s="4">
        <v>426.67</v>
      </c>
      <c r="J3232">
        <v>4.2</v>
      </c>
      <c r="K3232" t="s">
        <v>15</v>
      </c>
      <c r="L3232" t="s">
        <v>16</v>
      </c>
      <c r="O3232"/>
    </row>
    <row r="3233" spans="1:15" x14ac:dyDescent="0.3">
      <c r="A3233" t="s">
        <v>3257</v>
      </c>
      <c r="B3233" s="1">
        <v>46014</v>
      </c>
      <c r="C3233" t="s">
        <v>25</v>
      </c>
      <c r="D3233" t="s">
        <v>25</v>
      </c>
      <c r="E3233" s="2">
        <v>6.87</v>
      </c>
      <c r="F3233" s="3">
        <v>18</v>
      </c>
      <c r="G3233" s="4">
        <v>119.59</v>
      </c>
      <c r="H3233">
        <v>1</v>
      </c>
      <c r="I3233" s="4">
        <v>119.59</v>
      </c>
      <c r="J3233">
        <v>4.7</v>
      </c>
      <c r="K3233" t="s">
        <v>18</v>
      </c>
      <c r="L3233" t="s">
        <v>16</v>
      </c>
      <c r="O3233"/>
    </row>
    <row r="3234" spans="1:15" x14ac:dyDescent="0.3">
      <c r="A3234" t="s">
        <v>3258</v>
      </c>
      <c r="B3234" s="1">
        <v>45726</v>
      </c>
      <c r="C3234" t="s">
        <v>22</v>
      </c>
      <c r="D3234" t="s">
        <v>22</v>
      </c>
      <c r="E3234" s="2">
        <v>3.05</v>
      </c>
      <c r="F3234" s="3">
        <v>8.4</v>
      </c>
      <c r="G3234" s="4">
        <v>32.97</v>
      </c>
      <c r="H3234">
        <v>1</v>
      </c>
      <c r="I3234" s="4">
        <v>32.97</v>
      </c>
      <c r="J3234">
        <v>4.5999999999999996</v>
      </c>
      <c r="K3234" t="s">
        <v>33</v>
      </c>
      <c r="L3234" t="s">
        <v>26</v>
      </c>
      <c r="O3234"/>
    </row>
    <row r="3235" spans="1:15" x14ac:dyDescent="0.3">
      <c r="A3235" t="s">
        <v>3259</v>
      </c>
      <c r="B3235" s="1">
        <v>45866</v>
      </c>
      <c r="C3235" t="s">
        <v>25</v>
      </c>
      <c r="D3235" t="s">
        <v>13</v>
      </c>
      <c r="E3235" s="2">
        <v>11.9</v>
      </c>
      <c r="F3235" s="3">
        <v>45.15</v>
      </c>
      <c r="G3235" s="4">
        <v>121.04</v>
      </c>
      <c r="H3235">
        <v>2</v>
      </c>
      <c r="I3235" s="4">
        <v>242.08</v>
      </c>
      <c r="J3235">
        <v>4.4000000000000004</v>
      </c>
      <c r="K3235" t="s">
        <v>15</v>
      </c>
      <c r="L3235" t="s">
        <v>19</v>
      </c>
      <c r="O3235"/>
    </row>
    <row r="3236" spans="1:15" x14ac:dyDescent="0.3">
      <c r="A3236" t="s">
        <v>3260</v>
      </c>
      <c r="B3236" s="1">
        <v>46002</v>
      </c>
      <c r="C3236" t="s">
        <v>21</v>
      </c>
      <c r="D3236" t="s">
        <v>14</v>
      </c>
      <c r="E3236" s="2">
        <v>21.48</v>
      </c>
      <c r="F3236" s="3">
        <v>85.66</v>
      </c>
      <c r="G3236" s="4">
        <v>362.48</v>
      </c>
      <c r="H3236">
        <v>1</v>
      </c>
      <c r="I3236" s="4">
        <v>362.48</v>
      </c>
      <c r="J3236">
        <v>4.4000000000000004</v>
      </c>
      <c r="K3236" t="s">
        <v>15</v>
      </c>
      <c r="L3236" t="s">
        <v>26</v>
      </c>
      <c r="O3236"/>
    </row>
    <row r="3237" spans="1:15" x14ac:dyDescent="0.3">
      <c r="A3237" t="s">
        <v>3261</v>
      </c>
      <c r="B3237" s="1">
        <v>45983</v>
      </c>
      <c r="C3237" t="s">
        <v>21</v>
      </c>
      <c r="D3237" t="s">
        <v>21</v>
      </c>
      <c r="E3237" s="2">
        <v>13.94</v>
      </c>
      <c r="F3237" s="3">
        <v>36.58</v>
      </c>
      <c r="G3237" s="4">
        <v>176.84</v>
      </c>
      <c r="H3237">
        <v>1.2</v>
      </c>
      <c r="I3237" s="4">
        <v>212.21</v>
      </c>
      <c r="J3237">
        <v>3.8</v>
      </c>
      <c r="K3237" t="s">
        <v>18</v>
      </c>
      <c r="L3237" t="s">
        <v>28</v>
      </c>
      <c r="O3237"/>
    </row>
    <row r="3238" spans="1:15" x14ac:dyDescent="0.3">
      <c r="A3238" t="s">
        <v>3262</v>
      </c>
      <c r="B3238" s="1">
        <v>45976</v>
      </c>
      <c r="C3238" t="s">
        <v>21</v>
      </c>
      <c r="D3238" t="s">
        <v>13</v>
      </c>
      <c r="E3238" s="2">
        <v>19.37</v>
      </c>
      <c r="F3238" s="3">
        <v>70.239999999999995</v>
      </c>
      <c r="G3238" s="4">
        <v>251.25</v>
      </c>
      <c r="H3238">
        <v>1.5</v>
      </c>
      <c r="I3238" s="4">
        <v>376.88</v>
      </c>
      <c r="J3238">
        <v>4.0999999999999996</v>
      </c>
      <c r="K3238" t="s">
        <v>33</v>
      </c>
      <c r="L3238" t="s">
        <v>19</v>
      </c>
      <c r="O3238"/>
    </row>
    <row r="3239" spans="1:15" x14ac:dyDescent="0.3">
      <c r="A3239" t="s">
        <v>3263</v>
      </c>
      <c r="B3239" s="1">
        <v>45808</v>
      </c>
      <c r="C3239" t="s">
        <v>25</v>
      </c>
      <c r="D3239" t="s">
        <v>25</v>
      </c>
      <c r="E3239" s="2">
        <v>8.7899999999999991</v>
      </c>
      <c r="F3239" s="3">
        <v>27.54</v>
      </c>
      <c r="G3239" s="4">
        <v>158.85</v>
      </c>
      <c r="H3239">
        <v>1.2</v>
      </c>
      <c r="I3239" s="4">
        <v>190.62</v>
      </c>
      <c r="J3239">
        <v>4</v>
      </c>
      <c r="K3239" t="s">
        <v>15</v>
      </c>
      <c r="L3239" t="s">
        <v>28</v>
      </c>
      <c r="O3239"/>
    </row>
    <row r="3240" spans="1:15" x14ac:dyDescent="0.3">
      <c r="A3240" t="s">
        <v>3264</v>
      </c>
      <c r="B3240" s="1">
        <v>45997</v>
      </c>
      <c r="C3240" t="s">
        <v>13</v>
      </c>
      <c r="D3240" t="s">
        <v>14</v>
      </c>
      <c r="E3240" s="2">
        <v>24.5</v>
      </c>
      <c r="F3240" s="3">
        <v>56.66</v>
      </c>
      <c r="G3240" s="4">
        <v>340.29</v>
      </c>
      <c r="H3240">
        <v>1</v>
      </c>
      <c r="I3240" s="4">
        <v>340.29</v>
      </c>
      <c r="J3240">
        <v>3.5</v>
      </c>
      <c r="K3240" t="s">
        <v>33</v>
      </c>
      <c r="L3240" t="s">
        <v>26</v>
      </c>
      <c r="O3240"/>
    </row>
    <row r="3241" spans="1:15" x14ac:dyDescent="0.3">
      <c r="A3241" t="s">
        <v>3265</v>
      </c>
      <c r="B3241" s="1">
        <v>45797</v>
      </c>
      <c r="C3241" t="s">
        <v>14</v>
      </c>
      <c r="D3241" t="s">
        <v>13</v>
      </c>
      <c r="E3241" s="2">
        <v>29.64</v>
      </c>
      <c r="F3241" s="3">
        <v>104.52</v>
      </c>
      <c r="G3241" s="4">
        <v>466.47</v>
      </c>
      <c r="H3241">
        <v>1</v>
      </c>
      <c r="I3241" s="4">
        <v>466.47</v>
      </c>
      <c r="J3241">
        <v>4.0999999999999996</v>
      </c>
      <c r="K3241" t="s">
        <v>30</v>
      </c>
      <c r="L3241" t="s">
        <v>16</v>
      </c>
      <c r="O3241"/>
    </row>
    <row r="3242" spans="1:15" x14ac:dyDescent="0.3">
      <c r="A3242" t="s">
        <v>3266</v>
      </c>
      <c r="B3242" s="1">
        <v>45973</v>
      </c>
      <c r="C3242" t="s">
        <v>14</v>
      </c>
      <c r="D3242" t="s">
        <v>13</v>
      </c>
      <c r="E3242" s="2">
        <v>29.21</v>
      </c>
      <c r="F3242" s="3">
        <v>91.15</v>
      </c>
      <c r="G3242" s="4">
        <v>366.28</v>
      </c>
      <c r="H3242">
        <v>2</v>
      </c>
      <c r="I3242" s="4">
        <v>732.56</v>
      </c>
      <c r="J3242">
        <v>3.7</v>
      </c>
      <c r="K3242" t="s">
        <v>33</v>
      </c>
      <c r="L3242" t="s">
        <v>16</v>
      </c>
      <c r="O3242"/>
    </row>
    <row r="3243" spans="1:15" x14ac:dyDescent="0.3">
      <c r="A3243" t="s">
        <v>3267</v>
      </c>
      <c r="B3243" s="1">
        <v>45704</v>
      </c>
      <c r="C3243" t="s">
        <v>13</v>
      </c>
      <c r="D3243" t="s">
        <v>13</v>
      </c>
      <c r="E3243" s="2">
        <v>16.16</v>
      </c>
      <c r="F3243" s="3">
        <v>32.57</v>
      </c>
      <c r="G3243" s="4">
        <v>295.74</v>
      </c>
      <c r="H3243">
        <v>2</v>
      </c>
      <c r="I3243" s="4">
        <v>591.48</v>
      </c>
      <c r="J3243">
        <v>4.2</v>
      </c>
      <c r="K3243" t="s">
        <v>15</v>
      </c>
      <c r="L3243" t="s">
        <v>26</v>
      </c>
      <c r="O3243"/>
    </row>
    <row r="3244" spans="1:15" x14ac:dyDescent="0.3">
      <c r="A3244" t="s">
        <v>3268</v>
      </c>
      <c r="B3244" s="1">
        <v>46011</v>
      </c>
      <c r="C3244" t="s">
        <v>21</v>
      </c>
      <c r="D3244" t="s">
        <v>14</v>
      </c>
      <c r="E3244" s="2">
        <v>11.5</v>
      </c>
      <c r="F3244" s="3">
        <v>44.51</v>
      </c>
      <c r="G3244" s="4">
        <v>214.2</v>
      </c>
      <c r="H3244">
        <v>1</v>
      </c>
      <c r="I3244" s="4">
        <v>214.2</v>
      </c>
      <c r="J3244">
        <v>3.7</v>
      </c>
      <c r="K3244" t="s">
        <v>36</v>
      </c>
      <c r="L3244" t="s">
        <v>28</v>
      </c>
      <c r="O3244"/>
    </row>
    <row r="3245" spans="1:15" x14ac:dyDescent="0.3">
      <c r="A3245" t="s">
        <v>3269</v>
      </c>
      <c r="B3245" s="1">
        <v>45830</v>
      </c>
      <c r="C3245" t="s">
        <v>22</v>
      </c>
      <c r="D3245" t="s">
        <v>14</v>
      </c>
      <c r="E3245" s="2">
        <v>11.32</v>
      </c>
      <c r="F3245" s="3">
        <v>38.090000000000003</v>
      </c>
      <c r="G3245" s="4">
        <v>222.6</v>
      </c>
      <c r="H3245">
        <v>1</v>
      </c>
      <c r="I3245" s="4">
        <v>222.6</v>
      </c>
      <c r="J3245">
        <v>4.8</v>
      </c>
      <c r="K3245" t="s">
        <v>15</v>
      </c>
      <c r="L3245" t="s">
        <v>16</v>
      </c>
      <c r="O3245"/>
    </row>
    <row r="3246" spans="1:15" x14ac:dyDescent="0.3">
      <c r="A3246" t="s">
        <v>3270</v>
      </c>
      <c r="B3246" s="1">
        <v>46006</v>
      </c>
      <c r="C3246" t="s">
        <v>14</v>
      </c>
      <c r="D3246" t="s">
        <v>13</v>
      </c>
      <c r="E3246" s="2">
        <v>27.03</v>
      </c>
      <c r="F3246" s="3">
        <v>56.11</v>
      </c>
      <c r="G3246" s="4">
        <v>527.83000000000004</v>
      </c>
      <c r="H3246">
        <v>2</v>
      </c>
      <c r="I3246" s="4">
        <v>1055.6600000000001</v>
      </c>
      <c r="J3246">
        <v>4.8</v>
      </c>
      <c r="K3246" t="s">
        <v>36</v>
      </c>
      <c r="L3246" t="s">
        <v>26</v>
      </c>
      <c r="O3246"/>
    </row>
    <row r="3247" spans="1:15" x14ac:dyDescent="0.3">
      <c r="A3247" t="s">
        <v>3271</v>
      </c>
      <c r="B3247" s="1">
        <v>45753</v>
      </c>
      <c r="C3247" t="s">
        <v>14</v>
      </c>
      <c r="D3247" t="s">
        <v>22</v>
      </c>
      <c r="E3247" s="2">
        <v>2.1800000000000002</v>
      </c>
      <c r="F3247" s="3">
        <v>6.49</v>
      </c>
      <c r="G3247" s="4">
        <v>31.62</v>
      </c>
      <c r="H3247">
        <v>1.5</v>
      </c>
      <c r="I3247" s="4">
        <v>47.43</v>
      </c>
      <c r="J3247">
        <v>4.5</v>
      </c>
      <c r="K3247" t="s">
        <v>15</v>
      </c>
      <c r="L3247" t="s">
        <v>19</v>
      </c>
      <c r="O3247"/>
    </row>
    <row r="3248" spans="1:15" x14ac:dyDescent="0.3">
      <c r="A3248" t="s">
        <v>3272</v>
      </c>
      <c r="B3248" s="1">
        <v>45796</v>
      </c>
      <c r="C3248" t="s">
        <v>14</v>
      </c>
      <c r="D3248" t="s">
        <v>21</v>
      </c>
      <c r="E3248" s="2">
        <v>24.85</v>
      </c>
      <c r="F3248" s="3">
        <v>82.58</v>
      </c>
      <c r="G3248" s="4">
        <v>288.97000000000003</v>
      </c>
      <c r="H3248">
        <v>1.5</v>
      </c>
      <c r="I3248" s="4">
        <v>433.46</v>
      </c>
      <c r="J3248">
        <v>3.9</v>
      </c>
      <c r="K3248" t="s">
        <v>18</v>
      </c>
      <c r="L3248" t="s">
        <v>26</v>
      </c>
      <c r="O3248"/>
    </row>
    <row r="3249" spans="1:15" x14ac:dyDescent="0.3">
      <c r="A3249" t="s">
        <v>3273</v>
      </c>
      <c r="B3249" s="1">
        <v>45994</v>
      </c>
      <c r="C3249" t="s">
        <v>13</v>
      </c>
      <c r="D3249" t="s">
        <v>25</v>
      </c>
      <c r="E3249" s="2">
        <v>13.33</v>
      </c>
      <c r="F3249" s="3">
        <v>51.31</v>
      </c>
      <c r="G3249" s="4">
        <v>155.56</v>
      </c>
      <c r="H3249">
        <v>1.5</v>
      </c>
      <c r="I3249" s="4">
        <v>233.34</v>
      </c>
      <c r="J3249">
        <v>3.5</v>
      </c>
      <c r="K3249" t="s">
        <v>36</v>
      </c>
      <c r="L3249" t="s">
        <v>26</v>
      </c>
      <c r="O3249"/>
    </row>
    <row r="3250" spans="1:15" x14ac:dyDescent="0.3">
      <c r="A3250" t="s">
        <v>3274</v>
      </c>
      <c r="B3250" s="1">
        <v>45788</v>
      </c>
      <c r="C3250" t="s">
        <v>25</v>
      </c>
      <c r="D3250" t="s">
        <v>22</v>
      </c>
      <c r="E3250" s="2">
        <v>10.92</v>
      </c>
      <c r="F3250" s="3">
        <v>25.43</v>
      </c>
      <c r="G3250" s="4">
        <v>140.22999999999999</v>
      </c>
      <c r="H3250">
        <v>1.2</v>
      </c>
      <c r="I3250" s="4">
        <v>168.28</v>
      </c>
      <c r="J3250">
        <v>3.1</v>
      </c>
      <c r="K3250" t="s">
        <v>18</v>
      </c>
      <c r="L3250" t="s">
        <v>19</v>
      </c>
      <c r="O3250"/>
    </row>
    <row r="3251" spans="1:15" x14ac:dyDescent="0.3">
      <c r="A3251" t="s">
        <v>3275</v>
      </c>
      <c r="B3251" s="1">
        <v>45755</v>
      </c>
      <c r="C3251" t="s">
        <v>13</v>
      </c>
      <c r="D3251" t="s">
        <v>25</v>
      </c>
      <c r="E3251" s="2">
        <v>11.88</v>
      </c>
      <c r="F3251" s="3">
        <v>32.520000000000003</v>
      </c>
      <c r="G3251" s="4">
        <v>141.91</v>
      </c>
      <c r="H3251">
        <v>1.2</v>
      </c>
      <c r="I3251" s="4">
        <v>170.29</v>
      </c>
      <c r="J3251">
        <v>4.8</v>
      </c>
      <c r="K3251" t="s">
        <v>30</v>
      </c>
      <c r="L3251" t="s">
        <v>19</v>
      </c>
      <c r="O3251"/>
    </row>
    <row r="3252" spans="1:15" x14ac:dyDescent="0.3">
      <c r="A3252" t="s">
        <v>3276</v>
      </c>
      <c r="B3252" s="1">
        <v>45684</v>
      </c>
      <c r="C3252" t="s">
        <v>14</v>
      </c>
      <c r="D3252" t="s">
        <v>22</v>
      </c>
      <c r="E3252" s="2">
        <v>5.04</v>
      </c>
      <c r="F3252" s="3">
        <v>19.89</v>
      </c>
      <c r="G3252" s="4">
        <v>72.739999999999995</v>
      </c>
      <c r="H3252">
        <v>1.5</v>
      </c>
      <c r="I3252" s="4">
        <v>109.11</v>
      </c>
      <c r="J3252">
        <v>4</v>
      </c>
      <c r="K3252" t="s">
        <v>15</v>
      </c>
      <c r="L3252" t="s">
        <v>28</v>
      </c>
      <c r="O3252"/>
    </row>
    <row r="3253" spans="1:15" x14ac:dyDescent="0.3">
      <c r="A3253" t="s">
        <v>3277</v>
      </c>
      <c r="B3253" s="1">
        <v>45904</v>
      </c>
      <c r="C3253" t="s">
        <v>21</v>
      </c>
      <c r="D3253" t="s">
        <v>13</v>
      </c>
      <c r="E3253" s="2">
        <v>26.24</v>
      </c>
      <c r="F3253" s="3">
        <v>101.78</v>
      </c>
      <c r="G3253" s="4">
        <v>283.08</v>
      </c>
      <c r="H3253">
        <v>1</v>
      </c>
      <c r="I3253" s="4">
        <v>283.08</v>
      </c>
      <c r="J3253">
        <v>4.3</v>
      </c>
      <c r="K3253" t="s">
        <v>15</v>
      </c>
      <c r="L3253" t="s">
        <v>19</v>
      </c>
      <c r="O3253"/>
    </row>
    <row r="3254" spans="1:15" x14ac:dyDescent="0.3">
      <c r="A3254" t="s">
        <v>3278</v>
      </c>
      <c r="B3254" s="1">
        <v>45907</v>
      </c>
      <c r="C3254" t="s">
        <v>13</v>
      </c>
      <c r="D3254" t="s">
        <v>22</v>
      </c>
      <c r="E3254" s="2">
        <v>3.41</v>
      </c>
      <c r="F3254" s="3">
        <v>11.21</v>
      </c>
      <c r="G3254" s="4">
        <v>67.25</v>
      </c>
      <c r="H3254">
        <v>1.5</v>
      </c>
      <c r="I3254" s="4">
        <v>100.88</v>
      </c>
      <c r="J3254">
        <v>3.5</v>
      </c>
      <c r="K3254" t="s">
        <v>36</v>
      </c>
      <c r="L3254" t="s">
        <v>26</v>
      </c>
      <c r="O3254"/>
    </row>
    <row r="3255" spans="1:15" x14ac:dyDescent="0.3">
      <c r="A3255" t="s">
        <v>3279</v>
      </c>
      <c r="B3255" s="1">
        <v>45947</v>
      </c>
      <c r="C3255" t="s">
        <v>14</v>
      </c>
      <c r="D3255" t="s">
        <v>22</v>
      </c>
      <c r="E3255" s="2">
        <v>5.72</v>
      </c>
      <c r="F3255" s="3">
        <v>13.75</v>
      </c>
      <c r="G3255" s="4">
        <v>108.09</v>
      </c>
      <c r="H3255">
        <v>1.5</v>
      </c>
      <c r="I3255" s="4">
        <v>162.13999999999999</v>
      </c>
      <c r="J3255">
        <v>4</v>
      </c>
      <c r="K3255" t="s">
        <v>36</v>
      </c>
      <c r="L3255" t="s">
        <v>16</v>
      </c>
      <c r="O3255"/>
    </row>
    <row r="3256" spans="1:15" x14ac:dyDescent="0.3">
      <c r="A3256" t="s">
        <v>3280</v>
      </c>
      <c r="B3256" s="1">
        <v>45912</v>
      </c>
      <c r="C3256" t="s">
        <v>25</v>
      </c>
      <c r="D3256" t="s">
        <v>13</v>
      </c>
      <c r="E3256" s="2">
        <v>17.940000000000001</v>
      </c>
      <c r="F3256" s="3">
        <v>51.97</v>
      </c>
      <c r="G3256" s="4">
        <v>219.48</v>
      </c>
      <c r="H3256">
        <v>1.2</v>
      </c>
      <c r="I3256" s="4">
        <v>263.38</v>
      </c>
      <c r="J3256">
        <v>4.4000000000000004</v>
      </c>
      <c r="K3256" t="s">
        <v>15</v>
      </c>
      <c r="L3256" t="s">
        <v>19</v>
      </c>
      <c r="O3256"/>
    </row>
    <row r="3257" spans="1:15" x14ac:dyDescent="0.3">
      <c r="A3257" t="s">
        <v>3281</v>
      </c>
      <c r="B3257" s="1">
        <v>45681</v>
      </c>
      <c r="C3257" t="s">
        <v>13</v>
      </c>
      <c r="D3257" t="s">
        <v>14</v>
      </c>
      <c r="E3257" s="2">
        <v>7.5</v>
      </c>
      <c r="F3257" s="3">
        <v>24.33</v>
      </c>
      <c r="G3257" s="4">
        <v>119.23</v>
      </c>
      <c r="H3257">
        <v>1.5</v>
      </c>
      <c r="I3257" s="4">
        <v>178.84</v>
      </c>
      <c r="J3257">
        <v>3.6</v>
      </c>
      <c r="K3257" t="s">
        <v>18</v>
      </c>
      <c r="L3257" t="s">
        <v>26</v>
      </c>
      <c r="O3257"/>
    </row>
    <row r="3258" spans="1:15" x14ac:dyDescent="0.3">
      <c r="A3258" t="s">
        <v>3282</v>
      </c>
      <c r="B3258" s="1">
        <v>45727</v>
      </c>
      <c r="C3258" t="s">
        <v>13</v>
      </c>
      <c r="D3258" t="s">
        <v>22</v>
      </c>
      <c r="E3258" s="2">
        <v>21.2</v>
      </c>
      <c r="F3258" s="3">
        <v>82.14</v>
      </c>
      <c r="G3258" s="4">
        <v>247.07</v>
      </c>
      <c r="H3258">
        <v>1.5</v>
      </c>
      <c r="I3258" s="4">
        <v>370.6</v>
      </c>
      <c r="J3258">
        <v>4.7</v>
      </c>
      <c r="K3258" t="s">
        <v>36</v>
      </c>
      <c r="L3258" t="s">
        <v>28</v>
      </c>
      <c r="O3258"/>
    </row>
    <row r="3259" spans="1:15" x14ac:dyDescent="0.3">
      <c r="A3259" t="s">
        <v>3283</v>
      </c>
      <c r="B3259" s="1">
        <v>45912</v>
      </c>
      <c r="C3259" t="s">
        <v>25</v>
      </c>
      <c r="D3259" t="s">
        <v>25</v>
      </c>
      <c r="E3259" s="2">
        <v>27.2</v>
      </c>
      <c r="F3259" s="3">
        <v>59.81</v>
      </c>
      <c r="G3259" s="4">
        <v>450.48</v>
      </c>
      <c r="H3259">
        <v>1.2</v>
      </c>
      <c r="I3259" s="4">
        <v>540.58000000000004</v>
      </c>
      <c r="J3259">
        <v>3.4</v>
      </c>
      <c r="K3259" t="s">
        <v>36</v>
      </c>
      <c r="L3259" t="s">
        <v>28</v>
      </c>
      <c r="O3259"/>
    </row>
    <row r="3260" spans="1:15" x14ac:dyDescent="0.3">
      <c r="A3260" t="s">
        <v>3284</v>
      </c>
      <c r="B3260" s="1">
        <v>45781</v>
      </c>
      <c r="C3260" t="s">
        <v>25</v>
      </c>
      <c r="D3260" t="s">
        <v>25</v>
      </c>
      <c r="E3260" s="2">
        <v>28.67</v>
      </c>
      <c r="F3260" s="3">
        <v>106.12</v>
      </c>
      <c r="G3260" s="4">
        <v>371.17</v>
      </c>
      <c r="H3260">
        <v>2</v>
      </c>
      <c r="I3260" s="4">
        <v>742.34</v>
      </c>
      <c r="J3260">
        <v>3.7</v>
      </c>
      <c r="K3260" t="s">
        <v>33</v>
      </c>
      <c r="L3260" t="s">
        <v>19</v>
      </c>
      <c r="O3260"/>
    </row>
    <row r="3261" spans="1:15" x14ac:dyDescent="0.3">
      <c r="A3261" t="s">
        <v>3285</v>
      </c>
      <c r="B3261" s="1">
        <v>46015</v>
      </c>
      <c r="C3261" t="s">
        <v>22</v>
      </c>
      <c r="D3261" t="s">
        <v>13</v>
      </c>
      <c r="E3261" s="2">
        <v>9.16</v>
      </c>
      <c r="F3261" s="3">
        <v>34.619999999999997</v>
      </c>
      <c r="G3261" s="4">
        <v>180.19</v>
      </c>
      <c r="H3261">
        <v>1.5</v>
      </c>
      <c r="I3261" s="4">
        <v>270.27999999999997</v>
      </c>
      <c r="J3261">
        <v>4.8</v>
      </c>
      <c r="K3261" t="s">
        <v>18</v>
      </c>
      <c r="L3261" t="s">
        <v>16</v>
      </c>
      <c r="O3261"/>
    </row>
    <row r="3262" spans="1:15" x14ac:dyDescent="0.3">
      <c r="A3262" t="s">
        <v>3286</v>
      </c>
      <c r="B3262" s="1">
        <v>45771</v>
      </c>
      <c r="C3262" t="s">
        <v>13</v>
      </c>
      <c r="D3262" t="s">
        <v>25</v>
      </c>
      <c r="E3262" s="2">
        <v>1.94</v>
      </c>
      <c r="F3262" s="3">
        <v>4.22</v>
      </c>
      <c r="G3262" s="4">
        <v>35.81</v>
      </c>
      <c r="H3262">
        <v>2</v>
      </c>
      <c r="I3262" s="4">
        <v>71.62</v>
      </c>
      <c r="J3262">
        <v>4.0999999999999996</v>
      </c>
      <c r="K3262" t="s">
        <v>18</v>
      </c>
      <c r="L3262" t="s">
        <v>16</v>
      </c>
      <c r="O3262"/>
    </row>
    <row r="3263" spans="1:15" x14ac:dyDescent="0.3">
      <c r="A3263" t="s">
        <v>3287</v>
      </c>
      <c r="B3263" s="1">
        <v>45808</v>
      </c>
      <c r="C3263" t="s">
        <v>14</v>
      </c>
      <c r="D3263" t="s">
        <v>22</v>
      </c>
      <c r="E3263" s="2">
        <v>10.75</v>
      </c>
      <c r="F3263" s="3">
        <v>26.07</v>
      </c>
      <c r="G3263" s="4">
        <v>167.91</v>
      </c>
      <c r="H3263">
        <v>1.5</v>
      </c>
      <c r="I3263" s="4">
        <v>251.86</v>
      </c>
      <c r="J3263">
        <v>4.4000000000000004</v>
      </c>
      <c r="K3263" t="s">
        <v>33</v>
      </c>
      <c r="L3263" t="s">
        <v>19</v>
      </c>
      <c r="O3263"/>
    </row>
    <row r="3264" spans="1:15" x14ac:dyDescent="0.3">
      <c r="A3264" t="s">
        <v>3288</v>
      </c>
      <c r="B3264" s="1">
        <v>45818</v>
      </c>
      <c r="C3264" t="s">
        <v>13</v>
      </c>
      <c r="D3264" t="s">
        <v>25</v>
      </c>
      <c r="E3264" s="2">
        <v>14.03</v>
      </c>
      <c r="F3264" s="3">
        <v>53.14</v>
      </c>
      <c r="G3264" s="4">
        <v>261.77</v>
      </c>
      <c r="H3264">
        <v>1.5</v>
      </c>
      <c r="I3264" s="4">
        <v>392.66</v>
      </c>
      <c r="J3264">
        <v>4</v>
      </c>
      <c r="K3264" t="s">
        <v>18</v>
      </c>
      <c r="L3264" t="s">
        <v>16</v>
      </c>
      <c r="O3264"/>
    </row>
    <row r="3265" spans="1:15" x14ac:dyDescent="0.3">
      <c r="A3265" t="s">
        <v>3289</v>
      </c>
      <c r="B3265" s="1">
        <v>45947</v>
      </c>
      <c r="C3265" t="s">
        <v>13</v>
      </c>
      <c r="D3265" t="s">
        <v>21</v>
      </c>
      <c r="E3265" s="2">
        <v>28.05</v>
      </c>
      <c r="F3265" s="3">
        <v>96.22</v>
      </c>
      <c r="G3265" s="4">
        <v>540.87</v>
      </c>
      <c r="H3265">
        <v>1.5</v>
      </c>
      <c r="I3265" s="4">
        <v>811.3</v>
      </c>
      <c r="J3265">
        <v>3.2</v>
      </c>
      <c r="K3265" t="s">
        <v>15</v>
      </c>
      <c r="L3265" t="s">
        <v>16</v>
      </c>
      <c r="O3265"/>
    </row>
    <row r="3266" spans="1:15" x14ac:dyDescent="0.3">
      <c r="A3266" t="s">
        <v>3290</v>
      </c>
      <c r="B3266" s="1">
        <v>45917</v>
      </c>
      <c r="C3266" t="s">
        <v>22</v>
      </c>
      <c r="D3266" t="s">
        <v>21</v>
      </c>
      <c r="E3266" s="2">
        <v>15.85</v>
      </c>
      <c r="F3266" s="3">
        <v>51.65</v>
      </c>
      <c r="G3266" s="4">
        <v>264.82</v>
      </c>
      <c r="H3266">
        <v>1.2</v>
      </c>
      <c r="I3266" s="4">
        <v>317.77999999999997</v>
      </c>
      <c r="J3266">
        <v>3.2</v>
      </c>
      <c r="K3266" t="s">
        <v>15</v>
      </c>
      <c r="L3266" t="s">
        <v>28</v>
      </c>
      <c r="O3266"/>
    </row>
    <row r="3267" spans="1:15" x14ac:dyDescent="0.3">
      <c r="A3267" t="s">
        <v>3291</v>
      </c>
      <c r="B3267" s="1">
        <v>45776</v>
      </c>
      <c r="C3267" t="s">
        <v>22</v>
      </c>
      <c r="D3267" t="s">
        <v>14</v>
      </c>
      <c r="E3267" s="2">
        <v>22.29</v>
      </c>
      <c r="F3267" s="3">
        <v>57.31</v>
      </c>
      <c r="G3267" s="4">
        <v>289.25</v>
      </c>
      <c r="H3267">
        <v>1.2</v>
      </c>
      <c r="I3267" s="4">
        <v>347.1</v>
      </c>
      <c r="J3267">
        <v>3.4</v>
      </c>
      <c r="K3267" t="s">
        <v>15</v>
      </c>
      <c r="L3267" t="s">
        <v>16</v>
      </c>
      <c r="O3267"/>
    </row>
    <row r="3268" spans="1:15" x14ac:dyDescent="0.3">
      <c r="A3268" t="s">
        <v>3292</v>
      </c>
      <c r="B3268" s="1">
        <v>45727</v>
      </c>
      <c r="C3268" t="s">
        <v>13</v>
      </c>
      <c r="D3268" t="s">
        <v>22</v>
      </c>
      <c r="E3268" s="2">
        <v>23.89</v>
      </c>
      <c r="F3268" s="3">
        <v>62.93</v>
      </c>
      <c r="G3268" s="4">
        <v>442.86</v>
      </c>
      <c r="H3268">
        <v>2</v>
      </c>
      <c r="I3268" s="4">
        <v>885.72</v>
      </c>
      <c r="J3268">
        <v>4.2</v>
      </c>
      <c r="K3268" t="s">
        <v>36</v>
      </c>
      <c r="L3268" t="s">
        <v>26</v>
      </c>
      <c r="O3268"/>
    </row>
    <row r="3269" spans="1:15" x14ac:dyDescent="0.3">
      <c r="A3269" t="s">
        <v>3293</v>
      </c>
      <c r="B3269" s="1">
        <v>45704</v>
      </c>
      <c r="C3269" t="s">
        <v>13</v>
      </c>
      <c r="D3269" t="s">
        <v>21</v>
      </c>
      <c r="E3269" s="2">
        <v>10.42</v>
      </c>
      <c r="F3269" s="3">
        <v>31.6</v>
      </c>
      <c r="G3269" s="4">
        <v>150.55000000000001</v>
      </c>
      <c r="H3269">
        <v>1</v>
      </c>
      <c r="I3269" s="4">
        <v>150.55000000000001</v>
      </c>
      <c r="J3269">
        <v>4.7</v>
      </c>
      <c r="K3269" t="s">
        <v>15</v>
      </c>
      <c r="L3269" t="s">
        <v>16</v>
      </c>
      <c r="O3269"/>
    </row>
    <row r="3270" spans="1:15" x14ac:dyDescent="0.3">
      <c r="A3270" t="s">
        <v>3294</v>
      </c>
      <c r="B3270" s="1">
        <v>45734</v>
      </c>
      <c r="C3270" t="s">
        <v>21</v>
      </c>
      <c r="D3270" t="s">
        <v>13</v>
      </c>
      <c r="E3270" s="2">
        <v>15.02</v>
      </c>
      <c r="F3270" s="3">
        <v>55.06</v>
      </c>
      <c r="G3270" s="4">
        <v>166</v>
      </c>
      <c r="H3270">
        <v>2</v>
      </c>
      <c r="I3270" s="4">
        <v>332</v>
      </c>
      <c r="J3270">
        <v>4.4000000000000004</v>
      </c>
      <c r="K3270" t="s">
        <v>18</v>
      </c>
      <c r="L3270" t="s">
        <v>26</v>
      </c>
      <c r="O3270"/>
    </row>
    <row r="3271" spans="1:15" x14ac:dyDescent="0.3">
      <c r="A3271" t="s">
        <v>3295</v>
      </c>
      <c r="B3271" s="1">
        <v>45878</v>
      </c>
      <c r="C3271" t="s">
        <v>22</v>
      </c>
      <c r="D3271" t="s">
        <v>13</v>
      </c>
      <c r="E3271" s="2">
        <v>18.05</v>
      </c>
      <c r="F3271" s="3">
        <v>54.5</v>
      </c>
      <c r="G3271" s="4">
        <v>274.93</v>
      </c>
      <c r="H3271">
        <v>1.5</v>
      </c>
      <c r="I3271" s="4">
        <v>412.4</v>
      </c>
      <c r="J3271">
        <v>4.5</v>
      </c>
      <c r="K3271" t="s">
        <v>36</v>
      </c>
      <c r="L3271" t="s">
        <v>19</v>
      </c>
      <c r="O3271"/>
    </row>
    <row r="3272" spans="1:15" x14ac:dyDescent="0.3">
      <c r="A3272" t="s">
        <v>3296</v>
      </c>
      <c r="B3272" s="1">
        <v>45903</v>
      </c>
      <c r="C3272" t="s">
        <v>14</v>
      </c>
      <c r="D3272" t="s">
        <v>14</v>
      </c>
      <c r="E3272" s="2">
        <v>3.46</v>
      </c>
      <c r="F3272" s="3">
        <v>10.89</v>
      </c>
      <c r="G3272" s="4">
        <v>54.35</v>
      </c>
      <c r="H3272">
        <v>1.2</v>
      </c>
      <c r="I3272" s="4">
        <v>65.22</v>
      </c>
      <c r="J3272">
        <v>3.5</v>
      </c>
      <c r="K3272" t="s">
        <v>15</v>
      </c>
      <c r="L3272" t="s">
        <v>26</v>
      </c>
      <c r="O3272"/>
    </row>
    <row r="3273" spans="1:15" x14ac:dyDescent="0.3">
      <c r="A3273" t="s">
        <v>3297</v>
      </c>
      <c r="B3273" s="1">
        <v>45905</v>
      </c>
      <c r="C3273" t="s">
        <v>21</v>
      </c>
      <c r="D3273" t="s">
        <v>13</v>
      </c>
      <c r="E3273" s="2">
        <v>4.97</v>
      </c>
      <c r="F3273" s="3">
        <v>15.63</v>
      </c>
      <c r="G3273" s="4">
        <v>54.24</v>
      </c>
      <c r="H3273">
        <v>1.2</v>
      </c>
      <c r="I3273" s="4">
        <v>65.09</v>
      </c>
      <c r="J3273">
        <v>4.0999999999999996</v>
      </c>
      <c r="K3273" t="s">
        <v>36</v>
      </c>
      <c r="L3273" t="s">
        <v>28</v>
      </c>
      <c r="O3273"/>
    </row>
    <row r="3274" spans="1:15" x14ac:dyDescent="0.3">
      <c r="A3274" t="s">
        <v>3298</v>
      </c>
      <c r="B3274" s="1">
        <v>46009</v>
      </c>
      <c r="C3274" t="s">
        <v>22</v>
      </c>
      <c r="D3274" t="s">
        <v>25</v>
      </c>
      <c r="E3274" s="2">
        <v>13.61</v>
      </c>
      <c r="F3274" s="3">
        <v>42.64</v>
      </c>
      <c r="G3274" s="4">
        <v>139.16</v>
      </c>
      <c r="H3274">
        <v>1.2</v>
      </c>
      <c r="I3274" s="4">
        <v>166.99</v>
      </c>
      <c r="J3274">
        <v>4.4000000000000004</v>
      </c>
      <c r="K3274" t="s">
        <v>30</v>
      </c>
      <c r="L3274" t="s">
        <v>19</v>
      </c>
      <c r="O3274"/>
    </row>
    <row r="3275" spans="1:15" x14ac:dyDescent="0.3">
      <c r="A3275" t="s">
        <v>3299</v>
      </c>
      <c r="B3275" s="1">
        <v>45783</v>
      </c>
      <c r="C3275" t="s">
        <v>14</v>
      </c>
      <c r="D3275" t="s">
        <v>22</v>
      </c>
      <c r="E3275" s="2">
        <v>2.02</v>
      </c>
      <c r="F3275" s="3">
        <v>6.42</v>
      </c>
      <c r="G3275" s="4">
        <v>29.03</v>
      </c>
      <c r="H3275">
        <v>2</v>
      </c>
      <c r="I3275" s="4">
        <v>58.06</v>
      </c>
      <c r="J3275">
        <v>3.1</v>
      </c>
      <c r="K3275" t="s">
        <v>33</v>
      </c>
      <c r="L3275" t="s">
        <v>16</v>
      </c>
      <c r="O3275"/>
    </row>
    <row r="3276" spans="1:15" x14ac:dyDescent="0.3">
      <c r="A3276" t="s">
        <v>3300</v>
      </c>
      <c r="B3276" s="1">
        <v>45716</v>
      </c>
      <c r="C3276" t="s">
        <v>13</v>
      </c>
      <c r="D3276" t="s">
        <v>13</v>
      </c>
      <c r="E3276" s="2">
        <v>1.31</v>
      </c>
      <c r="F3276" s="3">
        <v>4.13</v>
      </c>
      <c r="G3276" s="4">
        <v>25.7</v>
      </c>
      <c r="H3276">
        <v>2</v>
      </c>
      <c r="I3276" s="4">
        <v>51.4</v>
      </c>
      <c r="J3276">
        <v>4.5</v>
      </c>
      <c r="K3276" t="s">
        <v>15</v>
      </c>
      <c r="L3276" t="s">
        <v>16</v>
      </c>
      <c r="O3276"/>
    </row>
    <row r="3277" spans="1:15" x14ac:dyDescent="0.3">
      <c r="A3277" t="s">
        <v>3301</v>
      </c>
      <c r="B3277" s="1">
        <v>45894</v>
      </c>
      <c r="C3277" t="s">
        <v>21</v>
      </c>
      <c r="D3277" t="s">
        <v>25</v>
      </c>
      <c r="E3277" s="2">
        <v>11.27</v>
      </c>
      <c r="F3277" s="3">
        <v>35.04</v>
      </c>
      <c r="G3277" s="4">
        <v>182.06</v>
      </c>
      <c r="H3277">
        <v>1</v>
      </c>
      <c r="I3277" s="4">
        <v>182.06</v>
      </c>
      <c r="J3277">
        <v>4.7</v>
      </c>
      <c r="K3277" t="s">
        <v>18</v>
      </c>
      <c r="L3277" t="s">
        <v>16</v>
      </c>
      <c r="O3277"/>
    </row>
    <row r="3278" spans="1:15" x14ac:dyDescent="0.3">
      <c r="A3278" t="s">
        <v>3302</v>
      </c>
      <c r="B3278" s="1">
        <v>45750</v>
      </c>
      <c r="C3278" t="s">
        <v>13</v>
      </c>
      <c r="D3278" t="s">
        <v>25</v>
      </c>
      <c r="E3278" s="2">
        <v>7.86</v>
      </c>
      <c r="F3278" s="3">
        <v>17.97</v>
      </c>
      <c r="G3278" s="4">
        <v>107.99</v>
      </c>
      <c r="H3278">
        <v>2</v>
      </c>
      <c r="I3278" s="4">
        <v>215.98</v>
      </c>
      <c r="J3278">
        <v>3.6</v>
      </c>
      <c r="K3278" t="s">
        <v>30</v>
      </c>
      <c r="L3278" t="s">
        <v>28</v>
      </c>
      <c r="O3278"/>
    </row>
    <row r="3279" spans="1:15" x14ac:dyDescent="0.3">
      <c r="A3279" t="s">
        <v>3303</v>
      </c>
      <c r="B3279" s="1">
        <v>45850</v>
      </c>
      <c r="C3279" t="s">
        <v>25</v>
      </c>
      <c r="D3279" t="s">
        <v>13</v>
      </c>
      <c r="E3279" s="2">
        <v>14.27</v>
      </c>
      <c r="F3279" s="3">
        <v>46.89</v>
      </c>
      <c r="G3279" s="4">
        <v>157.4</v>
      </c>
      <c r="H3279">
        <v>1</v>
      </c>
      <c r="I3279" s="4">
        <v>157.4</v>
      </c>
      <c r="J3279">
        <v>4.5</v>
      </c>
      <c r="K3279" t="s">
        <v>36</v>
      </c>
      <c r="L3279" t="s">
        <v>19</v>
      </c>
      <c r="O3279"/>
    </row>
    <row r="3280" spans="1:15" x14ac:dyDescent="0.3">
      <c r="A3280" t="s">
        <v>3304</v>
      </c>
      <c r="B3280" s="1">
        <v>45997</v>
      </c>
      <c r="C3280" t="s">
        <v>25</v>
      </c>
      <c r="D3280" t="s">
        <v>22</v>
      </c>
      <c r="E3280" s="2">
        <v>23.63</v>
      </c>
      <c r="F3280" s="3">
        <v>84.81</v>
      </c>
      <c r="G3280" s="4">
        <v>296.91000000000003</v>
      </c>
      <c r="H3280">
        <v>2</v>
      </c>
      <c r="I3280" s="4">
        <v>593.82000000000005</v>
      </c>
      <c r="J3280">
        <v>4.5999999999999996</v>
      </c>
      <c r="K3280" t="s">
        <v>30</v>
      </c>
      <c r="L3280" t="s">
        <v>26</v>
      </c>
      <c r="O3280"/>
    </row>
    <row r="3281" spans="1:15" x14ac:dyDescent="0.3">
      <c r="A3281" t="s">
        <v>3305</v>
      </c>
      <c r="B3281" s="1">
        <v>45778</v>
      </c>
      <c r="C3281" t="s">
        <v>13</v>
      </c>
      <c r="D3281" t="s">
        <v>14</v>
      </c>
      <c r="E3281" s="2">
        <v>3.6</v>
      </c>
      <c r="F3281" s="3">
        <v>12.12</v>
      </c>
      <c r="G3281" s="4">
        <v>70.64</v>
      </c>
      <c r="H3281">
        <v>1</v>
      </c>
      <c r="I3281" s="4">
        <v>70.64</v>
      </c>
      <c r="J3281">
        <v>4.0999999999999996</v>
      </c>
      <c r="K3281" t="s">
        <v>15</v>
      </c>
      <c r="L3281" t="s">
        <v>28</v>
      </c>
      <c r="O3281"/>
    </row>
    <row r="3282" spans="1:15" x14ac:dyDescent="0.3">
      <c r="A3282" t="s">
        <v>3306</v>
      </c>
      <c r="B3282" s="1">
        <v>45744</v>
      </c>
      <c r="C3282" t="s">
        <v>14</v>
      </c>
      <c r="D3282" t="s">
        <v>22</v>
      </c>
      <c r="E3282" s="2">
        <v>14.77</v>
      </c>
      <c r="F3282" s="3">
        <v>48.6</v>
      </c>
      <c r="G3282" s="4">
        <v>221.54</v>
      </c>
      <c r="H3282">
        <v>1</v>
      </c>
      <c r="I3282" s="4">
        <v>221.54</v>
      </c>
      <c r="J3282">
        <v>3.1</v>
      </c>
      <c r="K3282" t="s">
        <v>33</v>
      </c>
      <c r="L3282" t="s">
        <v>28</v>
      </c>
      <c r="O3282"/>
    </row>
    <row r="3283" spans="1:15" x14ac:dyDescent="0.3">
      <c r="A3283" t="s">
        <v>3307</v>
      </c>
      <c r="B3283" s="1">
        <v>45802</v>
      </c>
      <c r="C3283" t="s">
        <v>13</v>
      </c>
      <c r="D3283" t="s">
        <v>13</v>
      </c>
      <c r="E3283" s="2">
        <v>2.12</v>
      </c>
      <c r="F3283" s="3">
        <v>4.82</v>
      </c>
      <c r="G3283" s="4">
        <v>27.26</v>
      </c>
      <c r="H3283">
        <v>2</v>
      </c>
      <c r="I3283" s="4">
        <v>54.52</v>
      </c>
      <c r="J3283">
        <v>3.2</v>
      </c>
      <c r="K3283" t="s">
        <v>30</v>
      </c>
      <c r="L3283" t="s">
        <v>19</v>
      </c>
      <c r="O3283"/>
    </row>
    <row r="3284" spans="1:15" x14ac:dyDescent="0.3">
      <c r="A3284" t="s">
        <v>3308</v>
      </c>
      <c r="B3284" s="1">
        <v>45717</v>
      </c>
      <c r="C3284" t="s">
        <v>25</v>
      </c>
      <c r="D3284" t="s">
        <v>13</v>
      </c>
      <c r="E3284" s="2">
        <v>14.22</v>
      </c>
      <c r="F3284" s="3">
        <v>29.54</v>
      </c>
      <c r="G3284" s="4">
        <v>147.16</v>
      </c>
      <c r="H3284">
        <v>1.2</v>
      </c>
      <c r="I3284" s="4">
        <v>176.59</v>
      </c>
      <c r="J3284">
        <v>4.7</v>
      </c>
      <c r="K3284" t="s">
        <v>15</v>
      </c>
      <c r="L3284" t="s">
        <v>26</v>
      </c>
      <c r="O3284"/>
    </row>
    <row r="3285" spans="1:15" x14ac:dyDescent="0.3">
      <c r="A3285" t="s">
        <v>3309</v>
      </c>
      <c r="B3285" s="1">
        <v>45827</v>
      </c>
      <c r="C3285" t="s">
        <v>25</v>
      </c>
      <c r="D3285" t="s">
        <v>14</v>
      </c>
      <c r="E3285" s="2">
        <v>19.29</v>
      </c>
      <c r="F3285" s="3">
        <v>55.05</v>
      </c>
      <c r="G3285" s="4">
        <v>366.92</v>
      </c>
      <c r="H3285">
        <v>1</v>
      </c>
      <c r="I3285" s="4">
        <v>366.92</v>
      </c>
      <c r="J3285">
        <v>4.4000000000000004</v>
      </c>
      <c r="K3285" t="s">
        <v>18</v>
      </c>
      <c r="L3285" t="s">
        <v>28</v>
      </c>
      <c r="O3285"/>
    </row>
    <row r="3286" spans="1:15" x14ac:dyDescent="0.3">
      <c r="A3286" t="s">
        <v>3310</v>
      </c>
      <c r="B3286" s="1">
        <v>45974</v>
      </c>
      <c r="C3286" t="s">
        <v>13</v>
      </c>
      <c r="D3286" t="s">
        <v>25</v>
      </c>
      <c r="E3286" s="2">
        <v>3.42</v>
      </c>
      <c r="F3286" s="3">
        <v>8.83</v>
      </c>
      <c r="G3286" s="4">
        <v>52.8</v>
      </c>
      <c r="H3286">
        <v>1.5</v>
      </c>
      <c r="I3286" s="4">
        <v>79.2</v>
      </c>
      <c r="J3286">
        <v>3.2</v>
      </c>
      <c r="K3286" t="s">
        <v>30</v>
      </c>
      <c r="L3286" t="s">
        <v>16</v>
      </c>
      <c r="O3286"/>
    </row>
    <row r="3287" spans="1:15" x14ac:dyDescent="0.3">
      <c r="A3287" t="s">
        <v>3311</v>
      </c>
      <c r="B3287" s="1">
        <v>45953</v>
      </c>
      <c r="C3287" t="s">
        <v>14</v>
      </c>
      <c r="D3287" t="s">
        <v>25</v>
      </c>
      <c r="E3287" s="2">
        <v>16.29</v>
      </c>
      <c r="F3287" s="3">
        <v>38.11</v>
      </c>
      <c r="G3287" s="4">
        <v>293.29000000000002</v>
      </c>
      <c r="H3287">
        <v>2</v>
      </c>
      <c r="I3287" s="4">
        <v>586.58000000000004</v>
      </c>
      <c r="J3287">
        <v>4.5999999999999996</v>
      </c>
      <c r="K3287" t="s">
        <v>36</v>
      </c>
      <c r="L3287" t="s">
        <v>19</v>
      </c>
      <c r="O3287"/>
    </row>
    <row r="3288" spans="1:15" x14ac:dyDescent="0.3">
      <c r="A3288" t="s">
        <v>3312</v>
      </c>
      <c r="B3288" s="1">
        <v>45909</v>
      </c>
      <c r="C3288" t="s">
        <v>25</v>
      </c>
      <c r="D3288" t="s">
        <v>13</v>
      </c>
      <c r="E3288" s="2">
        <v>10.34</v>
      </c>
      <c r="F3288" s="3">
        <v>27.52</v>
      </c>
      <c r="G3288" s="4">
        <v>161.66999999999999</v>
      </c>
      <c r="H3288">
        <v>2</v>
      </c>
      <c r="I3288" s="4">
        <v>323.33999999999997</v>
      </c>
      <c r="J3288">
        <v>4.5</v>
      </c>
      <c r="K3288" t="s">
        <v>33</v>
      </c>
      <c r="L3288" t="s">
        <v>26</v>
      </c>
      <c r="O3288"/>
    </row>
    <row r="3289" spans="1:15" x14ac:dyDescent="0.3">
      <c r="A3289" t="s">
        <v>3313</v>
      </c>
      <c r="B3289" s="1">
        <v>46001</v>
      </c>
      <c r="C3289" t="s">
        <v>22</v>
      </c>
      <c r="D3289" t="s">
        <v>25</v>
      </c>
      <c r="E3289" s="2">
        <v>2.77</v>
      </c>
      <c r="F3289" s="3">
        <v>7.61</v>
      </c>
      <c r="G3289" s="4">
        <v>33.44</v>
      </c>
      <c r="H3289">
        <v>1</v>
      </c>
      <c r="I3289" s="4">
        <v>33.44</v>
      </c>
      <c r="J3289">
        <v>4.9000000000000004</v>
      </c>
      <c r="K3289" t="s">
        <v>30</v>
      </c>
      <c r="L3289" t="s">
        <v>26</v>
      </c>
      <c r="O3289"/>
    </row>
    <row r="3290" spans="1:15" x14ac:dyDescent="0.3">
      <c r="A3290" t="s">
        <v>3314</v>
      </c>
      <c r="B3290" s="1">
        <v>45807</v>
      </c>
      <c r="C3290" t="s">
        <v>22</v>
      </c>
      <c r="D3290" t="s">
        <v>13</v>
      </c>
      <c r="E3290" s="2">
        <v>21.27</v>
      </c>
      <c r="F3290" s="3">
        <v>76.63</v>
      </c>
      <c r="G3290" s="4">
        <v>366.06</v>
      </c>
      <c r="H3290">
        <v>1.5</v>
      </c>
      <c r="I3290" s="4">
        <v>549.09</v>
      </c>
      <c r="J3290">
        <v>4.8</v>
      </c>
      <c r="K3290" t="s">
        <v>36</v>
      </c>
      <c r="L3290" t="s">
        <v>28</v>
      </c>
      <c r="O3290"/>
    </row>
    <row r="3291" spans="1:15" x14ac:dyDescent="0.3">
      <c r="A3291" t="s">
        <v>3315</v>
      </c>
      <c r="B3291" s="1">
        <v>45951</v>
      </c>
      <c r="C3291" t="s">
        <v>14</v>
      </c>
      <c r="D3291" t="s">
        <v>21</v>
      </c>
      <c r="E3291" s="2">
        <v>18.3</v>
      </c>
      <c r="F3291" s="3">
        <v>59.89</v>
      </c>
      <c r="G3291" s="4">
        <v>338.42</v>
      </c>
      <c r="H3291">
        <v>2</v>
      </c>
      <c r="I3291" s="4">
        <v>676.84</v>
      </c>
      <c r="J3291">
        <v>3.6</v>
      </c>
      <c r="K3291" t="s">
        <v>36</v>
      </c>
      <c r="L3291" t="s">
        <v>19</v>
      </c>
      <c r="O3291"/>
    </row>
    <row r="3292" spans="1:15" x14ac:dyDescent="0.3">
      <c r="A3292" t="s">
        <v>3316</v>
      </c>
      <c r="B3292" s="1">
        <v>45834</v>
      </c>
      <c r="C3292" t="s">
        <v>25</v>
      </c>
      <c r="D3292" t="s">
        <v>21</v>
      </c>
      <c r="E3292" s="2">
        <v>1.87</v>
      </c>
      <c r="F3292" s="3">
        <v>3.88</v>
      </c>
      <c r="G3292" s="4">
        <v>36.520000000000003</v>
      </c>
      <c r="H3292">
        <v>1.5</v>
      </c>
      <c r="I3292" s="4">
        <v>54.78</v>
      </c>
      <c r="J3292">
        <v>3.9</v>
      </c>
      <c r="K3292" t="s">
        <v>30</v>
      </c>
      <c r="L3292" t="s">
        <v>19</v>
      </c>
      <c r="O3292"/>
    </row>
    <row r="3293" spans="1:15" x14ac:dyDescent="0.3">
      <c r="A3293" t="s">
        <v>3317</v>
      </c>
      <c r="B3293" s="1">
        <v>45804</v>
      </c>
      <c r="C3293" t="s">
        <v>21</v>
      </c>
      <c r="D3293" t="s">
        <v>21</v>
      </c>
      <c r="E3293" s="2">
        <v>18.73</v>
      </c>
      <c r="F3293" s="3">
        <v>66.92</v>
      </c>
      <c r="G3293" s="4">
        <v>249.86</v>
      </c>
      <c r="H3293">
        <v>1.2</v>
      </c>
      <c r="I3293" s="4">
        <v>299.83</v>
      </c>
      <c r="J3293">
        <v>3.2</v>
      </c>
      <c r="K3293" t="s">
        <v>36</v>
      </c>
      <c r="L3293" t="s">
        <v>28</v>
      </c>
      <c r="O3293"/>
    </row>
    <row r="3294" spans="1:15" x14ac:dyDescent="0.3">
      <c r="A3294" t="s">
        <v>3318</v>
      </c>
      <c r="B3294" s="1">
        <v>45797</v>
      </c>
      <c r="C3294" t="s">
        <v>22</v>
      </c>
      <c r="D3294" t="s">
        <v>13</v>
      </c>
      <c r="E3294" s="2">
        <v>21.21</v>
      </c>
      <c r="F3294" s="3">
        <v>54.91</v>
      </c>
      <c r="G3294" s="4">
        <v>328.47</v>
      </c>
      <c r="H3294">
        <v>2</v>
      </c>
      <c r="I3294" s="4">
        <v>656.94</v>
      </c>
      <c r="J3294">
        <v>3.1</v>
      </c>
      <c r="K3294" t="s">
        <v>30</v>
      </c>
      <c r="L3294" t="s">
        <v>19</v>
      </c>
      <c r="O3294"/>
    </row>
    <row r="3295" spans="1:15" x14ac:dyDescent="0.3">
      <c r="A3295" t="s">
        <v>3319</v>
      </c>
      <c r="B3295" s="1">
        <v>45867</v>
      </c>
      <c r="C3295" t="s">
        <v>22</v>
      </c>
      <c r="D3295" t="s">
        <v>22</v>
      </c>
      <c r="E3295" s="2">
        <v>27.54</v>
      </c>
      <c r="F3295" s="3">
        <v>104.56</v>
      </c>
      <c r="G3295" s="4">
        <v>542.80999999999995</v>
      </c>
      <c r="H3295">
        <v>1.2</v>
      </c>
      <c r="I3295" s="4">
        <v>651.37</v>
      </c>
      <c r="J3295">
        <v>4.0999999999999996</v>
      </c>
      <c r="K3295" t="s">
        <v>18</v>
      </c>
      <c r="L3295" t="s">
        <v>26</v>
      </c>
      <c r="O3295"/>
    </row>
    <row r="3296" spans="1:15" x14ac:dyDescent="0.3">
      <c r="A3296" t="s">
        <v>3320</v>
      </c>
      <c r="B3296" s="1">
        <v>45820</v>
      </c>
      <c r="C3296" t="s">
        <v>14</v>
      </c>
      <c r="D3296" t="s">
        <v>22</v>
      </c>
      <c r="E3296" s="2">
        <v>25.14</v>
      </c>
      <c r="F3296" s="3">
        <v>63.9</v>
      </c>
      <c r="G3296" s="4">
        <v>358.86</v>
      </c>
      <c r="H3296">
        <v>1</v>
      </c>
      <c r="I3296" s="4">
        <v>358.86</v>
      </c>
      <c r="J3296">
        <v>4.9000000000000004</v>
      </c>
      <c r="K3296" t="s">
        <v>18</v>
      </c>
      <c r="L3296" t="s">
        <v>16</v>
      </c>
      <c r="O3296"/>
    </row>
    <row r="3297" spans="1:15" x14ac:dyDescent="0.3">
      <c r="A3297" t="s">
        <v>3321</v>
      </c>
      <c r="B3297" s="1">
        <v>45791</v>
      </c>
      <c r="C3297" t="s">
        <v>13</v>
      </c>
      <c r="D3297" t="s">
        <v>13</v>
      </c>
      <c r="E3297" s="2">
        <v>12.62</v>
      </c>
      <c r="F3297" s="3">
        <v>42.04</v>
      </c>
      <c r="G3297" s="4">
        <v>228.36</v>
      </c>
      <c r="H3297">
        <v>1.5</v>
      </c>
      <c r="I3297" s="4">
        <v>342.54</v>
      </c>
      <c r="J3297">
        <v>3.6</v>
      </c>
      <c r="K3297" t="s">
        <v>30</v>
      </c>
      <c r="L3297" t="s">
        <v>26</v>
      </c>
      <c r="O3297"/>
    </row>
    <row r="3298" spans="1:15" x14ac:dyDescent="0.3">
      <c r="A3298" t="s">
        <v>3322</v>
      </c>
      <c r="B3298" s="1">
        <v>45785</v>
      </c>
      <c r="C3298" t="s">
        <v>14</v>
      </c>
      <c r="D3298" t="s">
        <v>21</v>
      </c>
      <c r="E3298" s="2">
        <v>14.91</v>
      </c>
      <c r="F3298" s="3">
        <v>35.700000000000003</v>
      </c>
      <c r="G3298" s="4">
        <v>250.52</v>
      </c>
      <c r="H3298">
        <v>1.5</v>
      </c>
      <c r="I3298" s="4">
        <v>375.78</v>
      </c>
      <c r="J3298">
        <v>3.6</v>
      </c>
      <c r="K3298" t="s">
        <v>15</v>
      </c>
      <c r="L3298" t="s">
        <v>16</v>
      </c>
      <c r="O3298"/>
    </row>
    <row r="3299" spans="1:15" x14ac:dyDescent="0.3">
      <c r="A3299" t="s">
        <v>3323</v>
      </c>
      <c r="B3299" s="1">
        <v>45791</v>
      </c>
      <c r="C3299" t="s">
        <v>22</v>
      </c>
      <c r="D3299" t="s">
        <v>13</v>
      </c>
      <c r="E3299" s="2">
        <v>28.08</v>
      </c>
      <c r="F3299" s="3">
        <v>73.349999999999994</v>
      </c>
      <c r="G3299" s="4">
        <v>336.01</v>
      </c>
      <c r="H3299">
        <v>1.2</v>
      </c>
      <c r="I3299" s="4">
        <v>403.21</v>
      </c>
      <c r="J3299">
        <v>3</v>
      </c>
      <c r="K3299" t="s">
        <v>15</v>
      </c>
      <c r="L3299" t="s">
        <v>16</v>
      </c>
      <c r="O3299"/>
    </row>
    <row r="3300" spans="1:15" x14ac:dyDescent="0.3">
      <c r="A3300" t="s">
        <v>3324</v>
      </c>
      <c r="B3300" s="1">
        <v>45806</v>
      </c>
      <c r="C3300" t="s">
        <v>25</v>
      </c>
      <c r="D3300" t="s">
        <v>21</v>
      </c>
      <c r="E3300" s="2">
        <v>2.5299999999999998</v>
      </c>
      <c r="F3300" s="3">
        <v>6.54</v>
      </c>
      <c r="G3300" s="4">
        <v>32.78</v>
      </c>
      <c r="H3300">
        <v>1.5</v>
      </c>
      <c r="I3300" s="4">
        <v>49.17</v>
      </c>
      <c r="J3300">
        <v>3.8</v>
      </c>
      <c r="K3300" t="s">
        <v>33</v>
      </c>
      <c r="L3300" t="s">
        <v>16</v>
      </c>
      <c r="O3300"/>
    </row>
    <row r="3301" spans="1:15" x14ac:dyDescent="0.3">
      <c r="A3301" t="s">
        <v>3325</v>
      </c>
      <c r="B3301" s="1">
        <v>45735</v>
      </c>
      <c r="C3301" t="s">
        <v>21</v>
      </c>
      <c r="D3301" t="s">
        <v>21</v>
      </c>
      <c r="E3301" s="2">
        <v>16.46</v>
      </c>
      <c r="F3301" s="3">
        <v>36.14</v>
      </c>
      <c r="G3301" s="4">
        <v>294.72000000000003</v>
      </c>
      <c r="H3301">
        <v>1.2</v>
      </c>
      <c r="I3301" s="4">
        <v>353.66</v>
      </c>
      <c r="J3301">
        <v>3.4</v>
      </c>
      <c r="K3301" t="s">
        <v>15</v>
      </c>
      <c r="L3301" t="s">
        <v>19</v>
      </c>
      <c r="O3301"/>
    </row>
    <row r="3302" spans="1:15" x14ac:dyDescent="0.3">
      <c r="A3302" t="s">
        <v>3326</v>
      </c>
      <c r="B3302" s="1">
        <v>45803</v>
      </c>
      <c r="C3302" t="s">
        <v>13</v>
      </c>
      <c r="D3302" t="s">
        <v>14</v>
      </c>
      <c r="E3302" s="2">
        <v>13.14</v>
      </c>
      <c r="F3302" s="3">
        <v>36.31</v>
      </c>
      <c r="G3302" s="4">
        <v>144.30000000000001</v>
      </c>
      <c r="H3302">
        <v>1.5</v>
      </c>
      <c r="I3302" s="4">
        <v>216.45</v>
      </c>
      <c r="J3302">
        <v>3.8</v>
      </c>
      <c r="K3302" t="s">
        <v>33</v>
      </c>
      <c r="L3302" t="s">
        <v>16</v>
      </c>
      <c r="O3302"/>
    </row>
    <row r="3303" spans="1:15" x14ac:dyDescent="0.3">
      <c r="A3303" t="s">
        <v>3327</v>
      </c>
      <c r="B3303" s="1">
        <v>45822</v>
      </c>
      <c r="C3303" t="s">
        <v>21</v>
      </c>
      <c r="D3303" t="s">
        <v>25</v>
      </c>
      <c r="E3303" s="2">
        <v>14.57</v>
      </c>
      <c r="F3303" s="3">
        <v>50.72</v>
      </c>
      <c r="G3303" s="4">
        <v>267</v>
      </c>
      <c r="H3303">
        <v>1</v>
      </c>
      <c r="I3303" s="4">
        <v>267</v>
      </c>
      <c r="J3303">
        <v>3.8</v>
      </c>
      <c r="K3303" t="s">
        <v>33</v>
      </c>
      <c r="L3303" t="s">
        <v>28</v>
      </c>
      <c r="O3303"/>
    </row>
    <row r="3304" spans="1:15" x14ac:dyDescent="0.3">
      <c r="A3304" t="s">
        <v>3328</v>
      </c>
      <c r="B3304" s="1">
        <v>45866</v>
      </c>
      <c r="C3304" t="s">
        <v>13</v>
      </c>
      <c r="D3304" t="s">
        <v>14</v>
      </c>
      <c r="E3304" s="2">
        <v>19.04</v>
      </c>
      <c r="F3304" s="3">
        <v>41.14</v>
      </c>
      <c r="G3304" s="4">
        <v>322.66000000000003</v>
      </c>
      <c r="H3304">
        <v>1.5</v>
      </c>
      <c r="I3304" s="4">
        <v>483.99</v>
      </c>
      <c r="J3304">
        <v>3</v>
      </c>
      <c r="K3304" t="s">
        <v>18</v>
      </c>
      <c r="L3304" t="s">
        <v>16</v>
      </c>
      <c r="O3304"/>
    </row>
    <row r="3305" spans="1:15" x14ac:dyDescent="0.3">
      <c r="A3305" t="s">
        <v>3329</v>
      </c>
      <c r="B3305" s="1">
        <v>45688</v>
      </c>
      <c r="C3305" t="s">
        <v>25</v>
      </c>
      <c r="D3305" t="s">
        <v>25</v>
      </c>
      <c r="E3305" s="2">
        <v>26</v>
      </c>
      <c r="F3305" s="3">
        <v>83.93</v>
      </c>
      <c r="G3305" s="4">
        <v>352.23</v>
      </c>
      <c r="H3305">
        <v>2</v>
      </c>
      <c r="I3305" s="4">
        <v>704.46</v>
      </c>
      <c r="J3305">
        <v>3.5</v>
      </c>
      <c r="K3305" t="s">
        <v>30</v>
      </c>
      <c r="L3305" t="s">
        <v>28</v>
      </c>
      <c r="O3305"/>
    </row>
    <row r="3306" spans="1:15" x14ac:dyDescent="0.3">
      <c r="A3306" t="s">
        <v>3330</v>
      </c>
      <c r="B3306" s="1">
        <v>45823</v>
      </c>
      <c r="C3306" t="s">
        <v>21</v>
      </c>
      <c r="D3306" t="s">
        <v>25</v>
      </c>
      <c r="E3306" s="2">
        <v>27.77</v>
      </c>
      <c r="F3306" s="3">
        <v>88.66</v>
      </c>
      <c r="G3306" s="4">
        <v>547.53</v>
      </c>
      <c r="H3306">
        <v>1.5</v>
      </c>
      <c r="I3306" s="4">
        <v>821.3</v>
      </c>
      <c r="J3306">
        <v>3.2</v>
      </c>
      <c r="K3306" t="s">
        <v>15</v>
      </c>
      <c r="L3306" t="s">
        <v>28</v>
      </c>
      <c r="O3306"/>
    </row>
    <row r="3307" spans="1:15" x14ac:dyDescent="0.3">
      <c r="A3307" t="s">
        <v>3331</v>
      </c>
      <c r="B3307" s="1">
        <v>45975</v>
      </c>
      <c r="C3307" t="s">
        <v>25</v>
      </c>
      <c r="D3307" t="s">
        <v>14</v>
      </c>
      <c r="E3307" s="2">
        <v>24.15</v>
      </c>
      <c r="F3307" s="3">
        <v>73.680000000000007</v>
      </c>
      <c r="G3307" s="4">
        <v>263.49</v>
      </c>
      <c r="H3307">
        <v>2</v>
      </c>
      <c r="I3307" s="4">
        <v>526.98</v>
      </c>
      <c r="J3307">
        <v>4.5999999999999996</v>
      </c>
      <c r="K3307" t="s">
        <v>18</v>
      </c>
      <c r="L3307" t="s">
        <v>16</v>
      </c>
      <c r="O3307"/>
    </row>
    <row r="3308" spans="1:15" x14ac:dyDescent="0.3">
      <c r="A3308" t="s">
        <v>3332</v>
      </c>
      <c r="B3308" s="1">
        <v>45764</v>
      </c>
      <c r="C3308" t="s">
        <v>21</v>
      </c>
      <c r="D3308" t="s">
        <v>21</v>
      </c>
      <c r="E3308" s="2">
        <v>21.39</v>
      </c>
      <c r="F3308" s="3">
        <v>46.76</v>
      </c>
      <c r="G3308" s="4">
        <v>217.34</v>
      </c>
      <c r="H3308">
        <v>1</v>
      </c>
      <c r="I3308" s="4">
        <v>217.34</v>
      </c>
      <c r="J3308">
        <v>3.4</v>
      </c>
      <c r="K3308" t="s">
        <v>36</v>
      </c>
      <c r="L3308" t="s">
        <v>19</v>
      </c>
      <c r="O3308"/>
    </row>
    <row r="3309" spans="1:15" x14ac:dyDescent="0.3">
      <c r="A3309" t="s">
        <v>3333</v>
      </c>
      <c r="B3309" s="1">
        <v>45808</v>
      </c>
      <c r="C3309" t="s">
        <v>21</v>
      </c>
      <c r="D3309" t="s">
        <v>21</v>
      </c>
      <c r="E3309" s="2">
        <v>22.03</v>
      </c>
      <c r="F3309" s="3">
        <v>68.599999999999994</v>
      </c>
      <c r="G3309" s="4">
        <v>336.17</v>
      </c>
      <c r="H3309">
        <v>1.2</v>
      </c>
      <c r="I3309" s="4">
        <v>403.4</v>
      </c>
      <c r="J3309">
        <v>4.0999999999999996</v>
      </c>
      <c r="K3309" t="s">
        <v>33</v>
      </c>
      <c r="L3309" t="s">
        <v>16</v>
      </c>
      <c r="O3309"/>
    </row>
    <row r="3310" spans="1:15" x14ac:dyDescent="0.3">
      <c r="A3310" t="s">
        <v>3334</v>
      </c>
      <c r="B3310" s="1">
        <v>45687</v>
      </c>
      <c r="C3310" t="s">
        <v>22</v>
      </c>
      <c r="D3310" t="s">
        <v>13</v>
      </c>
      <c r="E3310" s="2">
        <v>12.61</v>
      </c>
      <c r="F3310" s="3">
        <v>43.89</v>
      </c>
      <c r="G3310" s="4">
        <v>158.19</v>
      </c>
      <c r="H3310">
        <v>1.5</v>
      </c>
      <c r="I3310" s="4">
        <v>237.28</v>
      </c>
      <c r="J3310">
        <v>4.5999999999999996</v>
      </c>
      <c r="K3310" t="s">
        <v>36</v>
      </c>
      <c r="L3310" t="s">
        <v>19</v>
      </c>
      <c r="O3310"/>
    </row>
    <row r="3311" spans="1:15" x14ac:dyDescent="0.3">
      <c r="A3311" t="s">
        <v>3335</v>
      </c>
      <c r="B3311" s="1">
        <v>45746</v>
      </c>
      <c r="C3311" t="s">
        <v>13</v>
      </c>
      <c r="D3311" t="s">
        <v>13</v>
      </c>
      <c r="E3311" s="2">
        <v>29</v>
      </c>
      <c r="F3311" s="3">
        <v>68.48</v>
      </c>
      <c r="G3311" s="4">
        <v>462.42</v>
      </c>
      <c r="H3311">
        <v>1.2</v>
      </c>
      <c r="I3311" s="4">
        <v>554.9</v>
      </c>
      <c r="J3311">
        <v>3.7</v>
      </c>
      <c r="K3311" t="s">
        <v>30</v>
      </c>
      <c r="L3311" t="s">
        <v>28</v>
      </c>
      <c r="O3311"/>
    </row>
    <row r="3312" spans="1:15" x14ac:dyDescent="0.3">
      <c r="A3312" t="s">
        <v>3336</v>
      </c>
      <c r="B3312" s="1">
        <v>45839</v>
      </c>
      <c r="C3312" t="s">
        <v>14</v>
      </c>
      <c r="D3312" t="s">
        <v>25</v>
      </c>
      <c r="E3312" s="2">
        <v>17.399999999999999</v>
      </c>
      <c r="F3312" s="3">
        <v>62.03</v>
      </c>
      <c r="G3312" s="4">
        <v>178.01</v>
      </c>
      <c r="H3312">
        <v>2</v>
      </c>
      <c r="I3312" s="4">
        <v>356.02</v>
      </c>
      <c r="J3312">
        <v>4.3</v>
      </c>
      <c r="K3312" t="s">
        <v>36</v>
      </c>
      <c r="L3312" t="s">
        <v>16</v>
      </c>
      <c r="O3312"/>
    </row>
    <row r="3313" spans="1:15" x14ac:dyDescent="0.3">
      <c r="A3313" t="s">
        <v>3337</v>
      </c>
      <c r="B3313" s="1">
        <v>45860</v>
      </c>
      <c r="C3313" t="s">
        <v>22</v>
      </c>
      <c r="D3313" t="s">
        <v>13</v>
      </c>
      <c r="E3313" s="2">
        <v>22.78</v>
      </c>
      <c r="F3313" s="3">
        <v>80.2</v>
      </c>
      <c r="G3313" s="4">
        <v>316.43</v>
      </c>
      <c r="H3313">
        <v>2</v>
      </c>
      <c r="I3313" s="4">
        <v>632.86</v>
      </c>
      <c r="J3313">
        <v>4.3</v>
      </c>
      <c r="K3313" t="s">
        <v>30</v>
      </c>
      <c r="L3313" t="s">
        <v>26</v>
      </c>
      <c r="O3313"/>
    </row>
    <row r="3314" spans="1:15" x14ac:dyDescent="0.3">
      <c r="A3314" t="s">
        <v>3338</v>
      </c>
      <c r="B3314" s="1">
        <v>45835</v>
      </c>
      <c r="C3314" t="s">
        <v>25</v>
      </c>
      <c r="D3314" t="s">
        <v>25</v>
      </c>
      <c r="E3314" s="2">
        <v>27.06</v>
      </c>
      <c r="F3314" s="3">
        <v>63.71</v>
      </c>
      <c r="G3314" s="4">
        <v>349.71</v>
      </c>
      <c r="H3314">
        <v>1</v>
      </c>
      <c r="I3314" s="4">
        <v>349.71</v>
      </c>
      <c r="J3314">
        <v>3.7</v>
      </c>
      <c r="K3314" t="s">
        <v>33</v>
      </c>
      <c r="L3314" t="s">
        <v>28</v>
      </c>
      <c r="O3314"/>
    </row>
    <row r="3315" spans="1:15" x14ac:dyDescent="0.3">
      <c r="A3315" t="s">
        <v>3339</v>
      </c>
      <c r="B3315" s="1">
        <v>46004</v>
      </c>
      <c r="C3315" t="s">
        <v>21</v>
      </c>
      <c r="D3315" t="s">
        <v>21</v>
      </c>
      <c r="E3315" s="2">
        <v>13.3</v>
      </c>
      <c r="F3315" s="3">
        <v>39.700000000000003</v>
      </c>
      <c r="G3315" s="4">
        <v>246.89</v>
      </c>
      <c r="H3315">
        <v>1.5</v>
      </c>
      <c r="I3315" s="4">
        <v>370.34</v>
      </c>
      <c r="J3315">
        <v>4.2</v>
      </c>
      <c r="K3315" t="s">
        <v>15</v>
      </c>
      <c r="L3315" t="s">
        <v>26</v>
      </c>
      <c r="O3315"/>
    </row>
    <row r="3316" spans="1:15" x14ac:dyDescent="0.3">
      <c r="A3316" t="s">
        <v>3340</v>
      </c>
      <c r="B3316" s="1">
        <v>45787</v>
      </c>
      <c r="C3316" t="s">
        <v>22</v>
      </c>
      <c r="D3316" t="s">
        <v>13</v>
      </c>
      <c r="E3316" s="2">
        <v>8.18</v>
      </c>
      <c r="F3316" s="3">
        <v>23.05</v>
      </c>
      <c r="G3316" s="4">
        <v>123.99</v>
      </c>
      <c r="H3316">
        <v>1.5</v>
      </c>
      <c r="I3316" s="4">
        <v>185.98</v>
      </c>
      <c r="J3316">
        <v>4.9000000000000004</v>
      </c>
      <c r="K3316" t="s">
        <v>15</v>
      </c>
      <c r="L3316" t="s">
        <v>28</v>
      </c>
      <c r="O3316"/>
    </row>
    <row r="3317" spans="1:15" x14ac:dyDescent="0.3">
      <c r="A3317" t="s">
        <v>3341</v>
      </c>
      <c r="B3317" s="1">
        <v>45955</v>
      </c>
      <c r="C3317" t="s">
        <v>21</v>
      </c>
      <c r="D3317" t="s">
        <v>21</v>
      </c>
      <c r="E3317" s="2">
        <v>22.73</v>
      </c>
      <c r="F3317" s="3">
        <v>65.28</v>
      </c>
      <c r="G3317" s="4">
        <v>252.3</v>
      </c>
      <c r="H3317">
        <v>1.2</v>
      </c>
      <c r="I3317" s="4">
        <v>302.76</v>
      </c>
      <c r="J3317">
        <v>4.5999999999999996</v>
      </c>
      <c r="K3317" t="s">
        <v>15</v>
      </c>
      <c r="L3317" t="s">
        <v>19</v>
      </c>
      <c r="O3317"/>
    </row>
    <row r="3318" spans="1:15" x14ac:dyDescent="0.3">
      <c r="A3318" t="s">
        <v>3342</v>
      </c>
      <c r="B3318" s="1">
        <v>45783</v>
      </c>
      <c r="C3318" t="s">
        <v>14</v>
      </c>
      <c r="D3318" t="s">
        <v>13</v>
      </c>
      <c r="E3318" s="2">
        <v>15.12</v>
      </c>
      <c r="F3318" s="3">
        <v>44.18</v>
      </c>
      <c r="G3318" s="4">
        <v>216.73</v>
      </c>
      <c r="H3318">
        <v>1.5</v>
      </c>
      <c r="I3318" s="4">
        <v>325.08999999999997</v>
      </c>
      <c r="J3318">
        <v>4.4000000000000004</v>
      </c>
      <c r="K3318" t="s">
        <v>30</v>
      </c>
      <c r="L3318" t="s">
        <v>19</v>
      </c>
      <c r="O3318"/>
    </row>
    <row r="3319" spans="1:15" x14ac:dyDescent="0.3">
      <c r="A3319" t="s">
        <v>3343</v>
      </c>
      <c r="B3319" s="1">
        <v>45879</v>
      </c>
      <c r="C3319" t="s">
        <v>13</v>
      </c>
      <c r="D3319" t="s">
        <v>25</v>
      </c>
      <c r="E3319" s="2">
        <v>9.65</v>
      </c>
      <c r="F3319" s="3">
        <v>31.17</v>
      </c>
      <c r="G3319" s="4">
        <v>119.61</v>
      </c>
      <c r="H3319">
        <v>1.2</v>
      </c>
      <c r="I3319" s="4">
        <v>143.53</v>
      </c>
      <c r="J3319">
        <v>4.8</v>
      </c>
      <c r="K3319" t="s">
        <v>33</v>
      </c>
      <c r="L3319" t="s">
        <v>26</v>
      </c>
      <c r="O3319"/>
    </row>
    <row r="3320" spans="1:15" x14ac:dyDescent="0.3">
      <c r="A3320" t="s">
        <v>3344</v>
      </c>
      <c r="B3320" s="1">
        <v>45816</v>
      </c>
      <c r="C3320" t="s">
        <v>21</v>
      </c>
      <c r="D3320" t="s">
        <v>14</v>
      </c>
      <c r="E3320" s="2">
        <v>8.69</v>
      </c>
      <c r="F3320" s="3">
        <v>18.02</v>
      </c>
      <c r="G3320" s="4">
        <v>157.75</v>
      </c>
      <c r="H3320">
        <v>1.2</v>
      </c>
      <c r="I3320" s="4">
        <v>189.3</v>
      </c>
      <c r="J3320">
        <v>4.5</v>
      </c>
      <c r="K3320" t="s">
        <v>33</v>
      </c>
      <c r="L3320" t="s">
        <v>16</v>
      </c>
      <c r="O3320"/>
    </row>
    <row r="3321" spans="1:15" x14ac:dyDescent="0.3">
      <c r="A3321" t="s">
        <v>3345</v>
      </c>
      <c r="B3321" s="1">
        <v>45835</v>
      </c>
      <c r="C3321" t="s">
        <v>14</v>
      </c>
      <c r="D3321" t="s">
        <v>14</v>
      </c>
      <c r="E3321" s="2">
        <v>14.84</v>
      </c>
      <c r="F3321" s="3">
        <v>42.52</v>
      </c>
      <c r="G3321" s="4">
        <v>256.08999999999997</v>
      </c>
      <c r="H3321">
        <v>2</v>
      </c>
      <c r="I3321" s="4">
        <v>512.17999999999995</v>
      </c>
      <c r="J3321">
        <v>4.7</v>
      </c>
      <c r="K3321" t="s">
        <v>33</v>
      </c>
      <c r="L3321" t="s">
        <v>16</v>
      </c>
      <c r="O3321"/>
    </row>
    <row r="3322" spans="1:15" x14ac:dyDescent="0.3">
      <c r="A3322" t="s">
        <v>3346</v>
      </c>
      <c r="B3322" s="1">
        <v>45751</v>
      </c>
      <c r="C3322" t="s">
        <v>22</v>
      </c>
      <c r="D3322" t="s">
        <v>13</v>
      </c>
      <c r="E3322" s="2">
        <v>2.5</v>
      </c>
      <c r="F3322" s="3">
        <v>8.84</v>
      </c>
      <c r="G3322" s="4">
        <v>33.81</v>
      </c>
      <c r="H3322">
        <v>1.2</v>
      </c>
      <c r="I3322" s="4">
        <v>40.57</v>
      </c>
      <c r="J3322">
        <v>3.6</v>
      </c>
      <c r="K3322" t="s">
        <v>33</v>
      </c>
      <c r="L3322" t="s">
        <v>26</v>
      </c>
      <c r="O3322"/>
    </row>
    <row r="3323" spans="1:15" x14ac:dyDescent="0.3">
      <c r="A3323" t="s">
        <v>3347</v>
      </c>
      <c r="B3323" s="1">
        <v>45849</v>
      </c>
      <c r="C3323" t="s">
        <v>22</v>
      </c>
      <c r="D3323" t="s">
        <v>13</v>
      </c>
      <c r="E3323" s="2">
        <v>21.81</v>
      </c>
      <c r="F3323" s="3">
        <v>84.6</v>
      </c>
      <c r="G3323" s="4">
        <v>360.12</v>
      </c>
      <c r="H3323">
        <v>1.2</v>
      </c>
      <c r="I3323" s="4">
        <v>432.14</v>
      </c>
      <c r="J3323">
        <v>4</v>
      </c>
      <c r="K3323" t="s">
        <v>36</v>
      </c>
      <c r="L3323" t="s">
        <v>19</v>
      </c>
      <c r="O3323"/>
    </row>
    <row r="3324" spans="1:15" x14ac:dyDescent="0.3">
      <c r="A3324" t="s">
        <v>3348</v>
      </c>
      <c r="B3324" s="1">
        <v>45719</v>
      </c>
      <c r="C3324" t="s">
        <v>25</v>
      </c>
      <c r="D3324" t="s">
        <v>21</v>
      </c>
      <c r="E3324" s="2">
        <v>16.760000000000002</v>
      </c>
      <c r="F3324" s="3">
        <v>53.12</v>
      </c>
      <c r="G3324" s="4">
        <v>192.21</v>
      </c>
      <c r="H3324">
        <v>1.2</v>
      </c>
      <c r="I3324" s="4">
        <v>230.65</v>
      </c>
      <c r="J3324">
        <v>3.8</v>
      </c>
      <c r="K3324" t="s">
        <v>36</v>
      </c>
      <c r="L3324" t="s">
        <v>26</v>
      </c>
      <c r="O3324"/>
    </row>
    <row r="3325" spans="1:15" x14ac:dyDescent="0.3">
      <c r="A3325" t="s">
        <v>3349</v>
      </c>
      <c r="B3325" s="1">
        <v>45795</v>
      </c>
      <c r="C3325" t="s">
        <v>25</v>
      </c>
      <c r="D3325" t="s">
        <v>25</v>
      </c>
      <c r="E3325" s="2">
        <v>1.42</v>
      </c>
      <c r="F3325" s="3">
        <v>4.6100000000000003</v>
      </c>
      <c r="G3325" s="4">
        <v>15.86</v>
      </c>
      <c r="H3325">
        <v>1.2</v>
      </c>
      <c r="I3325" s="4">
        <v>19.03</v>
      </c>
      <c r="J3325">
        <v>4</v>
      </c>
      <c r="K3325" t="s">
        <v>36</v>
      </c>
      <c r="L3325" t="s">
        <v>16</v>
      </c>
      <c r="O3325"/>
    </row>
    <row r="3326" spans="1:15" x14ac:dyDescent="0.3">
      <c r="A3326" t="s">
        <v>3350</v>
      </c>
      <c r="B3326" s="1">
        <v>45968</v>
      </c>
      <c r="C3326" t="s">
        <v>14</v>
      </c>
      <c r="D3326" t="s">
        <v>25</v>
      </c>
      <c r="E3326" s="2">
        <v>16.95</v>
      </c>
      <c r="F3326" s="3">
        <v>43.04</v>
      </c>
      <c r="G3326" s="4">
        <v>302.76</v>
      </c>
      <c r="H3326">
        <v>1.2</v>
      </c>
      <c r="I3326" s="4">
        <v>363.31</v>
      </c>
      <c r="J3326">
        <v>4</v>
      </c>
      <c r="K3326" t="s">
        <v>18</v>
      </c>
      <c r="L3326" t="s">
        <v>26</v>
      </c>
      <c r="O3326"/>
    </row>
    <row r="3327" spans="1:15" x14ac:dyDescent="0.3">
      <c r="A3327" t="s">
        <v>3351</v>
      </c>
      <c r="B3327" s="1">
        <v>45765</v>
      </c>
      <c r="C3327" t="s">
        <v>13</v>
      </c>
      <c r="D3327" t="s">
        <v>13</v>
      </c>
      <c r="E3327" s="2">
        <v>18.7</v>
      </c>
      <c r="F3327" s="3">
        <v>43.76</v>
      </c>
      <c r="G3327" s="4">
        <v>356.26</v>
      </c>
      <c r="H3327">
        <v>2</v>
      </c>
      <c r="I3327" s="4">
        <v>712.52</v>
      </c>
      <c r="J3327">
        <v>3.5</v>
      </c>
      <c r="K3327" t="s">
        <v>15</v>
      </c>
      <c r="L3327" t="s">
        <v>26</v>
      </c>
      <c r="O3327"/>
    </row>
    <row r="3328" spans="1:15" x14ac:dyDescent="0.3">
      <c r="A3328" t="s">
        <v>3352</v>
      </c>
      <c r="B3328" s="1">
        <v>45687</v>
      </c>
      <c r="C3328" t="s">
        <v>13</v>
      </c>
      <c r="D3328" t="s">
        <v>22</v>
      </c>
      <c r="E3328" s="2">
        <v>1.21</v>
      </c>
      <c r="F3328" s="3">
        <v>3.06</v>
      </c>
      <c r="G3328" s="4">
        <v>14.52</v>
      </c>
      <c r="H3328">
        <v>1.5</v>
      </c>
      <c r="I3328" s="4">
        <v>21.78</v>
      </c>
      <c r="J3328">
        <v>4.4000000000000004</v>
      </c>
      <c r="K3328" t="s">
        <v>36</v>
      </c>
      <c r="L3328" t="s">
        <v>26</v>
      </c>
      <c r="O3328"/>
    </row>
    <row r="3329" spans="1:15" x14ac:dyDescent="0.3">
      <c r="A3329" t="s">
        <v>3353</v>
      </c>
      <c r="B3329" s="1">
        <v>45756</v>
      </c>
      <c r="C3329" t="s">
        <v>13</v>
      </c>
      <c r="D3329" t="s">
        <v>22</v>
      </c>
      <c r="E3329" s="2">
        <v>21.14</v>
      </c>
      <c r="F3329" s="3">
        <v>51.34</v>
      </c>
      <c r="G3329" s="4">
        <v>356.71</v>
      </c>
      <c r="H3329">
        <v>1</v>
      </c>
      <c r="I3329" s="4">
        <v>356.71</v>
      </c>
      <c r="J3329">
        <v>4.3</v>
      </c>
      <c r="K3329" t="s">
        <v>30</v>
      </c>
      <c r="L3329" t="s">
        <v>26</v>
      </c>
      <c r="O3329"/>
    </row>
    <row r="3330" spans="1:15" x14ac:dyDescent="0.3">
      <c r="A3330" t="s">
        <v>3354</v>
      </c>
      <c r="B3330" s="1">
        <v>45957</v>
      </c>
      <c r="C3330" t="s">
        <v>22</v>
      </c>
      <c r="D3330" t="s">
        <v>25</v>
      </c>
      <c r="E3330" s="2">
        <v>13.7</v>
      </c>
      <c r="F3330" s="3">
        <v>42.96</v>
      </c>
      <c r="G3330" s="4">
        <v>204.58</v>
      </c>
      <c r="H3330">
        <v>1.2</v>
      </c>
      <c r="I3330" s="4">
        <v>245.5</v>
      </c>
      <c r="J3330">
        <v>4.5999999999999996</v>
      </c>
      <c r="K3330" t="s">
        <v>15</v>
      </c>
      <c r="L3330" t="s">
        <v>26</v>
      </c>
      <c r="O3330"/>
    </row>
    <row r="3331" spans="1:15" x14ac:dyDescent="0.3">
      <c r="A3331" t="s">
        <v>3355</v>
      </c>
      <c r="B3331" s="1">
        <v>45885</v>
      </c>
      <c r="C3331" t="s">
        <v>21</v>
      </c>
      <c r="D3331" t="s">
        <v>21</v>
      </c>
      <c r="E3331" s="2">
        <v>16.68</v>
      </c>
      <c r="F3331" s="3">
        <v>48.38</v>
      </c>
      <c r="G3331" s="4">
        <v>243.7</v>
      </c>
      <c r="H3331">
        <v>1</v>
      </c>
      <c r="I3331" s="4">
        <v>243.7</v>
      </c>
      <c r="J3331">
        <v>3.8</v>
      </c>
      <c r="K3331" t="s">
        <v>18</v>
      </c>
      <c r="L3331" t="s">
        <v>16</v>
      </c>
      <c r="O3331"/>
    </row>
    <row r="3332" spans="1:15" x14ac:dyDescent="0.3">
      <c r="A3332" t="s">
        <v>3356</v>
      </c>
      <c r="B3332" s="1">
        <v>46014</v>
      </c>
      <c r="C3332" t="s">
        <v>13</v>
      </c>
      <c r="D3332" t="s">
        <v>25</v>
      </c>
      <c r="E3332" s="2">
        <v>7.61</v>
      </c>
      <c r="F3332" s="3">
        <v>27.48</v>
      </c>
      <c r="G3332" s="4">
        <v>124.67</v>
      </c>
      <c r="H3332">
        <v>1.2</v>
      </c>
      <c r="I3332" s="4">
        <v>149.6</v>
      </c>
      <c r="J3332">
        <v>4.5</v>
      </c>
      <c r="K3332" t="s">
        <v>18</v>
      </c>
      <c r="L3332" t="s">
        <v>16</v>
      </c>
      <c r="O3332"/>
    </row>
    <row r="3333" spans="1:15" x14ac:dyDescent="0.3">
      <c r="A3333" t="s">
        <v>3357</v>
      </c>
      <c r="B3333" s="1">
        <v>45879</v>
      </c>
      <c r="C3333" t="s">
        <v>25</v>
      </c>
      <c r="D3333" t="s">
        <v>13</v>
      </c>
      <c r="E3333" s="2">
        <v>10.210000000000001</v>
      </c>
      <c r="F3333" s="3">
        <v>23.27</v>
      </c>
      <c r="G3333" s="4">
        <v>109.78</v>
      </c>
      <c r="H3333">
        <v>1</v>
      </c>
      <c r="I3333" s="4">
        <v>109.78</v>
      </c>
      <c r="J3333">
        <v>4.5</v>
      </c>
      <c r="K3333" t="s">
        <v>36</v>
      </c>
      <c r="L3333" t="s">
        <v>19</v>
      </c>
      <c r="O3333"/>
    </row>
    <row r="3334" spans="1:15" x14ac:dyDescent="0.3">
      <c r="A3334" t="s">
        <v>3358</v>
      </c>
      <c r="B3334" s="1">
        <v>45706</v>
      </c>
      <c r="C3334" t="s">
        <v>13</v>
      </c>
      <c r="D3334" t="s">
        <v>22</v>
      </c>
      <c r="E3334" s="2">
        <v>1.87</v>
      </c>
      <c r="F3334" s="3">
        <v>6.48</v>
      </c>
      <c r="G3334" s="4">
        <v>23.35</v>
      </c>
      <c r="H3334">
        <v>1.2</v>
      </c>
      <c r="I3334" s="4">
        <v>28.02</v>
      </c>
      <c r="J3334">
        <v>3.6</v>
      </c>
      <c r="K3334" t="s">
        <v>33</v>
      </c>
      <c r="L3334" t="s">
        <v>26</v>
      </c>
      <c r="O3334"/>
    </row>
    <row r="3335" spans="1:15" x14ac:dyDescent="0.3">
      <c r="A3335" t="s">
        <v>3359</v>
      </c>
      <c r="B3335" s="1">
        <v>45760</v>
      </c>
      <c r="C3335" t="s">
        <v>21</v>
      </c>
      <c r="D3335" t="s">
        <v>13</v>
      </c>
      <c r="E3335" s="2">
        <v>25.23</v>
      </c>
      <c r="F3335" s="3">
        <v>82.73</v>
      </c>
      <c r="G3335" s="4">
        <v>338.59</v>
      </c>
      <c r="H3335">
        <v>1.2</v>
      </c>
      <c r="I3335" s="4">
        <v>406.31</v>
      </c>
      <c r="J3335">
        <v>4</v>
      </c>
      <c r="K3335" t="s">
        <v>15</v>
      </c>
      <c r="L3335" t="s">
        <v>26</v>
      </c>
      <c r="O3335"/>
    </row>
    <row r="3336" spans="1:15" x14ac:dyDescent="0.3">
      <c r="A3336" t="s">
        <v>3360</v>
      </c>
      <c r="B3336" s="1">
        <v>45835</v>
      </c>
      <c r="C3336" t="s">
        <v>25</v>
      </c>
      <c r="D3336" t="s">
        <v>25</v>
      </c>
      <c r="E3336" s="2">
        <v>8.02</v>
      </c>
      <c r="F3336" s="3">
        <v>27.61</v>
      </c>
      <c r="G3336" s="4">
        <v>140.76</v>
      </c>
      <c r="H3336">
        <v>1.2</v>
      </c>
      <c r="I3336" s="4">
        <v>168.91</v>
      </c>
      <c r="J3336">
        <v>4.2</v>
      </c>
      <c r="K3336" t="s">
        <v>18</v>
      </c>
      <c r="L3336" t="s">
        <v>26</v>
      </c>
      <c r="O3336"/>
    </row>
    <row r="3337" spans="1:15" x14ac:dyDescent="0.3">
      <c r="A3337" t="s">
        <v>3361</v>
      </c>
      <c r="B3337" s="1">
        <v>45851</v>
      </c>
      <c r="C3337" t="s">
        <v>22</v>
      </c>
      <c r="D3337" t="s">
        <v>13</v>
      </c>
      <c r="E3337" s="2">
        <v>11.16</v>
      </c>
      <c r="F3337" s="3">
        <v>39.549999999999997</v>
      </c>
      <c r="G3337" s="4">
        <v>181.07</v>
      </c>
      <c r="H3337">
        <v>1.2</v>
      </c>
      <c r="I3337" s="4">
        <v>217.28</v>
      </c>
      <c r="J3337">
        <v>3.4</v>
      </c>
      <c r="K3337" t="s">
        <v>30</v>
      </c>
      <c r="L3337" t="s">
        <v>19</v>
      </c>
      <c r="O3337"/>
    </row>
    <row r="3338" spans="1:15" x14ac:dyDescent="0.3">
      <c r="A3338" t="s">
        <v>3362</v>
      </c>
      <c r="B3338" s="1">
        <v>45834</v>
      </c>
      <c r="C3338" t="s">
        <v>22</v>
      </c>
      <c r="D3338" t="s">
        <v>25</v>
      </c>
      <c r="E3338" s="2">
        <v>7.82</v>
      </c>
      <c r="F3338" s="3">
        <v>27.43</v>
      </c>
      <c r="G3338" s="4">
        <v>145.87</v>
      </c>
      <c r="H3338">
        <v>1</v>
      </c>
      <c r="I3338" s="4">
        <v>145.87</v>
      </c>
      <c r="J3338">
        <v>4</v>
      </c>
      <c r="K3338" t="s">
        <v>33</v>
      </c>
      <c r="L3338" t="s">
        <v>28</v>
      </c>
      <c r="O3338"/>
    </row>
    <row r="3339" spans="1:15" x14ac:dyDescent="0.3">
      <c r="A3339" t="s">
        <v>3363</v>
      </c>
      <c r="B3339" s="1">
        <v>45900</v>
      </c>
      <c r="C3339" t="s">
        <v>25</v>
      </c>
      <c r="D3339" t="s">
        <v>22</v>
      </c>
      <c r="E3339" s="2">
        <v>12.83</v>
      </c>
      <c r="F3339" s="3">
        <v>50.85</v>
      </c>
      <c r="G3339" s="4">
        <v>177</v>
      </c>
      <c r="H3339">
        <v>1.5</v>
      </c>
      <c r="I3339" s="4">
        <v>265.5</v>
      </c>
      <c r="J3339">
        <v>3.2</v>
      </c>
      <c r="K3339" t="s">
        <v>36</v>
      </c>
      <c r="L3339" t="s">
        <v>19</v>
      </c>
      <c r="O3339"/>
    </row>
    <row r="3340" spans="1:15" x14ac:dyDescent="0.3">
      <c r="A3340" t="s">
        <v>3364</v>
      </c>
      <c r="B3340" s="1">
        <v>45677</v>
      </c>
      <c r="C3340" t="s">
        <v>13</v>
      </c>
      <c r="D3340" t="s">
        <v>25</v>
      </c>
      <c r="E3340" s="2">
        <v>29.43</v>
      </c>
      <c r="F3340" s="3">
        <v>100.3</v>
      </c>
      <c r="G3340" s="4">
        <v>516.02</v>
      </c>
      <c r="H3340">
        <v>1.5</v>
      </c>
      <c r="I3340" s="4">
        <v>774.03</v>
      </c>
      <c r="J3340">
        <v>4.4000000000000004</v>
      </c>
      <c r="K3340" t="s">
        <v>18</v>
      </c>
      <c r="L3340" t="s">
        <v>28</v>
      </c>
      <c r="O3340"/>
    </row>
    <row r="3341" spans="1:15" x14ac:dyDescent="0.3">
      <c r="A3341" t="s">
        <v>3365</v>
      </c>
      <c r="B3341" s="1">
        <v>45708</v>
      </c>
      <c r="C3341" t="s">
        <v>22</v>
      </c>
      <c r="D3341" t="s">
        <v>21</v>
      </c>
      <c r="E3341" s="2">
        <v>23.47</v>
      </c>
      <c r="F3341" s="3">
        <v>78.47</v>
      </c>
      <c r="G3341" s="4">
        <v>303.20999999999998</v>
      </c>
      <c r="H3341">
        <v>1.5</v>
      </c>
      <c r="I3341" s="4">
        <v>454.81</v>
      </c>
      <c r="J3341">
        <v>4.8</v>
      </c>
      <c r="K3341" t="s">
        <v>36</v>
      </c>
      <c r="L3341" t="s">
        <v>26</v>
      </c>
      <c r="O3341"/>
    </row>
    <row r="3342" spans="1:15" x14ac:dyDescent="0.3">
      <c r="A3342" t="s">
        <v>3366</v>
      </c>
      <c r="B3342" s="1">
        <v>45989</v>
      </c>
      <c r="C3342" t="s">
        <v>22</v>
      </c>
      <c r="D3342" t="s">
        <v>22</v>
      </c>
      <c r="E3342" s="2">
        <v>14.68</v>
      </c>
      <c r="F3342" s="3">
        <v>36.520000000000003</v>
      </c>
      <c r="G3342" s="4">
        <v>198.05</v>
      </c>
      <c r="H3342">
        <v>1.2</v>
      </c>
      <c r="I3342" s="4">
        <v>237.66</v>
      </c>
      <c r="J3342">
        <v>3.8</v>
      </c>
      <c r="K3342" t="s">
        <v>15</v>
      </c>
      <c r="L3342" t="s">
        <v>26</v>
      </c>
      <c r="O3342"/>
    </row>
    <row r="3343" spans="1:15" x14ac:dyDescent="0.3">
      <c r="A3343" t="s">
        <v>3367</v>
      </c>
      <c r="B3343" s="1">
        <v>45776</v>
      </c>
      <c r="C3343" t="s">
        <v>22</v>
      </c>
      <c r="D3343" t="s">
        <v>14</v>
      </c>
      <c r="E3343" s="2">
        <v>3.22</v>
      </c>
      <c r="F3343" s="3">
        <v>12.36</v>
      </c>
      <c r="G3343" s="4">
        <v>49.28</v>
      </c>
      <c r="H3343">
        <v>1.5</v>
      </c>
      <c r="I3343" s="4">
        <v>73.92</v>
      </c>
      <c r="J3343">
        <v>5</v>
      </c>
      <c r="K3343" t="s">
        <v>30</v>
      </c>
      <c r="L3343" t="s">
        <v>19</v>
      </c>
      <c r="O3343"/>
    </row>
    <row r="3344" spans="1:15" x14ac:dyDescent="0.3">
      <c r="A3344" t="s">
        <v>3368</v>
      </c>
      <c r="B3344" s="1">
        <v>45817</v>
      </c>
      <c r="C3344" t="s">
        <v>22</v>
      </c>
      <c r="D3344" t="s">
        <v>22</v>
      </c>
      <c r="E3344" s="2">
        <v>19.22</v>
      </c>
      <c r="F3344" s="3">
        <v>73.88</v>
      </c>
      <c r="G3344" s="4">
        <v>226.54</v>
      </c>
      <c r="H3344">
        <v>1.2</v>
      </c>
      <c r="I3344" s="4">
        <v>271.85000000000002</v>
      </c>
      <c r="J3344">
        <v>4.7</v>
      </c>
      <c r="K3344" t="s">
        <v>36</v>
      </c>
      <c r="L3344" t="s">
        <v>16</v>
      </c>
      <c r="O3344"/>
    </row>
    <row r="3345" spans="1:15" x14ac:dyDescent="0.3">
      <c r="A3345" t="s">
        <v>3369</v>
      </c>
      <c r="B3345" s="1">
        <v>45985</v>
      </c>
      <c r="C3345" t="s">
        <v>14</v>
      </c>
      <c r="D3345" t="s">
        <v>14</v>
      </c>
      <c r="E3345" s="2">
        <v>11.76</v>
      </c>
      <c r="F3345" s="3">
        <v>24.05</v>
      </c>
      <c r="G3345" s="4">
        <v>134.96</v>
      </c>
      <c r="H3345">
        <v>1</v>
      </c>
      <c r="I3345" s="4">
        <v>134.96</v>
      </c>
      <c r="J3345">
        <v>4.4000000000000004</v>
      </c>
      <c r="K3345" t="s">
        <v>15</v>
      </c>
      <c r="L3345" t="s">
        <v>26</v>
      </c>
      <c r="O3345"/>
    </row>
    <row r="3346" spans="1:15" x14ac:dyDescent="0.3">
      <c r="A3346" t="s">
        <v>3370</v>
      </c>
      <c r="B3346" s="1">
        <v>45755</v>
      </c>
      <c r="C3346" t="s">
        <v>21</v>
      </c>
      <c r="D3346" t="s">
        <v>14</v>
      </c>
      <c r="E3346" s="2">
        <v>22.95</v>
      </c>
      <c r="F3346" s="3">
        <v>71</v>
      </c>
      <c r="G3346" s="4">
        <v>293.5</v>
      </c>
      <c r="H3346">
        <v>1.2</v>
      </c>
      <c r="I3346" s="4">
        <v>352.2</v>
      </c>
      <c r="J3346">
        <v>3.1</v>
      </c>
      <c r="K3346" t="s">
        <v>36</v>
      </c>
      <c r="L3346" t="s">
        <v>19</v>
      </c>
      <c r="O3346"/>
    </row>
    <row r="3347" spans="1:15" x14ac:dyDescent="0.3">
      <c r="A3347" t="s">
        <v>3371</v>
      </c>
      <c r="B3347" s="1">
        <v>45764</v>
      </c>
      <c r="C3347" t="s">
        <v>13</v>
      </c>
      <c r="D3347" t="s">
        <v>14</v>
      </c>
      <c r="E3347" s="2">
        <v>8.3800000000000008</v>
      </c>
      <c r="F3347" s="3">
        <v>30.27</v>
      </c>
      <c r="G3347" s="4">
        <v>146.66</v>
      </c>
      <c r="H3347">
        <v>2</v>
      </c>
      <c r="I3347" s="4">
        <v>293.32</v>
      </c>
      <c r="J3347">
        <v>3.9</v>
      </c>
      <c r="K3347" t="s">
        <v>33</v>
      </c>
      <c r="L3347" t="s">
        <v>26</v>
      </c>
      <c r="O3347"/>
    </row>
    <row r="3348" spans="1:15" x14ac:dyDescent="0.3">
      <c r="A3348" t="s">
        <v>3372</v>
      </c>
      <c r="B3348" s="1">
        <v>45937</v>
      </c>
      <c r="C3348" t="s">
        <v>21</v>
      </c>
      <c r="D3348" t="s">
        <v>14</v>
      </c>
      <c r="E3348" s="2">
        <v>15.11</v>
      </c>
      <c r="F3348" s="3">
        <v>50.59</v>
      </c>
      <c r="G3348" s="4">
        <v>275.58999999999997</v>
      </c>
      <c r="H3348">
        <v>2</v>
      </c>
      <c r="I3348" s="4">
        <v>551.17999999999995</v>
      </c>
      <c r="J3348">
        <v>3.3</v>
      </c>
      <c r="K3348" t="s">
        <v>18</v>
      </c>
      <c r="L3348" t="s">
        <v>28</v>
      </c>
      <c r="O3348"/>
    </row>
    <row r="3349" spans="1:15" x14ac:dyDescent="0.3">
      <c r="A3349" t="s">
        <v>3373</v>
      </c>
      <c r="B3349" s="1">
        <v>45739</v>
      </c>
      <c r="C3349" t="s">
        <v>22</v>
      </c>
      <c r="D3349" t="s">
        <v>14</v>
      </c>
      <c r="E3349" s="2">
        <v>23.64</v>
      </c>
      <c r="F3349" s="3">
        <v>79.72</v>
      </c>
      <c r="G3349" s="4">
        <v>343.05</v>
      </c>
      <c r="H3349">
        <v>1.5</v>
      </c>
      <c r="I3349" s="4">
        <v>514.58000000000004</v>
      </c>
      <c r="J3349">
        <v>3.8</v>
      </c>
      <c r="K3349" t="s">
        <v>15</v>
      </c>
      <c r="L3349" t="s">
        <v>19</v>
      </c>
      <c r="O3349"/>
    </row>
    <row r="3350" spans="1:15" x14ac:dyDescent="0.3">
      <c r="A3350" t="s">
        <v>3374</v>
      </c>
      <c r="B3350" s="1">
        <v>45718</v>
      </c>
      <c r="C3350" t="s">
        <v>14</v>
      </c>
      <c r="D3350" t="s">
        <v>22</v>
      </c>
      <c r="E3350" s="2">
        <v>1.19</v>
      </c>
      <c r="F3350" s="3">
        <v>3.64</v>
      </c>
      <c r="G3350" s="4">
        <v>16.87</v>
      </c>
      <c r="H3350">
        <v>1.2</v>
      </c>
      <c r="I3350" s="4">
        <v>20.239999999999998</v>
      </c>
      <c r="J3350">
        <v>3.6</v>
      </c>
      <c r="K3350" t="s">
        <v>18</v>
      </c>
      <c r="L3350" t="s">
        <v>26</v>
      </c>
      <c r="O3350"/>
    </row>
    <row r="3351" spans="1:15" x14ac:dyDescent="0.3">
      <c r="A3351" t="s">
        <v>3375</v>
      </c>
      <c r="B3351" s="1">
        <v>45731</v>
      </c>
      <c r="C3351" t="s">
        <v>13</v>
      </c>
      <c r="D3351" t="s">
        <v>25</v>
      </c>
      <c r="E3351" s="2">
        <v>28.16</v>
      </c>
      <c r="F3351" s="3">
        <v>67.37</v>
      </c>
      <c r="G3351" s="4">
        <v>560.42999999999995</v>
      </c>
      <c r="H3351">
        <v>1.2</v>
      </c>
      <c r="I3351" s="4">
        <v>672.52</v>
      </c>
      <c r="J3351">
        <v>3.8</v>
      </c>
      <c r="K3351" t="s">
        <v>18</v>
      </c>
      <c r="L3351" t="s">
        <v>28</v>
      </c>
      <c r="O3351"/>
    </row>
    <row r="3352" spans="1:15" x14ac:dyDescent="0.3">
      <c r="A3352" t="s">
        <v>3376</v>
      </c>
      <c r="B3352" s="1">
        <v>45973</v>
      </c>
      <c r="C3352" t="s">
        <v>14</v>
      </c>
      <c r="D3352" t="s">
        <v>21</v>
      </c>
      <c r="E3352" s="2">
        <v>15.55</v>
      </c>
      <c r="F3352" s="3">
        <v>42.28</v>
      </c>
      <c r="G3352" s="4">
        <v>177.16</v>
      </c>
      <c r="H3352">
        <v>2</v>
      </c>
      <c r="I3352" s="4">
        <v>354.32</v>
      </c>
      <c r="J3352">
        <v>3.9</v>
      </c>
      <c r="K3352" t="s">
        <v>18</v>
      </c>
      <c r="L3352" t="s">
        <v>28</v>
      </c>
      <c r="O3352"/>
    </row>
    <row r="3353" spans="1:15" x14ac:dyDescent="0.3">
      <c r="A3353" t="s">
        <v>3377</v>
      </c>
      <c r="B3353" s="1">
        <v>45825</v>
      </c>
      <c r="C3353" t="s">
        <v>25</v>
      </c>
      <c r="D3353" t="s">
        <v>22</v>
      </c>
      <c r="E3353" s="2">
        <v>11.95</v>
      </c>
      <c r="F3353" s="3">
        <v>46.88</v>
      </c>
      <c r="G3353" s="4">
        <v>158.41</v>
      </c>
      <c r="H3353">
        <v>1.2</v>
      </c>
      <c r="I3353" s="4">
        <v>190.09</v>
      </c>
      <c r="J3353">
        <v>3.7</v>
      </c>
      <c r="K3353" t="s">
        <v>18</v>
      </c>
      <c r="L3353" t="s">
        <v>19</v>
      </c>
      <c r="O3353"/>
    </row>
    <row r="3354" spans="1:15" x14ac:dyDescent="0.3">
      <c r="A3354" t="s">
        <v>3378</v>
      </c>
      <c r="B3354" s="1">
        <v>45969</v>
      </c>
      <c r="C3354" t="s">
        <v>13</v>
      </c>
      <c r="D3354" t="s">
        <v>14</v>
      </c>
      <c r="E3354" s="2">
        <v>10.44</v>
      </c>
      <c r="F3354" s="3">
        <v>30.8</v>
      </c>
      <c r="G3354" s="4">
        <v>144.96</v>
      </c>
      <c r="H3354">
        <v>1</v>
      </c>
      <c r="I3354" s="4">
        <v>144.96</v>
      </c>
      <c r="J3354">
        <v>3.3</v>
      </c>
      <c r="K3354" t="s">
        <v>30</v>
      </c>
      <c r="L3354" t="s">
        <v>28</v>
      </c>
      <c r="O3354"/>
    </row>
    <row r="3355" spans="1:15" x14ac:dyDescent="0.3">
      <c r="A3355" t="s">
        <v>3379</v>
      </c>
      <c r="B3355" s="1">
        <v>45749</v>
      </c>
      <c r="C3355" t="s">
        <v>21</v>
      </c>
      <c r="D3355" t="s">
        <v>22</v>
      </c>
      <c r="E3355" s="2">
        <v>11.44</v>
      </c>
      <c r="F3355" s="3">
        <v>43.23</v>
      </c>
      <c r="G3355" s="4">
        <v>193.38</v>
      </c>
      <c r="H3355">
        <v>1</v>
      </c>
      <c r="I3355" s="4">
        <v>193.38</v>
      </c>
      <c r="J3355">
        <v>4.5</v>
      </c>
      <c r="K3355" t="s">
        <v>33</v>
      </c>
      <c r="L3355" t="s">
        <v>28</v>
      </c>
      <c r="O3355"/>
    </row>
    <row r="3356" spans="1:15" x14ac:dyDescent="0.3">
      <c r="A3356" t="s">
        <v>3380</v>
      </c>
      <c r="B3356" s="1">
        <v>45660</v>
      </c>
      <c r="C3356" t="s">
        <v>25</v>
      </c>
      <c r="D3356" t="s">
        <v>25</v>
      </c>
      <c r="E3356" s="2">
        <v>26.87</v>
      </c>
      <c r="F3356" s="3">
        <v>91.36</v>
      </c>
      <c r="G3356" s="4">
        <v>308.64999999999998</v>
      </c>
      <c r="H3356">
        <v>1</v>
      </c>
      <c r="I3356" s="4">
        <v>308.64999999999998</v>
      </c>
      <c r="J3356">
        <v>5</v>
      </c>
      <c r="K3356" t="s">
        <v>30</v>
      </c>
      <c r="L3356" t="s">
        <v>16</v>
      </c>
      <c r="O3356"/>
    </row>
    <row r="3357" spans="1:15" x14ac:dyDescent="0.3">
      <c r="A3357" t="s">
        <v>3381</v>
      </c>
      <c r="B3357" s="1">
        <v>45915</v>
      </c>
      <c r="C3357" t="s">
        <v>14</v>
      </c>
      <c r="D3357" t="s">
        <v>22</v>
      </c>
      <c r="E3357" s="2">
        <v>14.17</v>
      </c>
      <c r="F3357" s="3">
        <v>43.25</v>
      </c>
      <c r="G3357" s="4">
        <v>262.22000000000003</v>
      </c>
      <c r="H3357">
        <v>2</v>
      </c>
      <c r="I3357" s="4">
        <v>524.44000000000005</v>
      </c>
      <c r="J3357">
        <v>3.8</v>
      </c>
      <c r="K3357" t="s">
        <v>33</v>
      </c>
      <c r="L3357" t="s">
        <v>19</v>
      </c>
      <c r="O3357"/>
    </row>
    <row r="3358" spans="1:15" x14ac:dyDescent="0.3">
      <c r="A3358" t="s">
        <v>3382</v>
      </c>
      <c r="B3358" s="1">
        <v>45867</v>
      </c>
      <c r="C3358" t="s">
        <v>25</v>
      </c>
      <c r="D3358" t="s">
        <v>25</v>
      </c>
      <c r="E3358" s="2">
        <v>1.23</v>
      </c>
      <c r="F3358" s="3">
        <v>4.7300000000000004</v>
      </c>
      <c r="G3358" s="4">
        <v>12.97</v>
      </c>
      <c r="H3358">
        <v>1.5</v>
      </c>
      <c r="I3358" s="4">
        <v>19.46</v>
      </c>
      <c r="J3358">
        <v>3.8</v>
      </c>
      <c r="K3358" t="s">
        <v>36</v>
      </c>
      <c r="L3358" t="s">
        <v>19</v>
      </c>
      <c r="O3358"/>
    </row>
    <row r="3359" spans="1:15" x14ac:dyDescent="0.3">
      <c r="A3359" t="s">
        <v>3383</v>
      </c>
      <c r="B3359" s="1">
        <v>45912</v>
      </c>
      <c r="C3359" t="s">
        <v>25</v>
      </c>
      <c r="D3359" t="s">
        <v>22</v>
      </c>
      <c r="E3359" s="2">
        <v>18.02</v>
      </c>
      <c r="F3359" s="3">
        <v>58.92</v>
      </c>
      <c r="G3359" s="4">
        <v>273.77</v>
      </c>
      <c r="H3359">
        <v>1</v>
      </c>
      <c r="I3359" s="4">
        <v>273.77</v>
      </c>
      <c r="J3359">
        <v>3.5</v>
      </c>
      <c r="K3359" t="s">
        <v>36</v>
      </c>
      <c r="L3359" t="s">
        <v>16</v>
      </c>
      <c r="O3359"/>
    </row>
    <row r="3360" spans="1:15" x14ac:dyDescent="0.3">
      <c r="A3360" t="s">
        <v>3384</v>
      </c>
      <c r="B3360" s="1">
        <v>45971</v>
      </c>
      <c r="C3360" t="s">
        <v>25</v>
      </c>
      <c r="D3360" t="s">
        <v>21</v>
      </c>
      <c r="E3360" s="2">
        <v>24.55</v>
      </c>
      <c r="F3360" s="3">
        <v>58.07</v>
      </c>
      <c r="G3360" s="4">
        <v>391.3</v>
      </c>
      <c r="H3360">
        <v>1.2</v>
      </c>
      <c r="I3360" s="4">
        <v>469.56</v>
      </c>
      <c r="J3360">
        <v>4</v>
      </c>
      <c r="K3360" t="s">
        <v>33</v>
      </c>
      <c r="L3360" t="s">
        <v>19</v>
      </c>
      <c r="O3360"/>
    </row>
    <row r="3361" spans="1:15" x14ac:dyDescent="0.3">
      <c r="A3361" t="s">
        <v>3385</v>
      </c>
      <c r="B3361" s="1">
        <v>45701</v>
      </c>
      <c r="C3361" t="s">
        <v>21</v>
      </c>
      <c r="D3361" t="s">
        <v>21</v>
      </c>
      <c r="E3361" s="2">
        <v>14.94</v>
      </c>
      <c r="F3361" s="3">
        <v>32.54</v>
      </c>
      <c r="G3361" s="4">
        <v>164.66</v>
      </c>
      <c r="H3361">
        <v>2</v>
      </c>
      <c r="I3361" s="4">
        <v>329.32</v>
      </c>
      <c r="J3361">
        <v>3.8</v>
      </c>
      <c r="K3361" t="s">
        <v>18</v>
      </c>
      <c r="L3361" t="s">
        <v>26</v>
      </c>
      <c r="O3361"/>
    </row>
    <row r="3362" spans="1:15" x14ac:dyDescent="0.3">
      <c r="A3362" t="s">
        <v>3386</v>
      </c>
      <c r="B3362" s="1">
        <v>45929</v>
      </c>
      <c r="C3362" t="s">
        <v>14</v>
      </c>
      <c r="D3362" t="s">
        <v>22</v>
      </c>
      <c r="E3362" s="2">
        <v>8.61</v>
      </c>
      <c r="F3362" s="3">
        <v>22.03</v>
      </c>
      <c r="G3362" s="4">
        <v>138.63999999999999</v>
      </c>
      <c r="H3362">
        <v>1.2</v>
      </c>
      <c r="I3362" s="4">
        <v>166.37</v>
      </c>
      <c r="J3362">
        <v>4.5</v>
      </c>
      <c r="K3362" t="s">
        <v>36</v>
      </c>
      <c r="L3362" t="s">
        <v>28</v>
      </c>
      <c r="O3362"/>
    </row>
    <row r="3363" spans="1:15" x14ac:dyDescent="0.3">
      <c r="A3363" t="s">
        <v>3387</v>
      </c>
      <c r="B3363" s="1">
        <v>45798</v>
      </c>
      <c r="C3363" t="s">
        <v>14</v>
      </c>
      <c r="D3363" t="s">
        <v>22</v>
      </c>
      <c r="E3363" s="2">
        <v>2.76</v>
      </c>
      <c r="F3363" s="3">
        <v>6.29</v>
      </c>
      <c r="G3363" s="4">
        <v>38.46</v>
      </c>
      <c r="H3363">
        <v>1.2</v>
      </c>
      <c r="I3363" s="4">
        <v>46.15</v>
      </c>
      <c r="J3363">
        <v>4.2</v>
      </c>
      <c r="K3363" t="s">
        <v>36</v>
      </c>
      <c r="L3363" t="s">
        <v>19</v>
      </c>
      <c r="O3363"/>
    </row>
    <row r="3364" spans="1:15" x14ac:dyDescent="0.3">
      <c r="A3364" t="s">
        <v>3388</v>
      </c>
      <c r="B3364" s="1">
        <v>45783</v>
      </c>
      <c r="C3364" t="s">
        <v>21</v>
      </c>
      <c r="D3364" t="s">
        <v>21</v>
      </c>
      <c r="E3364" s="2">
        <v>10.7</v>
      </c>
      <c r="F3364" s="3">
        <v>36.270000000000003</v>
      </c>
      <c r="G3364" s="4">
        <v>191.75</v>
      </c>
      <c r="H3364">
        <v>1.5</v>
      </c>
      <c r="I3364" s="4">
        <v>287.62</v>
      </c>
      <c r="J3364">
        <v>4.4000000000000004</v>
      </c>
      <c r="K3364" t="s">
        <v>15</v>
      </c>
      <c r="L3364" t="s">
        <v>16</v>
      </c>
      <c r="O3364"/>
    </row>
    <row r="3365" spans="1:15" x14ac:dyDescent="0.3">
      <c r="A3365" t="s">
        <v>3389</v>
      </c>
      <c r="B3365" s="1">
        <v>46011</v>
      </c>
      <c r="C3365" t="s">
        <v>14</v>
      </c>
      <c r="D3365" t="s">
        <v>21</v>
      </c>
      <c r="E3365" s="2">
        <v>28.71</v>
      </c>
      <c r="F3365" s="3">
        <v>109.49</v>
      </c>
      <c r="G3365" s="4">
        <v>513.73</v>
      </c>
      <c r="H3365">
        <v>1</v>
      </c>
      <c r="I3365" s="4">
        <v>513.73</v>
      </c>
      <c r="J3365">
        <v>3.8</v>
      </c>
      <c r="K3365" t="s">
        <v>33</v>
      </c>
      <c r="L3365" t="s">
        <v>19</v>
      </c>
      <c r="O3365"/>
    </row>
    <row r="3366" spans="1:15" x14ac:dyDescent="0.3">
      <c r="A3366" t="s">
        <v>3390</v>
      </c>
      <c r="B3366" s="1">
        <v>45994</v>
      </c>
      <c r="C3366" t="s">
        <v>21</v>
      </c>
      <c r="D3366" t="s">
        <v>13</v>
      </c>
      <c r="E3366" s="2">
        <v>27.28</v>
      </c>
      <c r="F3366" s="3">
        <v>105.34</v>
      </c>
      <c r="G3366" s="4">
        <v>517.07000000000005</v>
      </c>
      <c r="H3366">
        <v>1.5</v>
      </c>
      <c r="I3366" s="4">
        <v>775.6</v>
      </c>
      <c r="J3366">
        <v>4.4000000000000004</v>
      </c>
      <c r="K3366" t="s">
        <v>18</v>
      </c>
      <c r="L3366" t="s">
        <v>16</v>
      </c>
      <c r="O3366"/>
    </row>
    <row r="3367" spans="1:15" x14ac:dyDescent="0.3">
      <c r="A3367" t="s">
        <v>3391</v>
      </c>
      <c r="B3367" s="1">
        <v>45932</v>
      </c>
      <c r="C3367" t="s">
        <v>22</v>
      </c>
      <c r="D3367" t="s">
        <v>14</v>
      </c>
      <c r="E3367" s="2">
        <v>28.5</v>
      </c>
      <c r="F3367" s="3">
        <v>77.59</v>
      </c>
      <c r="G3367" s="4">
        <v>432.81</v>
      </c>
      <c r="H3367">
        <v>1</v>
      </c>
      <c r="I3367" s="4">
        <v>432.81</v>
      </c>
      <c r="J3367">
        <v>3.3</v>
      </c>
      <c r="K3367" t="s">
        <v>30</v>
      </c>
      <c r="L3367" t="s">
        <v>28</v>
      </c>
      <c r="O3367"/>
    </row>
    <row r="3368" spans="1:15" x14ac:dyDescent="0.3">
      <c r="A3368" t="s">
        <v>3392</v>
      </c>
      <c r="B3368" s="1">
        <v>45935</v>
      </c>
      <c r="C3368" t="s">
        <v>22</v>
      </c>
      <c r="D3368" t="s">
        <v>13</v>
      </c>
      <c r="E3368" s="2">
        <v>29.81</v>
      </c>
      <c r="F3368" s="3">
        <v>86.79</v>
      </c>
      <c r="G3368" s="4">
        <v>510.93</v>
      </c>
      <c r="H3368">
        <v>1</v>
      </c>
      <c r="I3368" s="4">
        <v>510.93</v>
      </c>
      <c r="J3368">
        <v>3.1</v>
      </c>
      <c r="K3368" t="s">
        <v>18</v>
      </c>
      <c r="L3368" t="s">
        <v>28</v>
      </c>
      <c r="O3368"/>
    </row>
    <row r="3369" spans="1:15" x14ac:dyDescent="0.3">
      <c r="A3369" t="s">
        <v>3393</v>
      </c>
      <c r="B3369" s="1">
        <v>45754</v>
      </c>
      <c r="C3369" t="s">
        <v>13</v>
      </c>
      <c r="D3369" t="s">
        <v>22</v>
      </c>
      <c r="E3369" s="2">
        <v>10.73</v>
      </c>
      <c r="F3369" s="3">
        <v>29.37</v>
      </c>
      <c r="G3369" s="4">
        <v>179.85</v>
      </c>
      <c r="H3369">
        <v>1.5</v>
      </c>
      <c r="I3369" s="4">
        <v>269.77</v>
      </c>
      <c r="J3369">
        <v>3.8</v>
      </c>
      <c r="K3369" t="s">
        <v>15</v>
      </c>
      <c r="L3369" t="s">
        <v>28</v>
      </c>
      <c r="O3369"/>
    </row>
    <row r="3370" spans="1:15" x14ac:dyDescent="0.3">
      <c r="A3370" t="s">
        <v>3394</v>
      </c>
      <c r="B3370" s="1">
        <v>45784</v>
      </c>
      <c r="C3370" t="s">
        <v>22</v>
      </c>
      <c r="D3370" t="s">
        <v>25</v>
      </c>
      <c r="E3370" s="2">
        <v>14.07</v>
      </c>
      <c r="F3370" s="3">
        <v>28.51</v>
      </c>
      <c r="G3370" s="4">
        <v>249.11</v>
      </c>
      <c r="H3370">
        <v>1</v>
      </c>
      <c r="I3370" s="4">
        <v>249.11</v>
      </c>
      <c r="J3370">
        <v>3.3</v>
      </c>
      <c r="K3370" t="s">
        <v>30</v>
      </c>
      <c r="L3370" t="s">
        <v>26</v>
      </c>
      <c r="O3370"/>
    </row>
    <row r="3371" spans="1:15" x14ac:dyDescent="0.3">
      <c r="A3371" t="s">
        <v>3395</v>
      </c>
      <c r="B3371" s="1">
        <v>45969</v>
      </c>
      <c r="C3371" t="s">
        <v>25</v>
      </c>
      <c r="D3371" t="s">
        <v>25</v>
      </c>
      <c r="E3371" s="2">
        <v>16.690000000000001</v>
      </c>
      <c r="F3371" s="3">
        <v>51</v>
      </c>
      <c r="G3371" s="4">
        <v>284.49</v>
      </c>
      <c r="H3371">
        <v>1.2</v>
      </c>
      <c r="I3371" s="4">
        <v>341.39</v>
      </c>
      <c r="J3371">
        <v>4.0999999999999996</v>
      </c>
      <c r="K3371" t="s">
        <v>36</v>
      </c>
      <c r="L3371" t="s">
        <v>28</v>
      </c>
      <c r="O3371"/>
    </row>
    <row r="3372" spans="1:15" x14ac:dyDescent="0.3">
      <c r="A3372" t="s">
        <v>3396</v>
      </c>
      <c r="B3372" s="1">
        <v>45937</v>
      </c>
      <c r="C3372" t="s">
        <v>25</v>
      </c>
      <c r="D3372" t="s">
        <v>14</v>
      </c>
      <c r="E3372" s="2">
        <v>16.760000000000002</v>
      </c>
      <c r="F3372" s="3">
        <v>38.57</v>
      </c>
      <c r="G3372" s="4">
        <v>314.86</v>
      </c>
      <c r="H3372">
        <v>2</v>
      </c>
      <c r="I3372" s="4">
        <v>629.72</v>
      </c>
      <c r="J3372">
        <v>4.8</v>
      </c>
      <c r="K3372" t="s">
        <v>33</v>
      </c>
      <c r="L3372" t="s">
        <v>19</v>
      </c>
      <c r="O3372"/>
    </row>
    <row r="3373" spans="1:15" x14ac:dyDescent="0.3">
      <c r="A3373" t="s">
        <v>3397</v>
      </c>
      <c r="B3373" s="1">
        <v>45794</v>
      </c>
      <c r="C3373" t="s">
        <v>21</v>
      </c>
      <c r="D3373" t="s">
        <v>22</v>
      </c>
      <c r="E3373" s="2">
        <v>23.65</v>
      </c>
      <c r="F3373" s="3">
        <v>91.16</v>
      </c>
      <c r="G3373" s="4">
        <v>470.62</v>
      </c>
      <c r="H3373">
        <v>1</v>
      </c>
      <c r="I3373" s="4">
        <v>470.62</v>
      </c>
      <c r="J3373">
        <v>4.2</v>
      </c>
      <c r="K3373" t="s">
        <v>30</v>
      </c>
      <c r="L3373" t="s">
        <v>26</v>
      </c>
      <c r="O3373"/>
    </row>
    <row r="3374" spans="1:15" x14ac:dyDescent="0.3">
      <c r="A3374" t="s">
        <v>3398</v>
      </c>
      <c r="B3374" s="1">
        <v>45859</v>
      </c>
      <c r="C3374" t="s">
        <v>22</v>
      </c>
      <c r="D3374" t="s">
        <v>25</v>
      </c>
      <c r="E3374" s="2">
        <v>23.84</v>
      </c>
      <c r="F3374" s="3">
        <v>49</v>
      </c>
      <c r="G3374" s="4">
        <v>251.96</v>
      </c>
      <c r="H3374">
        <v>2</v>
      </c>
      <c r="I3374" s="4">
        <v>503.92</v>
      </c>
      <c r="J3374">
        <v>4.9000000000000004</v>
      </c>
      <c r="K3374" t="s">
        <v>36</v>
      </c>
      <c r="L3374" t="s">
        <v>16</v>
      </c>
      <c r="O3374"/>
    </row>
    <row r="3375" spans="1:15" x14ac:dyDescent="0.3">
      <c r="A3375" t="s">
        <v>3399</v>
      </c>
      <c r="B3375" s="1">
        <v>45736</v>
      </c>
      <c r="C3375" t="s">
        <v>13</v>
      </c>
      <c r="D3375" t="s">
        <v>13</v>
      </c>
      <c r="E3375" s="2">
        <v>15.53</v>
      </c>
      <c r="F3375" s="3">
        <v>42.52</v>
      </c>
      <c r="G3375" s="4">
        <v>171.7</v>
      </c>
      <c r="H3375">
        <v>1</v>
      </c>
      <c r="I3375" s="4">
        <v>171.7</v>
      </c>
      <c r="J3375">
        <v>4.5</v>
      </c>
      <c r="K3375" t="s">
        <v>33</v>
      </c>
      <c r="L3375" t="s">
        <v>26</v>
      </c>
      <c r="O3375"/>
    </row>
    <row r="3376" spans="1:15" x14ac:dyDescent="0.3">
      <c r="A3376" t="s">
        <v>3400</v>
      </c>
      <c r="B3376" s="1">
        <v>45958</v>
      </c>
      <c r="C3376" t="s">
        <v>21</v>
      </c>
      <c r="D3376" t="s">
        <v>14</v>
      </c>
      <c r="E3376" s="2">
        <v>26.17</v>
      </c>
      <c r="F3376" s="3">
        <v>60.89</v>
      </c>
      <c r="G3376" s="4">
        <v>505.5</v>
      </c>
      <c r="H3376">
        <v>1</v>
      </c>
      <c r="I3376" s="4">
        <v>505.5</v>
      </c>
      <c r="J3376">
        <v>4.3</v>
      </c>
      <c r="K3376" t="s">
        <v>18</v>
      </c>
      <c r="L3376" t="s">
        <v>19</v>
      </c>
      <c r="O3376"/>
    </row>
    <row r="3377" spans="1:15" x14ac:dyDescent="0.3">
      <c r="A3377" t="s">
        <v>3401</v>
      </c>
      <c r="B3377" s="1">
        <v>45670</v>
      </c>
      <c r="C3377" t="s">
        <v>14</v>
      </c>
      <c r="D3377" t="s">
        <v>22</v>
      </c>
      <c r="E3377" s="2">
        <v>8.27</v>
      </c>
      <c r="F3377" s="3">
        <v>30.73</v>
      </c>
      <c r="G3377" s="4">
        <v>123.85</v>
      </c>
      <c r="H3377">
        <v>1</v>
      </c>
      <c r="I3377" s="4">
        <v>123.85</v>
      </c>
      <c r="J3377">
        <v>4.5999999999999996</v>
      </c>
      <c r="K3377" t="s">
        <v>36</v>
      </c>
      <c r="L3377" t="s">
        <v>19</v>
      </c>
      <c r="O3377"/>
    </row>
    <row r="3378" spans="1:15" x14ac:dyDescent="0.3">
      <c r="A3378" t="s">
        <v>3402</v>
      </c>
      <c r="B3378" s="1">
        <v>45725</v>
      </c>
      <c r="C3378" t="s">
        <v>22</v>
      </c>
      <c r="D3378" t="s">
        <v>13</v>
      </c>
      <c r="E3378" s="2">
        <v>4.37</v>
      </c>
      <c r="F3378" s="3">
        <v>16.07</v>
      </c>
      <c r="G3378" s="4">
        <v>77.64</v>
      </c>
      <c r="H3378">
        <v>1.5</v>
      </c>
      <c r="I3378" s="4">
        <v>116.46</v>
      </c>
      <c r="J3378">
        <v>3.3</v>
      </c>
      <c r="K3378" t="s">
        <v>36</v>
      </c>
      <c r="L3378" t="s">
        <v>28</v>
      </c>
      <c r="O3378"/>
    </row>
    <row r="3379" spans="1:15" x14ac:dyDescent="0.3">
      <c r="A3379" t="s">
        <v>3403</v>
      </c>
      <c r="B3379" s="1">
        <v>45729</v>
      </c>
      <c r="C3379" t="s">
        <v>25</v>
      </c>
      <c r="D3379" t="s">
        <v>22</v>
      </c>
      <c r="E3379" s="2">
        <v>4.5999999999999996</v>
      </c>
      <c r="F3379" s="3">
        <v>13.86</v>
      </c>
      <c r="G3379" s="4">
        <v>46.86</v>
      </c>
      <c r="H3379">
        <v>2</v>
      </c>
      <c r="I3379" s="4">
        <v>93.72</v>
      </c>
      <c r="J3379">
        <v>4.5</v>
      </c>
      <c r="K3379" t="s">
        <v>18</v>
      </c>
      <c r="L3379" t="s">
        <v>16</v>
      </c>
      <c r="O3379"/>
    </row>
    <row r="3380" spans="1:15" x14ac:dyDescent="0.3">
      <c r="A3380" t="s">
        <v>3404</v>
      </c>
      <c r="B3380" s="1">
        <v>45754</v>
      </c>
      <c r="C3380" t="s">
        <v>22</v>
      </c>
      <c r="D3380" t="s">
        <v>13</v>
      </c>
      <c r="E3380" s="2">
        <v>14.78</v>
      </c>
      <c r="F3380" s="3">
        <v>42.02</v>
      </c>
      <c r="G3380" s="4">
        <v>213.48</v>
      </c>
      <c r="H3380">
        <v>1.5</v>
      </c>
      <c r="I3380" s="4">
        <v>320.22000000000003</v>
      </c>
      <c r="J3380">
        <v>3.7</v>
      </c>
      <c r="K3380" t="s">
        <v>30</v>
      </c>
      <c r="L3380" t="s">
        <v>16</v>
      </c>
      <c r="O3380"/>
    </row>
    <row r="3381" spans="1:15" x14ac:dyDescent="0.3">
      <c r="A3381" t="s">
        <v>3405</v>
      </c>
      <c r="B3381" s="1">
        <v>45980</v>
      </c>
      <c r="C3381" t="s">
        <v>25</v>
      </c>
      <c r="D3381" t="s">
        <v>13</v>
      </c>
      <c r="E3381" s="2">
        <v>22.94</v>
      </c>
      <c r="F3381" s="3">
        <v>62.81</v>
      </c>
      <c r="G3381" s="4">
        <v>393.46</v>
      </c>
      <c r="H3381">
        <v>1.5</v>
      </c>
      <c r="I3381" s="4">
        <v>590.19000000000005</v>
      </c>
      <c r="J3381">
        <v>4.7</v>
      </c>
      <c r="K3381" t="s">
        <v>36</v>
      </c>
      <c r="L3381" t="s">
        <v>26</v>
      </c>
      <c r="O3381"/>
    </row>
    <row r="3382" spans="1:15" x14ac:dyDescent="0.3">
      <c r="A3382" t="s">
        <v>3406</v>
      </c>
      <c r="B3382" s="1">
        <v>45759</v>
      </c>
      <c r="C3382" t="s">
        <v>21</v>
      </c>
      <c r="D3382" t="s">
        <v>25</v>
      </c>
      <c r="E3382" s="2">
        <v>17.350000000000001</v>
      </c>
      <c r="F3382" s="3">
        <v>67.69</v>
      </c>
      <c r="G3382" s="4">
        <v>192.39</v>
      </c>
      <c r="H3382">
        <v>2</v>
      </c>
      <c r="I3382" s="4">
        <v>384.78</v>
      </c>
      <c r="J3382">
        <v>3.5</v>
      </c>
      <c r="K3382" t="s">
        <v>15</v>
      </c>
      <c r="L3382" t="s">
        <v>19</v>
      </c>
      <c r="O3382"/>
    </row>
    <row r="3383" spans="1:15" x14ac:dyDescent="0.3">
      <c r="A3383" t="s">
        <v>3407</v>
      </c>
      <c r="B3383" s="1">
        <v>45859</v>
      </c>
      <c r="C3383" t="s">
        <v>14</v>
      </c>
      <c r="D3383" t="s">
        <v>21</v>
      </c>
      <c r="E3383" s="2">
        <v>27.89</v>
      </c>
      <c r="F3383" s="3">
        <v>66.97</v>
      </c>
      <c r="G3383" s="4">
        <v>352.47</v>
      </c>
      <c r="H3383">
        <v>1</v>
      </c>
      <c r="I3383" s="4">
        <v>352.47</v>
      </c>
      <c r="J3383">
        <v>4.3</v>
      </c>
      <c r="K3383" t="s">
        <v>15</v>
      </c>
      <c r="L3383" t="s">
        <v>26</v>
      </c>
      <c r="O3383"/>
    </row>
    <row r="3384" spans="1:15" x14ac:dyDescent="0.3">
      <c r="A3384" t="s">
        <v>3408</v>
      </c>
      <c r="B3384" s="1">
        <v>45751</v>
      </c>
      <c r="C3384" t="s">
        <v>21</v>
      </c>
      <c r="D3384" t="s">
        <v>22</v>
      </c>
      <c r="E3384" s="2">
        <v>21.59</v>
      </c>
      <c r="F3384" s="3">
        <v>62.39</v>
      </c>
      <c r="G3384" s="4">
        <v>252.39</v>
      </c>
      <c r="H3384">
        <v>1</v>
      </c>
      <c r="I3384" s="4">
        <v>252.39</v>
      </c>
      <c r="J3384">
        <v>4</v>
      </c>
      <c r="K3384" t="s">
        <v>15</v>
      </c>
      <c r="L3384" t="s">
        <v>28</v>
      </c>
      <c r="O3384"/>
    </row>
    <row r="3385" spans="1:15" x14ac:dyDescent="0.3">
      <c r="A3385" t="s">
        <v>3409</v>
      </c>
      <c r="B3385" s="1">
        <v>45822</v>
      </c>
      <c r="C3385" t="s">
        <v>22</v>
      </c>
      <c r="D3385" t="s">
        <v>13</v>
      </c>
      <c r="E3385" s="2">
        <v>15.8</v>
      </c>
      <c r="F3385" s="3">
        <v>35.71</v>
      </c>
      <c r="G3385" s="4">
        <v>229.45</v>
      </c>
      <c r="H3385">
        <v>1.2</v>
      </c>
      <c r="I3385" s="4">
        <v>275.33999999999997</v>
      </c>
      <c r="J3385">
        <v>3.3</v>
      </c>
      <c r="K3385" t="s">
        <v>18</v>
      </c>
      <c r="L3385" t="s">
        <v>26</v>
      </c>
      <c r="O3385"/>
    </row>
    <row r="3386" spans="1:15" x14ac:dyDescent="0.3">
      <c r="A3386" t="s">
        <v>3410</v>
      </c>
      <c r="B3386" s="1">
        <v>45861</v>
      </c>
      <c r="C3386" t="s">
        <v>22</v>
      </c>
      <c r="D3386" t="s">
        <v>14</v>
      </c>
      <c r="E3386" s="2">
        <v>25.86</v>
      </c>
      <c r="F3386" s="3">
        <v>62.33</v>
      </c>
      <c r="G3386" s="4">
        <v>407.34</v>
      </c>
      <c r="H3386">
        <v>1.5</v>
      </c>
      <c r="I3386" s="4">
        <v>611.01</v>
      </c>
      <c r="J3386">
        <v>3.7</v>
      </c>
      <c r="K3386" t="s">
        <v>15</v>
      </c>
      <c r="L3386" t="s">
        <v>16</v>
      </c>
      <c r="O3386"/>
    </row>
    <row r="3387" spans="1:15" x14ac:dyDescent="0.3">
      <c r="A3387" t="s">
        <v>3411</v>
      </c>
      <c r="B3387" s="1">
        <v>45958</v>
      </c>
      <c r="C3387" t="s">
        <v>13</v>
      </c>
      <c r="D3387" t="s">
        <v>25</v>
      </c>
      <c r="E3387" s="2">
        <v>11.48</v>
      </c>
      <c r="F3387" s="3">
        <v>26.26</v>
      </c>
      <c r="G3387" s="4">
        <v>120.08</v>
      </c>
      <c r="H3387">
        <v>2</v>
      </c>
      <c r="I3387" s="4">
        <v>240.16</v>
      </c>
      <c r="J3387">
        <v>4.4000000000000004</v>
      </c>
      <c r="K3387" t="s">
        <v>36</v>
      </c>
      <c r="L3387" t="s">
        <v>26</v>
      </c>
      <c r="O3387"/>
    </row>
    <row r="3388" spans="1:15" x14ac:dyDescent="0.3">
      <c r="A3388" t="s">
        <v>3412</v>
      </c>
      <c r="B3388" s="1">
        <v>45961</v>
      </c>
      <c r="C3388" t="s">
        <v>13</v>
      </c>
      <c r="D3388" t="s">
        <v>25</v>
      </c>
      <c r="E3388" s="2">
        <v>2.78</v>
      </c>
      <c r="F3388" s="3">
        <v>10.039999999999999</v>
      </c>
      <c r="G3388" s="4">
        <v>35.64</v>
      </c>
      <c r="H3388">
        <v>1</v>
      </c>
      <c r="I3388" s="4">
        <v>35.64</v>
      </c>
      <c r="J3388">
        <v>4.0999999999999996</v>
      </c>
      <c r="K3388" t="s">
        <v>18</v>
      </c>
      <c r="L3388" t="s">
        <v>19</v>
      </c>
      <c r="O3388"/>
    </row>
    <row r="3389" spans="1:15" x14ac:dyDescent="0.3">
      <c r="A3389" t="s">
        <v>3413</v>
      </c>
      <c r="B3389" s="1">
        <v>45675</v>
      </c>
      <c r="C3389" t="s">
        <v>25</v>
      </c>
      <c r="D3389" t="s">
        <v>13</v>
      </c>
      <c r="E3389" s="2">
        <v>7.88</v>
      </c>
      <c r="F3389" s="3">
        <v>24.79</v>
      </c>
      <c r="G3389" s="4">
        <v>156.69999999999999</v>
      </c>
      <c r="H3389">
        <v>1.2</v>
      </c>
      <c r="I3389" s="4">
        <v>188.04</v>
      </c>
      <c r="J3389">
        <v>4.8</v>
      </c>
      <c r="K3389" t="s">
        <v>33</v>
      </c>
      <c r="L3389" t="s">
        <v>16</v>
      </c>
      <c r="O3389"/>
    </row>
    <row r="3390" spans="1:15" x14ac:dyDescent="0.3">
      <c r="A3390" t="s">
        <v>3414</v>
      </c>
      <c r="B3390" s="1">
        <v>46021</v>
      </c>
      <c r="C3390" t="s">
        <v>13</v>
      </c>
      <c r="D3390" t="s">
        <v>13</v>
      </c>
      <c r="E3390" s="2">
        <v>2.25</v>
      </c>
      <c r="F3390" s="3">
        <v>5.4</v>
      </c>
      <c r="G3390" s="4">
        <v>42.92</v>
      </c>
      <c r="H3390">
        <v>1.2</v>
      </c>
      <c r="I3390" s="4">
        <v>51.5</v>
      </c>
      <c r="J3390">
        <v>4.9000000000000004</v>
      </c>
      <c r="K3390" t="s">
        <v>15</v>
      </c>
      <c r="L3390" t="s">
        <v>19</v>
      </c>
      <c r="O3390"/>
    </row>
    <row r="3391" spans="1:15" x14ac:dyDescent="0.3">
      <c r="A3391" t="s">
        <v>3415</v>
      </c>
      <c r="B3391" s="1">
        <v>45978</v>
      </c>
      <c r="C3391" t="s">
        <v>25</v>
      </c>
      <c r="D3391" t="s">
        <v>25</v>
      </c>
      <c r="E3391" s="2">
        <v>6.16</v>
      </c>
      <c r="F3391" s="3">
        <v>22.94</v>
      </c>
      <c r="G3391" s="4">
        <v>94.74</v>
      </c>
      <c r="H3391">
        <v>1</v>
      </c>
      <c r="I3391" s="4">
        <v>94.74</v>
      </c>
      <c r="J3391">
        <v>4.0999999999999996</v>
      </c>
      <c r="K3391" t="s">
        <v>18</v>
      </c>
      <c r="L3391" t="s">
        <v>28</v>
      </c>
      <c r="O3391"/>
    </row>
    <row r="3392" spans="1:15" x14ac:dyDescent="0.3">
      <c r="A3392" t="s">
        <v>3416</v>
      </c>
      <c r="B3392" s="1">
        <v>45862</v>
      </c>
      <c r="C3392" t="s">
        <v>21</v>
      </c>
      <c r="D3392" t="s">
        <v>25</v>
      </c>
      <c r="E3392" s="2">
        <v>23.1</v>
      </c>
      <c r="F3392" s="3">
        <v>77.650000000000006</v>
      </c>
      <c r="G3392" s="4">
        <v>356.42</v>
      </c>
      <c r="H3392">
        <v>1</v>
      </c>
      <c r="I3392" s="4">
        <v>356.42</v>
      </c>
      <c r="J3392">
        <v>4.4000000000000004</v>
      </c>
      <c r="K3392" t="s">
        <v>18</v>
      </c>
      <c r="L3392" t="s">
        <v>28</v>
      </c>
      <c r="O3392"/>
    </row>
    <row r="3393" spans="1:15" x14ac:dyDescent="0.3">
      <c r="A3393" t="s">
        <v>3417</v>
      </c>
      <c r="B3393" s="1">
        <v>45978</v>
      </c>
      <c r="C3393" t="s">
        <v>14</v>
      </c>
      <c r="D3393" t="s">
        <v>21</v>
      </c>
      <c r="E3393" s="2">
        <v>26.43</v>
      </c>
      <c r="F3393" s="3">
        <v>73</v>
      </c>
      <c r="G3393" s="4">
        <v>420.22</v>
      </c>
      <c r="H3393">
        <v>1.5</v>
      </c>
      <c r="I3393" s="4">
        <v>630.33000000000004</v>
      </c>
      <c r="J3393">
        <v>3.2</v>
      </c>
      <c r="K3393" t="s">
        <v>15</v>
      </c>
      <c r="L3393" t="s">
        <v>26</v>
      </c>
      <c r="O3393"/>
    </row>
    <row r="3394" spans="1:15" x14ac:dyDescent="0.3">
      <c r="A3394" t="s">
        <v>3418</v>
      </c>
      <c r="B3394" s="1">
        <v>45983</v>
      </c>
      <c r="C3394" t="s">
        <v>21</v>
      </c>
      <c r="D3394" t="s">
        <v>13</v>
      </c>
      <c r="E3394" s="2">
        <v>15.09</v>
      </c>
      <c r="F3394" s="3">
        <v>59.18</v>
      </c>
      <c r="G3394" s="4">
        <v>222.37</v>
      </c>
      <c r="H3394">
        <v>1</v>
      </c>
      <c r="I3394" s="4">
        <v>222.37</v>
      </c>
      <c r="J3394">
        <v>4.4000000000000004</v>
      </c>
      <c r="K3394" t="s">
        <v>36</v>
      </c>
      <c r="L3394" t="s">
        <v>16</v>
      </c>
      <c r="O3394"/>
    </row>
    <row r="3395" spans="1:15" x14ac:dyDescent="0.3">
      <c r="A3395" t="s">
        <v>3419</v>
      </c>
      <c r="B3395" s="1">
        <v>45867</v>
      </c>
      <c r="C3395" t="s">
        <v>22</v>
      </c>
      <c r="D3395" t="s">
        <v>22</v>
      </c>
      <c r="E3395" s="2">
        <v>28.69</v>
      </c>
      <c r="F3395" s="3">
        <v>111.9</v>
      </c>
      <c r="G3395" s="4">
        <v>487.43</v>
      </c>
      <c r="H3395">
        <v>1</v>
      </c>
      <c r="I3395" s="4">
        <v>487.43</v>
      </c>
      <c r="J3395">
        <v>4.4000000000000004</v>
      </c>
      <c r="K3395" t="s">
        <v>36</v>
      </c>
      <c r="L3395" t="s">
        <v>19</v>
      </c>
      <c r="O3395"/>
    </row>
    <row r="3396" spans="1:15" x14ac:dyDescent="0.3">
      <c r="A3396" t="s">
        <v>3420</v>
      </c>
      <c r="B3396" s="1">
        <v>45877</v>
      </c>
      <c r="C3396" t="s">
        <v>13</v>
      </c>
      <c r="D3396" t="s">
        <v>22</v>
      </c>
      <c r="E3396" s="2">
        <v>4.57</v>
      </c>
      <c r="F3396" s="3">
        <v>9.69</v>
      </c>
      <c r="G3396" s="4">
        <v>46.51</v>
      </c>
      <c r="H3396">
        <v>1.2</v>
      </c>
      <c r="I3396" s="4">
        <v>55.81</v>
      </c>
      <c r="J3396">
        <v>3.7</v>
      </c>
      <c r="K3396" t="s">
        <v>36</v>
      </c>
      <c r="L3396" t="s">
        <v>28</v>
      </c>
      <c r="O3396"/>
    </row>
    <row r="3397" spans="1:15" x14ac:dyDescent="0.3">
      <c r="A3397" t="s">
        <v>3421</v>
      </c>
      <c r="B3397" s="1">
        <v>45869</v>
      </c>
      <c r="C3397" t="s">
        <v>14</v>
      </c>
      <c r="D3397" t="s">
        <v>22</v>
      </c>
      <c r="E3397" s="2">
        <v>17.47</v>
      </c>
      <c r="F3397" s="3">
        <v>69.84</v>
      </c>
      <c r="G3397" s="4">
        <v>341.2</v>
      </c>
      <c r="H3397">
        <v>1</v>
      </c>
      <c r="I3397" s="4">
        <v>341.2</v>
      </c>
      <c r="J3397">
        <v>4.3</v>
      </c>
      <c r="K3397" t="s">
        <v>30</v>
      </c>
      <c r="L3397" t="s">
        <v>16</v>
      </c>
      <c r="O3397"/>
    </row>
    <row r="3398" spans="1:15" x14ac:dyDescent="0.3">
      <c r="A3398" t="s">
        <v>3422</v>
      </c>
      <c r="B3398" s="1">
        <v>45889</v>
      </c>
      <c r="C3398" t="s">
        <v>14</v>
      </c>
      <c r="D3398" t="s">
        <v>22</v>
      </c>
      <c r="E3398" s="2">
        <v>23.76</v>
      </c>
      <c r="F3398" s="3">
        <v>52.85</v>
      </c>
      <c r="G3398" s="4">
        <v>328.14</v>
      </c>
      <c r="H3398">
        <v>1.5</v>
      </c>
      <c r="I3398" s="4">
        <v>492.21</v>
      </c>
      <c r="J3398">
        <v>4.9000000000000004</v>
      </c>
      <c r="K3398" t="s">
        <v>30</v>
      </c>
      <c r="L3398" t="s">
        <v>19</v>
      </c>
      <c r="O3398"/>
    </row>
    <row r="3399" spans="1:15" x14ac:dyDescent="0.3">
      <c r="A3399" t="s">
        <v>3423</v>
      </c>
      <c r="B3399" s="1">
        <v>46004</v>
      </c>
      <c r="C3399" t="s">
        <v>25</v>
      </c>
      <c r="D3399" t="s">
        <v>13</v>
      </c>
      <c r="E3399" s="2">
        <v>29.2</v>
      </c>
      <c r="F3399" s="3">
        <v>101.37</v>
      </c>
      <c r="G3399" s="4">
        <v>296.52999999999997</v>
      </c>
      <c r="H3399">
        <v>1</v>
      </c>
      <c r="I3399" s="4">
        <v>296.52999999999997</v>
      </c>
      <c r="J3399">
        <v>3.4</v>
      </c>
      <c r="K3399" t="s">
        <v>36</v>
      </c>
      <c r="L3399" t="s">
        <v>26</v>
      </c>
      <c r="O3399"/>
    </row>
    <row r="3400" spans="1:15" x14ac:dyDescent="0.3">
      <c r="A3400" t="s">
        <v>3424</v>
      </c>
      <c r="B3400" s="1">
        <v>45864</v>
      </c>
      <c r="C3400" t="s">
        <v>14</v>
      </c>
      <c r="D3400" t="s">
        <v>13</v>
      </c>
      <c r="E3400" s="2">
        <v>29.7</v>
      </c>
      <c r="F3400" s="3">
        <v>73.849999999999994</v>
      </c>
      <c r="G3400" s="4">
        <v>545.94000000000005</v>
      </c>
      <c r="H3400">
        <v>1.2</v>
      </c>
      <c r="I3400" s="4">
        <v>655.13</v>
      </c>
      <c r="J3400">
        <v>3.6</v>
      </c>
      <c r="K3400" t="s">
        <v>36</v>
      </c>
      <c r="L3400" t="s">
        <v>19</v>
      </c>
      <c r="O3400"/>
    </row>
    <row r="3401" spans="1:15" x14ac:dyDescent="0.3">
      <c r="A3401" t="s">
        <v>3425</v>
      </c>
      <c r="B3401" s="1">
        <v>45853</v>
      </c>
      <c r="C3401" t="s">
        <v>21</v>
      </c>
      <c r="D3401" t="s">
        <v>22</v>
      </c>
      <c r="E3401" s="2">
        <v>9.5500000000000007</v>
      </c>
      <c r="F3401" s="3">
        <v>33.880000000000003</v>
      </c>
      <c r="G3401" s="4">
        <v>179.6</v>
      </c>
      <c r="H3401">
        <v>2</v>
      </c>
      <c r="I3401" s="4">
        <v>359.2</v>
      </c>
      <c r="J3401">
        <v>4.2</v>
      </c>
      <c r="K3401" t="s">
        <v>18</v>
      </c>
      <c r="L3401" t="s">
        <v>19</v>
      </c>
      <c r="O3401"/>
    </row>
    <row r="3402" spans="1:15" x14ac:dyDescent="0.3">
      <c r="A3402" t="s">
        <v>3426</v>
      </c>
      <c r="B3402" s="1">
        <v>45813</v>
      </c>
      <c r="C3402" t="s">
        <v>21</v>
      </c>
      <c r="D3402" t="s">
        <v>22</v>
      </c>
      <c r="E3402" s="2">
        <v>4.97</v>
      </c>
      <c r="F3402" s="3">
        <v>17.82</v>
      </c>
      <c r="G3402" s="4">
        <v>71.36</v>
      </c>
      <c r="H3402">
        <v>1</v>
      </c>
      <c r="I3402" s="4">
        <v>71.36</v>
      </c>
      <c r="J3402">
        <v>4.5</v>
      </c>
      <c r="K3402" t="s">
        <v>18</v>
      </c>
      <c r="L3402" t="s">
        <v>19</v>
      </c>
      <c r="O3402"/>
    </row>
    <row r="3403" spans="1:15" x14ac:dyDescent="0.3">
      <c r="A3403" t="s">
        <v>3427</v>
      </c>
      <c r="B3403" s="1">
        <v>45749</v>
      </c>
      <c r="C3403" t="s">
        <v>21</v>
      </c>
      <c r="D3403" t="s">
        <v>25</v>
      </c>
      <c r="E3403" s="2">
        <v>25.71</v>
      </c>
      <c r="F3403" s="3">
        <v>84.42</v>
      </c>
      <c r="G3403" s="4">
        <v>302.36</v>
      </c>
      <c r="H3403">
        <v>2</v>
      </c>
      <c r="I3403" s="4">
        <v>604.72</v>
      </c>
      <c r="J3403">
        <v>4</v>
      </c>
      <c r="K3403" t="s">
        <v>36</v>
      </c>
      <c r="L3403" t="s">
        <v>16</v>
      </c>
      <c r="O3403"/>
    </row>
    <row r="3404" spans="1:15" x14ac:dyDescent="0.3">
      <c r="A3404" t="s">
        <v>3428</v>
      </c>
      <c r="B3404" s="1">
        <v>45832</v>
      </c>
      <c r="C3404" t="s">
        <v>14</v>
      </c>
      <c r="D3404" t="s">
        <v>14</v>
      </c>
      <c r="E3404" s="2">
        <v>3.18</v>
      </c>
      <c r="F3404" s="3">
        <v>11.17</v>
      </c>
      <c r="G3404" s="4">
        <v>44.57</v>
      </c>
      <c r="H3404">
        <v>1</v>
      </c>
      <c r="I3404" s="4">
        <v>44.57</v>
      </c>
      <c r="J3404">
        <v>3.9</v>
      </c>
      <c r="K3404" t="s">
        <v>33</v>
      </c>
      <c r="L3404" t="s">
        <v>28</v>
      </c>
      <c r="O3404"/>
    </row>
    <row r="3405" spans="1:15" x14ac:dyDescent="0.3">
      <c r="A3405" t="s">
        <v>3429</v>
      </c>
      <c r="B3405" s="1">
        <v>45839</v>
      </c>
      <c r="C3405" t="s">
        <v>22</v>
      </c>
      <c r="D3405" t="s">
        <v>25</v>
      </c>
      <c r="E3405" s="2">
        <v>21.56</v>
      </c>
      <c r="F3405" s="3">
        <v>67.67</v>
      </c>
      <c r="G3405" s="4">
        <v>388.6</v>
      </c>
      <c r="H3405">
        <v>2</v>
      </c>
      <c r="I3405" s="4">
        <v>777.2</v>
      </c>
      <c r="J3405">
        <v>3.8</v>
      </c>
      <c r="K3405" t="s">
        <v>15</v>
      </c>
      <c r="L3405" t="s">
        <v>26</v>
      </c>
      <c r="O3405"/>
    </row>
    <row r="3406" spans="1:15" x14ac:dyDescent="0.3">
      <c r="A3406" t="s">
        <v>3430</v>
      </c>
      <c r="B3406" s="1">
        <v>45835</v>
      </c>
      <c r="C3406" t="s">
        <v>22</v>
      </c>
      <c r="D3406" t="s">
        <v>21</v>
      </c>
      <c r="E3406" s="2">
        <v>20.39</v>
      </c>
      <c r="F3406" s="3">
        <v>75.239999999999995</v>
      </c>
      <c r="G3406" s="4">
        <v>276.20999999999998</v>
      </c>
      <c r="H3406">
        <v>2</v>
      </c>
      <c r="I3406" s="4">
        <v>552.41999999999996</v>
      </c>
      <c r="J3406">
        <v>4.9000000000000004</v>
      </c>
      <c r="K3406" t="s">
        <v>30</v>
      </c>
      <c r="L3406" t="s">
        <v>19</v>
      </c>
      <c r="O3406"/>
    </row>
    <row r="3407" spans="1:15" x14ac:dyDescent="0.3">
      <c r="A3407" t="s">
        <v>3431</v>
      </c>
      <c r="B3407" s="1">
        <v>45703</v>
      </c>
      <c r="C3407" t="s">
        <v>25</v>
      </c>
      <c r="D3407" t="s">
        <v>21</v>
      </c>
      <c r="E3407" s="2">
        <v>8.65</v>
      </c>
      <c r="F3407" s="3">
        <v>19.489999999999998</v>
      </c>
      <c r="G3407" s="4">
        <v>118.48</v>
      </c>
      <c r="H3407">
        <v>2</v>
      </c>
      <c r="I3407" s="4">
        <v>236.96</v>
      </c>
      <c r="J3407">
        <v>5</v>
      </c>
      <c r="K3407" t="s">
        <v>30</v>
      </c>
      <c r="L3407" t="s">
        <v>16</v>
      </c>
      <c r="O3407"/>
    </row>
    <row r="3408" spans="1:15" x14ac:dyDescent="0.3">
      <c r="A3408" t="s">
        <v>3432</v>
      </c>
      <c r="B3408" s="1">
        <v>45662</v>
      </c>
      <c r="C3408" t="s">
        <v>13</v>
      </c>
      <c r="D3408" t="s">
        <v>25</v>
      </c>
      <c r="E3408" s="2">
        <v>17.670000000000002</v>
      </c>
      <c r="F3408" s="3">
        <v>50.03</v>
      </c>
      <c r="G3408" s="4">
        <v>197.51</v>
      </c>
      <c r="H3408">
        <v>1</v>
      </c>
      <c r="I3408" s="4">
        <v>197.51</v>
      </c>
      <c r="J3408">
        <v>3.8</v>
      </c>
      <c r="K3408" t="s">
        <v>30</v>
      </c>
      <c r="L3408" t="s">
        <v>28</v>
      </c>
      <c r="O3408"/>
    </row>
    <row r="3409" spans="1:15" x14ac:dyDescent="0.3">
      <c r="A3409" t="s">
        <v>3433</v>
      </c>
      <c r="B3409" s="1">
        <v>45880</v>
      </c>
      <c r="C3409" t="s">
        <v>13</v>
      </c>
      <c r="D3409" t="s">
        <v>25</v>
      </c>
      <c r="E3409" s="2">
        <v>18.75</v>
      </c>
      <c r="F3409" s="3">
        <v>41.99</v>
      </c>
      <c r="G3409" s="4">
        <v>218.12</v>
      </c>
      <c r="H3409">
        <v>1.2</v>
      </c>
      <c r="I3409" s="4">
        <v>261.74</v>
      </c>
      <c r="J3409">
        <v>4.5</v>
      </c>
      <c r="K3409" t="s">
        <v>15</v>
      </c>
      <c r="L3409" t="s">
        <v>28</v>
      </c>
      <c r="O3409"/>
    </row>
    <row r="3410" spans="1:15" x14ac:dyDescent="0.3">
      <c r="A3410" t="s">
        <v>3434</v>
      </c>
      <c r="B3410" s="1">
        <v>45996</v>
      </c>
      <c r="C3410" t="s">
        <v>14</v>
      </c>
      <c r="D3410" t="s">
        <v>21</v>
      </c>
      <c r="E3410" s="2">
        <v>11.13</v>
      </c>
      <c r="F3410" s="3">
        <v>35.51</v>
      </c>
      <c r="G3410" s="4">
        <v>130.29</v>
      </c>
      <c r="H3410">
        <v>1.5</v>
      </c>
      <c r="I3410" s="4">
        <v>195.44</v>
      </c>
      <c r="J3410">
        <v>4</v>
      </c>
      <c r="K3410" t="s">
        <v>36</v>
      </c>
      <c r="L3410" t="s">
        <v>26</v>
      </c>
      <c r="O3410"/>
    </row>
    <row r="3411" spans="1:15" x14ac:dyDescent="0.3">
      <c r="A3411" t="s">
        <v>3435</v>
      </c>
      <c r="B3411" s="1">
        <v>45760</v>
      </c>
      <c r="C3411" t="s">
        <v>22</v>
      </c>
      <c r="D3411" t="s">
        <v>25</v>
      </c>
      <c r="E3411" s="2">
        <v>12.63</v>
      </c>
      <c r="F3411" s="3">
        <v>45.88</v>
      </c>
      <c r="G3411" s="4">
        <v>215.77</v>
      </c>
      <c r="H3411">
        <v>1</v>
      </c>
      <c r="I3411" s="4">
        <v>215.77</v>
      </c>
      <c r="J3411">
        <v>3.9</v>
      </c>
      <c r="K3411" t="s">
        <v>30</v>
      </c>
      <c r="L3411" t="s">
        <v>28</v>
      </c>
      <c r="O3411"/>
    </row>
    <row r="3412" spans="1:15" x14ac:dyDescent="0.3">
      <c r="A3412" t="s">
        <v>3436</v>
      </c>
      <c r="B3412" s="1">
        <v>46019</v>
      </c>
      <c r="C3412" t="s">
        <v>13</v>
      </c>
      <c r="D3412" t="s">
        <v>13</v>
      </c>
      <c r="E3412" s="2">
        <v>6.37</v>
      </c>
      <c r="F3412" s="3">
        <v>25.12</v>
      </c>
      <c r="G3412" s="4">
        <v>109.39</v>
      </c>
      <c r="H3412">
        <v>1.5</v>
      </c>
      <c r="I3412" s="4">
        <v>164.08</v>
      </c>
      <c r="J3412">
        <v>3.5</v>
      </c>
      <c r="K3412" t="s">
        <v>18</v>
      </c>
      <c r="L3412" t="s">
        <v>28</v>
      </c>
      <c r="O3412"/>
    </row>
    <row r="3413" spans="1:15" x14ac:dyDescent="0.3">
      <c r="A3413" t="s">
        <v>3437</v>
      </c>
      <c r="B3413" s="1">
        <v>45963</v>
      </c>
      <c r="C3413" t="s">
        <v>25</v>
      </c>
      <c r="D3413" t="s">
        <v>13</v>
      </c>
      <c r="E3413" s="2">
        <v>10.84</v>
      </c>
      <c r="F3413" s="3">
        <v>33.17</v>
      </c>
      <c r="G3413" s="4">
        <v>180.69</v>
      </c>
      <c r="H3413">
        <v>1</v>
      </c>
      <c r="I3413" s="4">
        <v>180.69</v>
      </c>
      <c r="J3413">
        <v>3.9</v>
      </c>
      <c r="K3413" t="s">
        <v>15</v>
      </c>
      <c r="L3413" t="s">
        <v>28</v>
      </c>
      <c r="O3413"/>
    </row>
    <row r="3414" spans="1:15" x14ac:dyDescent="0.3">
      <c r="A3414" t="s">
        <v>3438</v>
      </c>
      <c r="B3414" s="1">
        <v>45740</v>
      </c>
      <c r="C3414" t="s">
        <v>22</v>
      </c>
      <c r="D3414" t="s">
        <v>22</v>
      </c>
      <c r="E3414" s="2">
        <v>7.84</v>
      </c>
      <c r="F3414" s="3">
        <v>20.149999999999999</v>
      </c>
      <c r="G3414" s="4">
        <v>87.17</v>
      </c>
      <c r="H3414">
        <v>1.5</v>
      </c>
      <c r="I3414" s="4">
        <v>130.76</v>
      </c>
      <c r="J3414">
        <v>3.3</v>
      </c>
      <c r="K3414" t="s">
        <v>30</v>
      </c>
      <c r="L3414" t="s">
        <v>19</v>
      </c>
      <c r="O3414"/>
    </row>
    <row r="3415" spans="1:15" x14ac:dyDescent="0.3">
      <c r="A3415" t="s">
        <v>3439</v>
      </c>
      <c r="B3415" s="1">
        <v>45750</v>
      </c>
      <c r="C3415" t="s">
        <v>13</v>
      </c>
      <c r="D3415" t="s">
        <v>22</v>
      </c>
      <c r="E3415" s="2">
        <v>15.13</v>
      </c>
      <c r="F3415" s="3">
        <v>56.05</v>
      </c>
      <c r="G3415" s="4">
        <v>181.2</v>
      </c>
      <c r="H3415">
        <v>2</v>
      </c>
      <c r="I3415" s="4">
        <v>362.4</v>
      </c>
      <c r="J3415">
        <v>4.4000000000000004</v>
      </c>
      <c r="K3415" t="s">
        <v>36</v>
      </c>
      <c r="L3415" t="s">
        <v>19</v>
      </c>
      <c r="O3415"/>
    </row>
    <row r="3416" spans="1:15" x14ac:dyDescent="0.3">
      <c r="A3416" t="s">
        <v>3440</v>
      </c>
      <c r="B3416" s="1">
        <v>45967</v>
      </c>
      <c r="C3416" t="s">
        <v>13</v>
      </c>
      <c r="D3416" t="s">
        <v>14</v>
      </c>
      <c r="E3416" s="2">
        <v>6.08</v>
      </c>
      <c r="F3416" s="3">
        <v>14.19</v>
      </c>
      <c r="G3416" s="4">
        <v>96.43</v>
      </c>
      <c r="H3416">
        <v>1.5</v>
      </c>
      <c r="I3416" s="4">
        <v>144.65</v>
      </c>
      <c r="J3416">
        <v>3.6</v>
      </c>
      <c r="K3416" t="s">
        <v>15</v>
      </c>
      <c r="L3416" t="s">
        <v>19</v>
      </c>
      <c r="O3416"/>
    </row>
    <row r="3417" spans="1:15" x14ac:dyDescent="0.3">
      <c r="A3417" t="s">
        <v>3441</v>
      </c>
      <c r="B3417" s="1">
        <v>45961</v>
      </c>
      <c r="C3417" t="s">
        <v>13</v>
      </c>
      <c r="D3417" t="s">
        <v>21</v>
      </c>
      <c r="E3417" s="2">
        <v>17.04</v>
      </c>
      <c r="F3417" s="3">
        <v>40.07</v>
      </c>
      <c r="G3417" s="4">
        <v>277.95</v>
      </c>
      <c r="H3417">
        <v>1.5</v>
      </c>
      <c r="I3417" s="4">
        <v>416.92</v>
      </c>
      <c r="J3417">
        <v>3.5</v>
      </c>
      <c r="K3417" t="s">
        <v>18</v>
      </c>
      <c r="L3417" t="s">
        <v>26</v>
      </c>
      <c r="O3417"/>
    </row>
    <row r="3418" spans="1:15" x14ac:dyDescent="0.3">
      <c r="A3418" t="s">
        <v>3442</v>
      </c>
      <c r="B3418" s="1">
        <v>46019</v>
      </c>
      <c r="C3418" t="s">
        <v>22</v>
      </c>
      <c r="D3418" t="s">
        <v>25</v>
      </c>
      <c r="E3418" s="2">
        <v>20</v>
      </c>
      <c r="F3418" s="3">
        <v>63.17</v>
      </c>
      <c r="G3418" s="4">
        <v>228</v>
      </c>
      <c r="H3418">
        <v>1</v>
      </c>
      <c r="I3418" s="4">
        <v>228</v>
      </c>
      <c r="J3418">
        <v>3.6</v>
      </c>
      <c r="K3418" t="s">
        <v>36</v>
      </c>
      <c r="L3418" t="s">
        <v>26</v>
      </c>
      <c r="O3418"/>
    </row>
    <row r="3419" spans="1:15" x14ac:dyDescent="0.3">
      <c r="A3419" t="s">
        <v>3443</v>
      </c>
      <c r="B3419" s="1">
        <v>45719</v>
      </c>
      <c r="C3419" t="s">
        <v>25</v>
      </c>
      <c r="D3419" t="s">
        <v>25</v>
      </c>
      <c r="E3419" s="2">
        <v>24.46</v>
      </c>
      <c r="F3419" s="3">
        <v>93.34</v>
      </c>
      <c r="G3419" s="4">
        <v>443.61</v>
      </c>
      <c r="H3419">
        <v>1.2</v>
      </c>
      <c r="I3419" s="4">
        <v>532.33000000000004</v>
      </c>
      <c r="J3419">
        <v>3.5</v>
      </c>
      <c r="K3419" t="s">
        <v>15</v>
      </c>
      <c r="L3419" t="s">
        <v>28</v>
      </c>
      <c r="O3419"/>
    </row>
    <row r="3420" spans="1:15" x14ac:dyDescent="0.3">
      <c r="A3420" t="s">
        <v>3444</v>
      </c>
      <c r="B3420" s="1">
        <v>45726</v>
      </c>
      <c r="C3420" t="s">
        <v>25</v>
      </c>
      <c r="D3420" t="s">
        <v>22</v>
      </c>
      <c r="E3420" s="2">
        <v>10.6</v>
      </c>
      <c r="F3420" s="3">
        <v>21.8</v>
      </c>
      <c r="G3420" s="4">
        <v>153.69</v>
      </c>
      <c r="H3420">
        <v>1.2</v>
      </c>
      <c r="I3420" s="4">
        <v>184.43</v>
      </c>
      <c r="J3420">
        <v>4.7</v>
      </c>
      <c r="K3420" t="s">
        <v>36</v>
      </c>
      <c r="L3420" t="s">
        <v>28</v>
      </c>
      <c r="O3420"/>
    </row>
    <row r="3421" spans="1:15" x14ac:dyDescent="0.3">
      <c r="A3421" t="s">
        <v>3445</v>
      </c>
      <c r="B3421" s="1">
        <v>45826</v>
      </c>
      <c r="C3421" t="s">
        <v>22</v>
      </c>
      <c r="D3421" t="s">
        <v>22</v>
      </c>
      <c r="E3421" s="2">
        <v>24.7</v>
      </c>
      <c r="F3421" s="3">
        <v>61</v>
      </c>
      <c r="G3421" s="4">
        <v>414.16</v>
      </c>
      <c r="H3421">
        <v>1.2</v>
      </c>
      <c r="I3421" s="4">
        <v>496.99</v>
      </c>
      <c r="J3421">
        <v>3.5</v>
      </c>
      <c r="K3421" t="s">
        <v>33</v>
      </c>
      <c r="L3421" t="s">
        <v>19</v>
      </c>
      <c r="O3421"/>
    </row>
    <row r="3422" spans="1:15" x14ac:dyDescent="0.3">
      <c r="A3422" t="s">
        <v>3446</v>
      </c>
      <c r="B3422" s="1">
        <v>45770</v>
      </c>
      <c r="C3422" t="s">
        <v>21</v>
      </c>
      <c r="D3422" t="s">
        <v>13</v>
      </c>
      <c r="E3422" s="2">
        <v>21.71</v>
      </c>
      <c r="F3422" s="3">
        <v>52.88</v>
      </c>
      <c r="G3422" s="4">
        <v>255.44</v>
      </c>
      <c r="H3422">
        <v>1.2</v>
      </c>
      <c r="I3422" s="4">
        <v>306.52999999999997</v>
      </c>
      <c r="J3422">
        <v>3.7</v>
      </c>
      <c r="K3422" t="s">
        <v>33</v>
      </c>
      <c r="L3422" t="s">
        <v>26</v>
      </c>
      <c r="O3422"/>
    </row>
    <row r="3423" spans="1:15" x14ac:dyDescent="0.3">
      <c r="A3423" t="s">
        <v>3447</v>
      </c>
      <c r="B3423" s="1">
        <v>45961</v>
      </c>
      <c r="C3423" t="s">
        <v>22</v>
      </c>
      <c r="D3423" t="s">
        <v>21</v>
      </c>
      <c r="E3423" s="2">
        <v>7.79</v>
      </c>
      <c r="F3423" s="3">
        <v>18.440000000000001</v>
      </c>
      <c r="G3423" s="4">
        <v>78.680000000000007</v>
      </c>
      <c r="H3423">
        <v>1.2</v>
      </c>
      <c r="I3423" s="4">
        <v>94.42</v>
      </c>
      <c r="J3423">
        <v>4.8</v>
      </c>
      <c r="K3423" t="s">
        <v>30</v>
      </c>
      <c r="L3423" t="s">
        <v>19</v>
      </c>
      <c r="O3423"/>
    </row>
    <row r="3424" spans="1:15" x14ac:dyDescent="0.3">
      <c r="A3424" t="s">
        <v>3448</v>
      </c>
      <c r="B3424" s="1">
        <v>45993</v>
      </c>
      <c r="C3424" t="s">
        <v>22</v>
      </c>
      <c r="D3424" t="s">
        <v>21</v>
      </c>
      <c r="E3424" s="2">
        <v>2.56</v>
      </c>
      <c r="F3424" s="3">
        <v>7.32</v>
      </c>
      <c r="G3424" s="4">
        <v>45.78</v>
      </c>
      <c r="H3424">
        <v>1</v>
      </c>
      <c r="I3424" s="4">
        <v>45.78</v>
      </c>
      <c r="J3424">
        <v>4.0999999999999996</v>
      </c>
      <c r="K3424" t="s">
        <v>15</v>
      </c>
      <c r="L3424" t="s">
        <v>19</v>
      </c>
      <c r="O3424"/>
    </row>
    <row r="3425" spans="1:15" x14ac:dyDescent="0.3">
      <c r="A3425" t="s">
        <v>3449</v>
      </c>
      <c r="B3425" s="1">
        <v>45942</v>
      </c>
      <c r="C3425" t="s">
        <v>22</v>
      </c>
      <c r="D3425" t="s">
        <v>14</v>
      </c>
      <c r="E3425" s="2">
        <v>1.28</v>
      </c>
      <c r="F3425" s="3">
        <v>5.03</v>
      </c>
      <c r="G3425" s="4">
        <v>17.170000000000002</v>
      </c>
      <c r="H3425">
        <v>1</v>
      </c>
      <c r="I3425" s="4">
        <v>17.170000000000002</v>
      </c>
      <c r="J3425">
        <v>3</v>
      </c>
      <c r="K3425" t="s">
        <v>33</v>
      </c>
      <c r="L3425" t="s">
        <v>19</v>
      </c>
      <c r="O3425"/>
    </row>
    <row r="3426" spans="1:15" x14ac:dyDescent="0.3">
      <c r="A3426" t="s">
        <v>3450</v>
      </c>
      <c r="B3426" s="1">
        <v>45668</v>
      </c>
      <c r="C3426" t="s">
        <v>13</v>
      </c>
      <c r="D3426" t="s">
        <v>13</v>
      </c>
      <c r="E3426" s="2">
        <v>14.67</v>
      </c>
      <c r="F3426" s="3">
        <v>39.72</v>
      </c>
      <c r="G3426" s="4">
        <v>198.89</v>
      </c>
      <c r="H3426">
        <v>2</v>
      </c>
      <c r="I3426" s="4">
        <v>397.78</v>
      </c>
      <c r="J3426">
        <v>4.3</v>
      </c>
      <c r="K3426" t="s">
        <v>30</v>
      </c>
      <c r="L3426" t="s">
        <v>19</v>
      </c>
      <c r="O3426"/>
    </row>
    <row r="3427" spans="1:15" x14ac:dyDescent="0.3">
      <c r="A3427" t="s">
        <v>3451</v>
      </c>
      <c r="B3427" s="1">
        <v>45901</v>
      </c>
      <c r="C3427" t="s">
        <v>22</v>
      </c>
      <c r="D3427" t="s">
        <v>21</v>
      </c>
      <c r="E3427" s="2">
        <v>14.59</v>
      </c>
      <c r="F3427" s="3">
        <v>52.79</v>
      </c>
      <c r="G3427" s="4">
        <v>280.54000000000002</v>
      </c>
      <c r="H3427">
        <v>2</v>
      </c>
      <c r="I3427" s="4">
        <v>561.08000000000004</v>
      </c>
      <c r="J3427">
        <v>5</v>
      </c>
      <c r="K3427" t="s">
        <v>36</v>
      </c>
      <c r="L3427" t="s">
        <v>16</v>
      </c>
      <c r="O3427"/>
    </row>
    <row r="3428" spans="1:15" x14ac:dyDescent="0.3">
      <c r="A3428" t="s">
        <v>3452</v>
      </c>
      <c r="B3428" s="1">
        <v>45895</v>
      </c>
      <c r="C3428" t="s">
        <v>22</v>
      </c>
      <c r="D3428" t="s">
        <v>25</v>
      </c>
      <c r="E3428" s="2">
        <v>5.61</v>
      </c>
      <c r="F3428" s="3">
        <v>16.8</v>
      </c>
      <c r="G3428" s="4">
        <v>61.16</v>
      </c>
      <c r="H3428">
        <v>1.2</v>
      </c>
      <c r="I3428" s="4">
        <v>73.39</v>
      </c>
      <c r="J3428">
        <v>4.9000000000000004</v>
      </c>
      <c r="K3428" t="s">
        <v>36</v>
      </c>
      <c r="L3428" t="s">
        <v>16</v>
      </c>
      <c r="O3428"/>
    </row>
    <row r="3429" spans="1:15" x14ac:dyDescent="0.3">
      <c r="A3429" t="s">
        <v>3453</v>
      </c>
      <c r="B3429" s="1">
        <v>45881</v>
      </c>
      <c r="C3429" t="s">
        <v>13</v>
      </c>
      <c r="D3429" t="s">
        <v>25</v>
      </c>
      <c r="E3429" s="2">
        <v>25.77</v>
      </c>
      <c r="F3429" s="3">
        <v>102.99</v>
      </c>
      <c r="G3429" s="4">
        <v>304.77</v>
      </c>
      <c r="H3429">
        <v>1.5</v>
      </c>
      <c r="I3429" s="4">
        <v>457.16</v>
      </c>
      <c r="J3429">
        <v>3.1</v>
      </c>
      <c r="K3429" t="s">
        <v>33</v>
      </c>
      <c r="L3429" t="s">
        <v>28</v>
      </c>
      <c r="O3429"/>
    </row>
    <row r="3430" spans="1:15" x14ac:dyDescent="0.3">
      <c r="A3430" t="s">
        <v>3454</v>
      </c>
      <c r="B3430" s="1">
        <v>45942</v>
      </c>
      <c r="C3430" t="s">
        <v>25</v>
      </c>
      <c r="D3430" t="s">
        <v>22</v>
      </c>
      <c r="E3430" s="2">
        <v>9.66</v>
      </c>
      <c r="F3430" s="3">
        <v>29.25</v>
      </c>
      <c r="G3430" s="4">
        <v>135.85</v>
      </c>
      <c r="H3430">
        <v>1</v>
      </c>
      <c r="I3430" s="4">
        <v>135.85</v>
      </c>
      <c r="J3430">
        <v>3.8</v>
      </c>
      <c r="K3430" t="s">
        <v>15</v>
      </c>
      <c r="L3430" t="s">
        <v>19</v>
      </c>
      <c r="O3430"/>
    </row>
    <row r="3431" spans="1:15" x14ac:dyDescent="0.3">
      <c r="A3431" t="s">
        <v>3455</v>
      </c>
      <c r="B3431" s="1">
        <v>45787</v>
      </c>
      <c r="C3431" t="s">
        <v>22</v>
      </c>
      <c r="D3431" t="s">
        <v>13</v>
      </c>
      <c r="E3431" s="2">
        <v>28.63</v>
      </c>
      <c r="F3431" s="3">
        <v>73.260000000000005</v>
      </c>
      <c r="G3431" s="4">
        <v>495.74</v>
      </c>
      <c r="H3431">
        <v>1.5</v>
      </c>
      <c r="I3431" s="4">
        <v>743.61</v>
      </c>
      <c r="J3431">
        <v>3.4</v>
      </c>
      <c r="K3431" t="s">
        <v>15</v>
      </c>
      <c r="L3431" t="s">
        <v>26</v>
      </c>
      <c r="O3431"/>
    </row>
    <row r="3432" spans="1:15" x14ac:dyDescent="0.3">
      <c r="A3432" t="s">
        <v>3456</v>
      </c>
      <c r="B3432" s="1">
        <v>45910</v>
      </c>
      <c r="C3432" t="s">
        <v>25</v>
      </c>
      <c r="D3432" t="s">
        <v>13</v>
      </c>
      <c r="E3432" s="2">
        <v>8.6</v>
      </c>
      <c r="F3432" s="3">
        <v>25.65</v>
      </c>
      <c r="G3432" s="4">
        <v>122.05</v>
      </c>
      <c r="H3432">
        <v>2</v>
      </c>
      <c r="I3432" s="4">
        <v>244.1</v>
      </c>
      <c r="J3432">
        <v>4.5</v>
      </c>
      <c r="K3432" t="s">
        <v>18</v>
      </c>
      <c r="L3432" t="s">
        <v>28</v>
      </c>
      <c r="O3432"/>
    </row>
    <row r="3433" spans="1:15" x14ac:dyDescent="0.3">
      <c r="A3433" t="s">
        <v>3457</v>
      </c>
      <c r="B3433" s="1">
        <v>46008</v>
      </c>
      <c r="C3433" t="s">
        <v>22</v>
      </c>
      <c r="D3433" t="s">
        <v>14</v>
      </c>
      <c r="E3433" s="2">
        <v>27.72</v>
      </c>
      <c r="F3433" s="3">
        <v>62.04</v>
      </c>
      <c r="G3433" s="4">
        <v>322.42</v>
      </c>
      <c r="H3433">
        <v>2</v>
      </c>
      <c r="I3433" s="4">
        <v>644.84</v>
      </c>
      <c r="J3433">
        <v>3.6</v>
      </c>
      <c r="K3433" t="s">
        <v>15</v>
      </c>
      <c r="L3433" t="s">
        <v>16</v>
      </c>
      <c r="O3433"/>
    </row>
    <row r="3434" spans="1:15" x14ac:dyDescent="0.3">
      <c r="A3434" t="s">
        <v>3458</v>
      </c>
      <c r="B3434" s="1">
        <v>45877</v>
      </c>
      <c r="C3434" t="s">
        <v>22</v>
      </c>
      <c r="D3434" t="s">
        <v>13</v>
      </c>
      <c r="E3434" s="2">
        <v>23.49</v>
      </c>
      <c r="F3434" s="3">
        <v>62.21</v>
      </c>
      <c r="G3434" s="4">
        <v>255.49</v>
      </c>
      <c r="H3434">
        <v>2</v>
      </c>
      <c r="I3434" s="4">
        <v>510.98</v>
      </c>
      <c r="J3434">
        <v>4.4000000000000004</v>
      </c>
      <c r="K3434" t="s">
        <v>36</v>
      </c>
      <c r="L3434" t="s">
        <v>28</v>
      </c>
      <c r="O3434"/>
    </row>
    <row r="3435" spans="1:15" x14ac:dyDescent="0.3">
      <c r="A3435" t="s">
        <v>3459</v>
      </c>
      <c r="B3435" s="1">
        <v>45873</v>
      </c>
      <c r="C3435" t="s">
        <v>21</v>
      </c>
      <c r="D3435" t="s">
        <v>25</v>
      </c>
      <c r="E3435" s="2">
        <v>16.399999999999999</v>
      </c>
      <c r="F3435" s="3">
        <v>63.69</v>
      </c>
      <c r="G3435" s="4">
        <v>257.91000000000003</v>
      </c>
      <c r="H3435">
        <v>1.5</v>
      </c>
      <c r="I3435" s="4">
        <v>386.86</v>
      </c>
      <c r="J3435">
        <v>3.2</v>
      </c>
      <c r="K3435" t="s">
        <v>18</v>
      </c>
      <c r="L3435" t="s">
        <v>19</v>
      </c>
      <c r="O3435"/>
    </row>
    <row r="3436" spans="1:15" x14ac:dyDescent="0.3">
      <c r="A3436" t="s">
        <v>3460</v>
      </c>
      <c r="B3436" s="1">
        <v>45819</v>
      </c>
      <c r="C3436" t="s">
        <v>14</v>
      </c>
      <c r="D3436" t="s">
        <v>13</v>
      </c>
      <c r="E3436" s="2">
        <v>19.37</v>
      </c>
      <c r="F3436" s="3">
        <v>73.37</v>
      </c>
      <c r="G3436" s="4">
        <v>307.58999999999997</v>
      </c>
      <c r="H3436">
        <v>2</v>
      </c>
      <c r="I3436" s="4">
        <v>615.17999999999995</v>
      </c>
      <c r="J3436">
        <v>3.8</v>
      </c>
      <c r="K3436" t="s">
        <v>33</v>
      </c>
      <c r="L3436" t="s">
        <v>19</v>
      </c>
      <c r="O3436"/>
    </row>
    <row r="3437" spans="1:15" x14ac:dyDescent="0.3">
      <c r="A3437" t="s">
        <v>3461</v>
      </c>
      <c r="B3437" s="1">
        <v>46007</v>
      </c>
      <c r="C3437" t="s">
        <v>22</v>
      </c>
      <c r="D3437" t="s">
        <v>13</v>
      </c>
      <c r="E3437" s="2">
        <v>26.58</v>
      </c>
      <c r="F3437" s="3">
        <v>57.85</v>
      </c>
      <c r="G3437" s="4">
        <v>355.34</v>
      </c>
      <c r="H3437">
        <v>1</v>
      </c>
      <c r="I3437" s="4">
        <v>355.34</v>
      </c>
      <c r="J3437">
        <v>3.8</v>
      </c>
      <c r="K3437" t="s">
        <v>36</v>
      </c>
      <c r="L3437" t="s">
        <v>16</v>
      </c>
      <c r="O3437"/>
    </row>
    <row r="3438" spans="1:15" x14ac:dyDescent="0.3">
      <c r="A3438" t="s">
        <v>3462</v>
      </c>
      <c r="B3438" s="1">
        <v>45934</v>
      </c>
      <c r="C3438" t="s">
        <v>13</v>
      </c>
      <c r="D3438" t="s">
        <v>22</v>
      </c>
      <c r="E3438" s="2">
        <v>4.49</v>
      </c>
      <c r="F3438" s="3">
        <v>10.050000000000001</v>
      </c>
      <c r="G3438" s="4">
        <v>86.88</v>
      </c>
      <c r="H3438">
        <v>1</v>
      </c>
      <c r="I3438" s="4">
        <v>86.88</v>
      </c>
      <c r="J3438">
        <v>4.2</v>
      </c>
      <c r="K3438" t="s">
        <v>15</v>
      </c>
      <c r="L3438" t="s">
        <v>26</v>
      </c>
      <c r="O3438"/>
    </row>
    <row r="3439" spans="1:15" x14ac:dyDescent="0.3">
      <c r="A3439" t="s">
        <v>3463</v>
      </c>
      <c r="B3439" s="1">
        <v>45936</v>
      </c>
      <c r="C3439" t="s">
        <v>22</v>
      </c>
      <c r="D3439" t="s">
        <v>25</v>
      </c>
      <c r="E3439" s="2">
        <v>2.0299999999999998</v>
      </c>
      <c r="F3439" s="3">
        <v>5.18</v>
      </c>
      <c r="G3439" s="4">
        <v>34.380000000000003</v>
      </c>
      <c r="H3439">
        <v>1.2</v>
      </c>
      <c r="I3439" s="4">
        <v>41.26</v>
      </c>
      <c r="J3439">
        <v>4.5999999999999996</v>
      </c>
      <c r="K3439" t="s">
        <v>33</v>
      </c>
      <c r="L3439" t="s">
        <v>19</v>
      </c>
      <c r="O3439"/>
    </row>
    <row r="3440" spans="1:15" x14ac:dyDescent="0.3">
      <c r="A3440" t="s">
        <v>3464</v>
      </c>
      <c r="B3440" s="1">
        <v>45773</v>
      </c>
      <c r="C3440" t="s">
        <v>14</v>
      </c>
      <c r="D3440" t="s">
        <v>22</v>
      </c>
      <c r="E3440" s="2">
        <v>27.6</v>
      </c>
      <c r="F3440" s="3">
        <v>61.53</v>
      </c>
      <c r="G3440" s="4">
        <v>295.66000000000003</v>
      </c>
      <c r="H3440">
        <v>1.5</v>
      </c>
      <c r="I3440" s="4">
        <v>443.49</v>
      </c>
      <c r="J3440">
        <v>4.0999999999999996</v>
      </c>
      <c r="K3440" t="s">
        <v>15</v>
      </c>
      <c r="L3440" t="s">
        <v>16</v>
      </c>
      <c r="O3440"/>
    </row>
    <row r="3441" spans="1:15" x14ac:dyDescent="0.3">
      <c r="A3441" t="s">
        <v>3465</v>
      </c>
      <c r="B3441" s="1">
        <v>46012</v>
      </c>
      <c r="C3441" t="s">
        <v>25</v>
      </c>
      <c r="D3441" t="s">
        <v>13</v>
      </c>
      <c r="E3441" s="2">
        <v>11.66</v>
      </c>
      <c r="F3441" s="3">
        <v>41.56</v>
      </c>
      <c r="G3441" s="4">
        <v>136.02000000000001</v>
      </c>
      <c r="H3441">
        <v>1.5</v>
      </c>
      <c r="I3441" s="4">
        <v>204.03</v>
      </c>
      <c r="J3441">
        <v>3.1</v>
      </c>
      <c r="K3441" t="s">
        <v>18</v>
      </c>
      <c r="L3441" t="s">
        <v>19</v>
      </c>
      <c r="O3441"/>
    </row>
    <row r="3442" spans="1:15" x14ac:dyDescent="0.3">
      <c r="A3442" t="s">
        <v>3466</v>
      </c>
      <c r="B3442" s="1">
        <v>45658</v>
      </c>
      <c r="C3442" t="s">
        <v>13</v>
      </c>
      <c r="D3442" t="s">
        <v>14</v>
      </c>
      <c r="E3442" s="2">
        <v>25.76</v>
      </c>
      <c r="F3442" s="3">
        <v>90.41</v>
      </c>
      <c r="G3442" s="4">
        <v>390.82</v>
      </c>
      <c r="H3442">
        <v>1.2</v>
      </c>
      <c r="I3442" s="4">
        <v>468.98</v>
      </c>
      <c r="J3442">
        <v>4.0999999999999996</v>
      </c>
      <c r="K3442" t="s">
        <v>33</v>
      </c>
      <c r="L3442" t="s">
        <v>26</v>
      </c>
      <c r="O3442"/>
    </row>
    <row r="3443" spans="1:15" x14ac:dyDescent="0.3">
      <c r="A3443" t="s">
        <v>3467</v>
      </c>
      <c r="B3443" s="1">
        <v>45985</v>
      </c>
      <c r="C3443" t="s">
        <v>21</v>
      </c>
      <c r="D3443" t="s">
        <v>22</v>
      </c>
      <c r="E3443" s="2">
        <v>2.69</v>
      </c>
      <c r="F3443" s="3">
        <v>9.01</v>
      </c>
      <c r="G3443" s="4">
        <v>47.53</v>
      </c>
      <c r="H3443">
        <v>2</v>
      </c>
      <c r="I3443" s="4">
        <v>95.06</v>
      </c>
      <c r="J3443">
        <v>4.9000000000000004</v>
      </c>
      <c r="K3443" t="s">
        <v>33</v>
      </c>
      <c r="L3443" t="s">
        <v>16</v>
      </c>
      <c r="O3443"/>
    </row>
    <row r="3444" spans="1:15" x14ac:dyDescent="0.3">
      <c r="A3444" t="s">
        <v>3468</v>
      </c>
      <c r="B3444" s="1">
        <v>45982</v>
      </c>
      <c r="C3444" t="s">
        <v>25</v>
      </c>
      <c r="D3444" t="s">
        <v>21</v>
      </c>
      <c r="E3444" s="2">
        <v>4.03</v>
      </c>
      <c r="F3444" s="3">
        <v>13.65</v>
      </c>
      <c r="G3444" s="4">
        <v>47.62</v>
      </c>
      <c r="H3444">
        <v>1.5</v>
      </c>
      <c r="I3444" s="4">
        <v>71.430000000000007</v>
      </c>
      <c r="J3444">
        <v>4.2</v>
      </c>
      <c r="K3444" t="s">
        <v>15</v>
      </c>
      <c r="L3444" t="s">
        <v>28</v>
      </c>
      <c r="O3444"/>
    </row>
    <row r="3445" spans="1:15" x14ac:dyDescent="0.3">
      <c r="A3445" t="s">
        <v>3469</v>
      </c>
      <c r="B3445" s="1">
        <v>45888</v>
      </c>
      <c r="C3445" t="s">
        <v>13</v>
      </c>
      <c r="D3445" t="s">
        <v>14</v>
      </c>
      <c r="E3445" s="2">
        <v>26.79</v>
      </c>
      <c r="F3445" s="3">
        <v>91.98</v>
      </c>
      <c r="G3445" s="4">
        <v>483.71</v>
      </c>
      <c r="H3445">
        <v>1</v>
      </c>
      <c r="I3445" s="4">
        <v>483.71</v>
      </c>
      <c r="J3445">
        <v>3.9</v>
      </c>
      <c r="K3445" t="s">
        <v>30</v>
      </c>
      <c r="L3445" t="s">
        <v>26</v>
      </c>
      <c r="O3445"/>
    </row>
    <row r="3446" spans="1:15" x14ac:dyDescent="0.3">
      <c r="A3446" t="s">
        <v>3470</v>
      </c>
      <c r="B3446" s="1">
        <v>45659</v>
      </c>
      <c r="C3446" t="s">
        <v>22</v>
      </c>
      <c r="D3446" t="s">
        <v>21</v>
      </c>
      <c r="E3446" s="2">
        <v>28.99</v>
      </c>
      <c r="F3446" s="3">
        <v>92.84</v>
      </c>
      <c r="G3446" s="4">
        <v>525.66</v>
      </c>
      <c r="H3446">
        <v>2</v>
      </c>
      <c r="I3446" s="4">
        <v>1051.32</v>
      </c>
      <c r="J3446">
        <v>3.7</v>
      </c>
      <c r="K3446" t="s">
        <v>18</v>
      </c>
      <c r="L3446" t="s">
        <v>28</v>
      </c>
      <c r="O3446"/>
    </row>
    <row r="3447" spans="1:15" x14ac:dyDescent="0.3">
      <c r="A3447" t="s">
        <v>3471</v>
      </c>
      <c r="B3447" s="1">
        <v>45714</v>
      </c>
      <c r="C3447" t="s">
        <v>21</v>
      </c>
      <c r="D3447" t="s">
        <v>13</v>
      </c>
      <c r="E3447" s="2">
        <v>21.4</v>
      </c>
      <c r="F3447" s="3">
        <v>56.51</v>
      </c>
      <c r="G3447" s="4">
        <v>411.79</v>
      </c>
      <c r="H3447">
        <v>1</v>
      </c>
      <c r="I3447" s="4">
        <v>411.79</v>
      </c>
      <c r="J3447">
        <v>3.2</v>
      </c>
      <c r="K3447" t="s">
        <v>33</v>
      </c>
      <c r="L3447" t="s">
        <v>26</v>
      </c>
      <c r="O3447"/>
    </row>
    <row r="3448" spans="1:15" x14ac:dyDescent="0.3">
      <c r="A3448" t="s">
        <v>3472</v>
      </c>
      <c r="B3448" s="1">
        <v>45744</v>
      </c>
      <c r="C3448" t="s">
        <v>13</v>
      </c>
      <c r="D3448" t="s">
        <v>25</v>
      </c>
      <c r="E3448" s="2">
        <v>1.9</v>
      </c>
      <c r="F3448" s="3">
        <v>4.83</v>
      </c>
      <c r="G3448" s="4">
        <v>23.15</v>
      </c>
      <c r="H3448">
        <v>1</v>
      </c>
      <c r="I3448" s="4">
        <v>23.15</v>
      </c>
      <c r="J3448">
        <v>3.7</v>
      </c>
      <c r="K3448" t="s">
        <v>15</v>
      </c>
      <c r="L3448" t="s">
        <v>28</v>
      </c>
      <c r="O3448"/>
    </row>
    <row r="3449" spans="1:15" x14ac:dyDescent="0.3">
      <c r="A3449" t="s">
        <v>3473</v>
      </c>
      <c r="B3449" s="1">
        <v>45821</v>
      </c>
      <c r="C3449" t="s">
        <v>21</v>
      </c>
      <c r="D3449" t="s">
        <v>25</v>
      </c>
      <c r="E3449" s="2">
        <v>14.59</v>
      </c>
      <c r="F3449" s="3">
        <v>31.45</v>
      </c>
      <c r="G3449" s="4">
        <v>184.1</v>
      </c>
      <c r="H3449">
        <v>2</v>
      </c>
      <c r="I3449" s="4">
        <v>368.2</v>
      </c>
      <c r="J3449">
        <v>3.9</v>
      </c>
      <c r="K3449" t="s">
        <v>30</v>
      </c>
      <c r="L3449" t="s">
        <v>19</v>
      </c>
      <c r="O3449"/>
    </row>
    <row r="3450" spans="1:15" x14ac:dyDescent="0.3">
      <c r="A3450" t="s">
        <v>3474</v>
      </c>
      <c r="B3450" s="1">
        <v>45812</v>
      </c>
      <c r="C3450" t="s">
        <v>14</v>
      </c>
      <c r="D3450" t="s">
        <v>21</v>
      </c>
      <c r="E3450" s="2">
        <v>2.04</v>
      </c>
      <c r="F3450" s="3">
        <v>4.6900000000000004</v>
      </c>
      <c r="G3450" s="4">
        <v>34.67</v>
      </c>
      <c r="H3450">
        <v>1.5</v>
      </c>
      <c r="I3450" s="4">
        <v>52</v>
      </c>
      <c r="J3450">
        <v>4.0999999999999996</v>
      </c>
      <c r="K3450" t="s">
        <v>18</v>
      </c>
      <c r="L3450" t="s">
        <v>28</v>
      </c>
      <c r="O3450"/>
    </row>
    <row r="3451" spans="1:15" x14ac:dyDescent="0.3">
      <c r="A3451" t="s">
        <v>3475</v>
      </c>
      <c r="B3451" s="1">
        <v>45760</v>
      </c>
      <c r="C3451" t="s">
        <v>25</v>
      </c>
      <c r="D3451" t="s">
        <v>13</v>
      </c>
      <c r="E3451" s="2">
        <v>16.649999999999999</v>
      </c>
      <c r="F3451" s="3">
        <v>39.39</v>
      </c>
      <c r="G3451" s="4">
        <v>239.55</v>
      </c>
      <c r="H3451">
        <v>1.2</v>
      </c>
      <c r="I3451" s="4">
        <v>287.45999999999998</v>
      </c>
      <c r="J3451">
        <v>3.1</v>
      </c>
      <c r="K3451" t="s">
        <v>30</v>
      </c>
      <c r="L3451" t="s">
        <v>16</v>
      </c>
      <c r="O3451"/>
    </row>
    <row r="3452" spans="1:15" x14ac:dyDescent="0.3">
      <c r="A3452" t="s">
        <v>3476</v>
      </c>
      <c r="B3452" s="1">
        <v>45899</v>
      </c>
      <c r="C3452" t="s">
        <v>25</v>
      </c>
      <c r="D3452" t="s">
        <v>21</v>
      </c>
      <c r="E3452" s="2">
        <v>5.31</v>
      </c>
      <c r="F3452" s="3">
        <v>18.309999999999999</v>
      </c>
      <c r="G3452" s="4">
        <v>63.02</v>
      </c>
      <c r="H3452">
        <v>1.5</v>
      </c>
      <c r="I3452" s="4">
        <v>94.53</v>
      </c>
      <c r="J3452">
        <v>3.3</v>
      </c>
      <c r="K3452" t="s">
        <v>18</v>
      </c>
      <c r="L3452" t="s">
        <v>28</v>
      </c>
      <c r="O3452"/>
    </row>
    <row r="3453" spans="1:15" x14ac:dyDescent="0.3">
      <c r="A3453" t="s">
        <v>3477</v>
      </c>
      <c r="B3453" s="1">
        <v>45810</v>
      </c>
      <c r="C3453" t="s">
        <v>14</v>
      </c>
      <c r="D3453" t="s">
        <v>21</v>
      </c>
      <c r="E3453" s="2">
        <v>14.16</v>
      </c>
      <c r="F3453" s="3">
        <v>52.43</v>
      </c>
      <c r="G3453" s="4">
        <v>241.94</v>
      </c>
      <c r="H3453">
        <v>1.5</v>
      </c>
      <c r="I3453" s="4">
        <v>362.91</v>
      </c>
      <c r="J3453">
        <v>3.8</v>
      </c>
      <c r="K3453" t="s">
        <v>36</v>
      </c>
      <c r="L3453" t="s">
        <v>19</v>
      </c>
      <c r="O3453"/>
    </row>
    <row r="3454" spans="1:15" x14ac:dyDescent="0.3">
      <c r="A3454" t="s">
        <v>3478</v>
      </c>
      <c r="B3454" s="1">
        <v>45778</v>
      </c>
      <c r="C3454" t="s">
        <v>14</v>
      </c>
      <c r="D3454" t="s">
        <v>21</v>
      </c>
      <c r="E3454" s="2">
        <v>26.26</v>
      </c>
      <c r="F3454" s="3">
        <v>53.48</v>
      </c>
      <c r="G3454" s="4">
        <v>405.78</v>
      </c>
      <c r="H3454">
        <v>2</v>
      </c>
      <c r="I3454" s="4">
        <v>811.56</v>
      </c>
      <c r="J3454">
        <v>4.4000000000000004</v>
      </c>
      <c r="K3454" t="s">
        <v>15</v>
      </c>
      <c r="L3454" t="s">
        <v>28</v>
      </c>
      <c r="O3454"/>
    </row>
    <row r="3455" spans="1:15" x14ac:dyDescent="0.3">
      <c r="A3455" t="s">
        <v>3479</v>
      </c>
      <c r="B3455" s="1">
        <v>45938</v>
      </c>
      <c r="C3455" t="s">
        <v>13</v>
      </c>
      <c r="D3455" t="s">
        <v>22</v>
      </c>
      <c r="E3455" s="2">
        <v>7.88</v>
      </c>
      <c r="F3455" s="3">
        <v>18.75</v>
      </c>
      <c r="G3455" s="4">
        <v>126.85</v>
      </c>
      <c r="H3455">
        <v>2</v>
      </c>
      <c r="I3455" s="4">
        <v>253.7</v>
      </c>
      <c r="J3455">
        <v>4.3</v>
      </c>
      <c r="K3455" t="s">
        <v>15</v>
      </c>
      <c r="L3455" t="s">
        <v>28</v>
      </c>
      <c r="O3455"/>
    </row>
    <row r="3456" spans="1:15" x14ac:dyDescent="0.3">
      <c r="A3456" t="s">
        <v>3480</v>
      </c>
      <c r="B3456" s="1">
        <v>45678</v>
      </c>
      <c r="C3456" t="s">
        <v>13</v>
      </c>
      <c r="D3456" t="s">
        <v>22</v>
      </c>
      <c r="E3456" s="2">
        <v>1.1299999999999999</v>
      </c>
      <c r="F3456" s="3">
        <v>3.51</v>
      </c>
      <c r="G3456" s="4">
        <v>21.84</v>
      </c>
      <c r="H3456">
        <v>1</v>
      </c>
      <c r="I3456" s="4">
        <v>21.84</v>
      </c>
      <c r="J3456">
        <v>3.5</v>
      </c>
      <c r="K3456" t="s">
        <v>18</v>
      </c>
      <c r="L3456" t="s">
        <v>19</v>
      </c>
      <c r="O3456"/>
    </row>
    <row r="3457" spans="1:15" x14ac:dyDescent="0.3">
      <c r="A3457" t="s">
        <v>3481</v>
      </c>
      <c r="B3457" s="1">
        <v>45734</v>
      </c>
      <c r="C3457" t="s">
        <v>21</v>
      </c>
      <c r="D3457" t="s">
        <v>22</v>
      </c>
      <c r="E3457" s="2">
        <v>11.35</v>
      </c>
      <c r="F3457" s="3">
        <v>25.87</v>
      </c>
      <c r="G3457" s="4">
        <v>158.72</v>
      </c>
      <c r="H3457">
        <v>2</v>
      </c>
      <c r="I3457" s="4">
        <v>317.44</v>
      </c>
      <c r="J3457">
        <v>4.3</v>
      </c>
      <c r="K3457" t="s">
        <v>30</v>
      </c>
      <c r="L3457" t="s">
        <v>26</v>
      </c>
      <c r="O3457"/>
    </row>
    <row r="3458" spans="1:15" x14ac:dyDescent="0.3">
      <c r="A3458" t="s">
        <v>3482</v>
      </c>
      <c r="B3458" s="1">
        <v>45831</v>
      </c>
      <c r="C3458" t="s">
        <v>21</v>
      </c>
      <c r="D3458" t="s">
        <v>14</v>
      </c>
      <c r="E3458" s="2">
        <v>15.64</v>
      </c>
      <c r="F3458" s="3">
        <v>48.07</v>
      </c>
      <c r="G3458" s="4">
        <v>160.16</v>
      </c>
      <c r="H3458">
        <v>1.2</v>
      </c>
      <c r="I3458" s="4">
        <v>192.19</v>
      </c>
      <c r="J3458">
        <v>4.8</v>
      </c>
      <c r="K3458" t="s">
        <v>36</v>
      </c>
      <c r="L3458" t="s">
        <v>26</v>
      </c>
      <c r="O3458"/>
    </row>
    <row r="3459" spans="1:15" x14ac:dyDescent="0.3">
      <c r="A3459" t="s">
        <v>3483</v>
      </c>
      <c r="B3459" s="1">
        <v>45907</v>
      </c>
      <c r="C3459" t="s">
        <v>21</v>
      </c>
      <c r="D3459" t="s">
        <v>14</v>
      </c>
      <c r="E3459" s="2">
        <v>29.63</v>
      </c>
      <c r="F3459" s="3">
        <v>76.78</v>
      </c>
      <c r="G3459" s="4">
        <v>561.96</v>
      </c>
      <c r="H3459">
        <v>1</v>
      </c>
      <c r="I3459" s="4">
        <v>561.96</v>
      </c>
      <c r="J3459">
        <v>4</v>
      </c>
      <c r="K3459" t="s">
        <v>30</v>
      </c>
      <c r="L3459" t="s">
        <v>26</v>
      </c>
      <c r="O3459"/>
    </row>
    <row r="3460" spans="1:15" x14ac:dyDescent="0.3">
      <c r="A3460" t="s">
        <v>3484</v>
      </c>
      <c r="B3460" s="1">
        <v>45812</v>
      </c>
      <c r="C3460" t="s">
        <v>22</v>
      </c>
      <c r="D3460" t="s">
        <v>22</v>
      </c>
      <c r="E3460" s="2">
        <v>21.74</v>
      </c>
      <c r="F3460" s="3">
        <v>85.09</v>
      </c>
      <c r="G3460" s="4">
        <v>367.62</v>
      </c>
      <c r="H3460">
        <v>1.5</v>
      </c>
      <c r="I3460" s="4">
        <v>551.42999999999995</v>
      </c>
      <c r="J3460">
        <v>4.9000000000000004</v>
      </c>
      <c r="K3460" t="s">
        <v>33</v>
      </c>
      <c r="L3460" t="s">
        <v>19</v>
      </c>
      <c r="O3460"/>
    </row>
    <row r="3461" spans="1:15" x14ac:dyDescent="0.3">
      <c r="A3461" t="s">
        <v>3485</v>
      </c>
      <c r="B3461" s="1">
        <v>46003</v>
      </c>
      <c r="C3461" t="s">
        <v>13</v>
      </c>
      <c r="D3461" t="s">
        <v>14</v>
      </c>
      <c r="E3461" s="2">
        <v>17.78</v>
      </c>
      <c r="F3461" s="3">
        <v>59.58</v>
      </c>
      <c r="G3461" s="4">
        <v>288.89999999999998</v>
      </c>
      <c r="H3461">
        <v>2</v>
      </c>
      <c r="I3461" s="4">
        <v>577.79999999999995</v>
      </c>
      <c r="J3461">
        <v>4.3</v>
      </c>
      <c r="K3461" t="s">
        <v>33</v>
      </c>
      <c r="L3461" t="s">
        <v>16</v>
      </c>
      <c r="O3461"/>
    </row>
    <row r="3462" spans="1:15" x14ac:dyDescent="0.3">
      <c r="A3462" t="s">
        <v>3486</v>
      </c>
      <c r="B3462" s="1">
        <v>45954</v>
      </c>
      <c r="C3462" t="s">
        <v>13</v>
      </c>
      <c r="D3462" t="s">
        <v>22</v>
      </c>
      <c r="E3462" s="2">
        <v>12.84</v>
      </c>
      <c r="F3462" s="3">
        <v>40.9</v>
      </c>
      <c r="G3462" s="4">
        <v>133.01</v>
      </c>
      <c r="H3462">
        <v>2</v>
      </c>
      <c r="I3462" s="4">
        <v>266.02</v>
      </c>
      <c r="J3462">
        <v>3.9</v>
      </c>
      <c r="K3462" t="s">
        <v>15</v>
      </c>
      <c r="L3462" t="s">
        <v>26</v>
      </c>
      <c r="O3462"/>
    </row>
    <row r="3463" spans="1:15" x14ac:dyDescent="0.3">
      <c r="A3463" t="s">
        <v>3487</v>
      </c>
      <c r="B3463" s="1">
        <v>45878</v>
      </c>
      <c r="C3463" t="s">
        <v>22</v>
      </c>
      <c r="D3463" t="s">
        <v>22</v>
      </c>
      <c r="E3463" s="2">
        <v>17.02</v>
      </c>
      <c r="F3463" s="3">
        <v>40.909999999999997</v>
      </c>
      <c r="G3463" s="4">
        <v>305.39999999999998</v>
      </c>
      <c r="H3463">
        <v>1.2</v>
      </c>
      <c r="I3463" s="4">
        <v>366.48</v>
      </c>
      <c r="J3463">
        <v>3.9</v>
      </c>
      <c r="K3463" t="s">
        <v>18</v>
      </c>
      <c r="L3463" t="s">
        <v>28</v>
      </c>
      <c r="O3463"/>
    </row>
    <row r="3464" spans="1:15" x14ac:dyDescent="0.3">
      <c r="A3464" t="s">
        <v>3488</v>
      </c>
      <c r="B3464" s="1">
        <v>45847</v>
      </c>
      <c r="C3464" t="s">
        <v>13</v>
      </c>
      <c r="D3464" t="s">
        <v>21</v>
      </c>
      <c r="E3464" s="2">
        <v>27.56</v>
      </c>
      <c r="F3464" s="3">
        <v>59.8</v>
      </c>
      <c r="G3464" s="4">
        <v>367.43</v>
      </c>
      <c r="H3464">
        <v>2</v>
      </c>
      <c r="I3464" s="4">
        <v>734.86</v>
      </c>
      <c r="J3464">
        <v>3.1</v>
      </c>
      <c r="K3464" t="s">
        <v>15</v>
      </c>
      <c r="L3464" t="s">
        <v>28</v>
      </c>
      <c r="O3464"/>
    </row>
    <row r="3465" spans="1:15" x14ac:dyDescent="0.3">
      <c r="A3465" t="s">
        <v>3489</v>
      </c>
      <c r="B3465" s="1">
        <v>45806</v>
      </c>
      <c r="C3465" t="s">
        <v>14</v>
      </c>
      <c r="D3465" t="s">
        <v>13</v>
      </c>
      <c r="E3465" s="2">
        <v>24.48</v>
      </c>
      <c r="F3465" s="3">
        <v>89.26</v>
      </c>
      <c r="G3465" s="4">
        <v>418.29</v>
      </c>
      <c r="H3465">
        <v>1.5</v>
      </c>
      <c r="I3465" s="4">
        <v>627.44000000000005</v>
      </c>
      <c r="J3465">
        <v>4.5</v>
      </c>
      <c r="K3465" t="s">
        <v>30</v>
      </c>
      <c r="L3465" t="s">
        <v>19</v>
      </c>
      <c r="O3465"/>
    </row>
    <row r="3466" spans="1:15" x14ac:dyDescent="0.3">
      <c r="A3466" t="s">
        <v>3490</v>
      </c>
      <c r="B3466" s="1">
        <v>45750</v>
      </c>
      <c r="C3466" t="s">
        <v>25</v>
      </c>
      <c r="D3466" t="s">
        <v>14</v>
      </c>
      <c r="E3466" s="2">
        <v>17.16</v>
      </c>
      <c r="F3466" s="3">
        <v>57.81</v>
      </c>
      <c r="G3466" s="4">
        <v>195.22</v>
      </c>
      <c r="H3466">
        <v>2</v>
      </c>
      <c r="I3466" s="4">
        <v>390.44</v>
      </c>
      <c r="J3466">
        <v>4.8</v>
      </c>
      <c r="K3466" t="s">
        <v>18</v>
      </c>
      <c r="L3466" t="s">
        <v>26</v>
      </c>
      <c r="O3466"/>
    </row>
    <row r="3467" spans="1:15" x14ac:dyDescent="0.3">
      <c r="A3467" t="s">
        <v>3491</v>
      </c>
      <c r="B3467" s="1">
        <v>45820</v>
      </c>
      <c r="C3467" t="s">
        <v>14</v>
      </c>
      <c r="D3467" t="s">
        <v>25</v>
      </c>
      <c r="E3467" s="2">
        <v>7.38</v>
      </c>
      <c r="F3467" s="3">
        <v>28.35</v>
      </c>
      <c r="G3467" s="4">
        <v>126.63</v>
      </c>
      <c r="H3467">
        <v>2</v>
      </c>
      <c r="I3467" s="4">
        <v>253.26</v>
      </c>
      <c r="J3467">
        <v>3.4</v>
      </c>
      <c r="K3467" t="s">
        <v>18</v>
      </c>
      <c r="L3467" t="s">
        <v>28</v>
      </c>
      <c r="O3467"/>
    </row>
    <row r="3468" spans="1:15" x14ac:dyDescent="0.3">
      <c r="A3468" t="s">
        <v>3492</v>
      </c>
      <c r="B3468" s="1">
        <v>45961</v>
      </c>
      <c r="C3468" t="s">
        <v>14</v>
      </c>
      <c r="D3468" t="s">
        <v>14</v>
      </c>
      <c r="E3468" s="2">
        <v>11.34</v>
      </c>
      <c r="F3468" s="3">
        <v>40.08</v>
      </c>
      <c r="G3468" s="4">
        <v>224.35</v>
      </c>
      <c r="H3468">
        <v>1.2</v>
      </c>
      <c r="I3468" s="4">
        <v>269.22000000000003</v>
      </c>
      <c r="J3468">
        <v>4.9000000000000004</v>
      </c>
      <c r="K3468" t="s">
        <v>36</v>
      </c>
      <c r="L3468" t="s">
        <v>16</v>
      </c>
      <c r="O3468"/>
    </row>
    <row r="3469" spans="1:15" x14ac:dyDescent="0.3">
      <c r="A3469" t="s">
        <v>3493</v>
      </c>
      <c r="B3469" s="1">
        <v>45869</v>
      </c>
      <c r="C3469" t="s">
        <v>21</v>
      </c>
      <c r="D3469" t="s">
        <v>21</v>
      </c>
      <c r="E3469" s="2">
        <v>21.77</v>
      </c>
      <c r="F3469" s="3">
        <v>82.76</v>
      </c>
      <c r="G3469" s="4">
        <v>245.73</v>
      </c>
      <c r="H3469">
        <v>2</v>
      </c>
      <c r="I3469" s="4">
        <v>491.46</v>
      </c>
      <c r="J3469">
        <v>4.2</v>
      </c>
      <c r="K3469" t="s">
        <v>18</v>
      </c>
      <c r="L3469" t="s">
        <v>26</v>
      </c>
      <c r="O3469"/>
    </row>
    <row r="3470" spans="1:15" x14ac:dyDescent="0.3">
      <c r="A3470" t="s">
        <v>3494</v>
      </c>
      <c r="B3470" s="1">
        <v>45822</v>
      </c>
      <c r="C3470" t="s">
        <v>22</v>
      </c>
      <c r="D3470" t="s">
        <v>21</v>
      </c>
      <c r="E3470" s="2">
        <v>28.44</v>
      </c>
      <c r="F3470" s="3">
        <v>84.42</v>
      </c>
      <c r="G3470" s="4">
        <v>390.92</v>
      </c>
      <c r="H3470">
        <v>1</v>
      </c>
      <c r="I3470" s="4">
        <v>390.92</v>
      </c>
      <c r="J3470">
        <v>3.9</v>
      </c>
      <c r="K3470" t="s">
        <v>15</v>
      </c>
      <c r="L3470" t="s">
        <v>28</v>
      </c>
      <c r="O3470"/>
    </row>
    <row r="3471" spans="1:15" x14ac:dyDescent="0.3">
      <c r="A3471" t="s">
        <v>3495</v>
      </c>
      <c r="B3471" s="1">
        <v>45976</v>
      </c>
      <c r="C3471" t="s">
        <v>14</v>
      </c>
      <c r="D3471" t="s">
        <v>22</v>
      </c>
      <c r="E3471" s="2">
        <v>28.1</v>
      </c>
      <c r="F3471" s="3">
        <v>64.62</v>
      </c>
      <c r="G3471" s="4">
        <v>398.97</v>
      </c>
      <c r="H3471">
        <v>2</v>
      </c>
      <c r="I3471" s="4">
        <v>797.94</v>
      </c>
      <c r="J3471">
        <v>3.8</v>
      </c>
      <c r="K3471" t="s">
        <v>15</v>
      </c>
      <c r="L3471" t="s">
        <v>28</v>
      </c>
      <c r="O3471"/>
    </row>
    <row r="3472" spans="1:15" x14ac:dyDescent="0.3">
      <c r="A3472" t="s">
        <v>3496</v>
      </c>
      <c r="B3472" s="1">
        <v>45773</v>
      </c>
      <c r="C3472" t="s">
        <v>21</v>
      </c>
      <c r="D3472" t="s">
        <v>22</v>
      </c>
      <c r="E3472" s="2">
        <v>23.27</v>
      </c>
      <c r="F3472" s="3">
        <v>64.66</v>
      </c>
      <c r="G3472" s="4">
        <v>420.01</v>
      </c>
      <c r="H3472">
        <v>1</v>
      </c>
      <c r="I3472" s="4">
        <v>420.01</v>
      </c>
      <c r="J3472">
        <v>4.0999999999999996</v>
      </c>
      <c r="K3472" t="s">
        <v>15</v>
      </c>
      <c r="L3472" t="s">
        <v>19</v>
      </c>
      <c r="O3472"/>
    </row>
    <row r="3473" spans="1:15" x14ac:dyDescent="0.3">
      <c r="A3473" t="s">
        <v>3497</v>
      </c>
      <c r="B3473" s="1">
        <v>45713</v>
      </c>
      <c r="C3473" t="s">
        <v>22</v>
      </c>
      <c r="D3473" t="s">
        <v>13</v>
      </c>
      <c r="E3473" s="2">
        <v>25.51</v>
      </c>
      <c r="F3473" s="3">
        <v>101.45</v>
      </c>
      <c r="G3473" s="4">
        <v>506.08</v>
      </c>
      <c r="H3473">
        <v>1</v>
      </c>
      <c r="I3473" s="4">
        <v>506.08</v>
      </c>
      <c r="J3473">
        <v>3.1</v>
      </c>
      <c r="K3473" t="s">
        <v>30</v>
      </c>
      <c r="L3473" t="s">
        <v>28</v>
      </c>
      <c r="O3473"/>
    </row>
    <row r="3474" spans="1:15" x14ac:dyDescent="0.3">
      <c r="A3474" t="s">
        <v>3498</v>
      </c>
      <c r="B3474" s="1">
        <v>46014</v>
      </c>
      <c r="C3474" t="s">
        <v>14</v>
      </c>
      <c r="D3474" t="s">
        <v>13</v>
      </c>
      <c r="E3474" s="2">
        <v>9.8000000000000007</v>
      </c>
      <c r="F3474" s="3">
        <v>25.75</v>
      </c>
      <c r="G3474" s="4">
        <v>146.26</v>
      </c>
      <c r="H3474">
        <v>2</v>
      </c>
      <c r="I3474" s="4">
        <v>292.52</v>
      </c>
      <c r="J3474">
        <v>4.2</v>
      </c>
      <c r="K3474" t="s">
        <v>15</v>
      </c>
      <c r="L3474" t="s">
        <v>16</v>
      </c>
      <c r="O3474"/>
    </row>
    <row r="3475" spans="1:15" x14ac:dyDescent="0.3">
      <c r="A3475" t="s">
        <v>3499</v>
      </c>
      <c r="B3475" s="1">
        <v>45693</v>
      </c>
      <c r="C3475" t="s">
        <v>22</v>
      </c>
      <c r="D3475" t="s">
        <v>14</v>
      </c>
      <c r="E3475" s="2">
        <v>2.21</v>
      </c>
      <c r="F3475" s="3">
        <v>6.1</v>
      </c>
      <c r="G3475" s="4">
        <v>35.86</v>
      </c>
      <c r="H3475">
        <v>1.2</v>
      </c>
      <c r="I3475" s="4">
        <v>43.03</v>
      </c>
      <c r="J3475">
        <v>4</v>
      </c>
      <c r="K3475" t="s">
        <v>18</v>
      </c>
      <c r="L3475" t="s">
        <v>26</v>
      </c>
      <c r="O3475"/>
    </row>
    <row r="3476" spans="1:15" x14ac:dyDescent="0.3">
      <c r="A3476" t="s">
        <v>3500</v>
      </c>
      <c r="B3476" s="1">
        <v>45914</v>
      </c>
      <c r="C3476" t="s">
        <v>14</v>
      </c>
      <c r="D3476" t="s">
        <v>14</v>
      </c>
      <c r="E3476" s="2">
        <v>13.12</v>
      </c>
      <c r="F3476" s="3">
        <v>30.42</v>
      </c>
      <c r="G3476" s="4">
        <v>197.6</v>
      </c>
      <c r="H3476">
        <v>1.5</v>
      </c>
      <c r="I3476" s="4">
        <v>296.39999999999998</v>
      </c>
      <c r="J3476">
        <v>3.3</v>
      </c>
      <c r="K3476" t="s">
        <v>18</v>
      </c>
      <c r="L3476" t="s">
        <v>19</v>
      </c>
      <c r="O3476"/>
    </row>
    <row r="3477" spans="1:15" x14ac:dyDescent="0.3">
      <c r="A3477" t="s">
        <v>3501</v>
      </c>
      <c r="B3477" s="1">
        <v>45705</v>
      </c>
      <c r="C3477" t="s">
        <v>25</v>
      </c>
      <c r="D3477" t="s">
        <v>14</v>
      </c>
      <c r="E3477" s="2">
        <v>27.49</v>
      </c>
      <c r="F3477" s="3">
        <v>80.31</v>
      </c>
      <c r="G3477" s="4">
        <v>496.68</v>
      </c>
      <c r="H3477">
        <v>1.5</v>
      </c>
      <c r="I3477" s="4">
        <v>745.02</v>
      </c>
      <c r="J3477">
        <v>4.8</v>
      </c>
      <c r="K3477" t="s">
        <v>36</v>
      </c>
      <c r="L3477" t="s">
        <v>28</v>
      </c>
      <c r="O3477"/>
    </row>
    <row r="3478" spans="1:15" x14ac:dyDescent="0.3">
      <c r="A3478" t="s">
        <v>3502</v>
      </c>
      <c r="B3478" s="1">
        <v>45919</v>
      </c>
      <c r="C3478" t="s">
        <v>22</v>
      </c>
      <c r="D3478" t="s">
        <v>13</v>
      </c>
      <c r="E3478" s="2">
        <v>24.92</v>
      </c>
      <c r="F3478" s="3">
        <v>53.75</v>
      </c>
      <c r="G3478" s="4">
        <v>394.38</v>
      </c>
      <c r="H3478">
        <v>1</v>
      </c>
      <c r="I3478" s="4">
        <v>394.38</v>
      </c>
      <c r="J3478">
        <v>4.5</v>
      </c>
      <c r="K3478" t="s">
        <v>33</v>
      </c>
      <c r="L3478" t="s">
        <v>16</v>
      </c>
      <c r="O3478"/>
    </row>
    <row r="3479" spans="1:15" x14ac:dyDescent="0.3">
      <c r="A3479" t="s">
        <v>3503</v>
      </c>
      <c r="B3479" s="1">
        <v>45931</v>
      </c>
      <c r="C3479" t="s">
        <v>21</v>
      </c>
      <c r="D3479" t="s">
        <v>22</v>
      </c>
      <c r="E3479" s="2">
        <v>29.42</v>
      </c>
      <c r="F3479" s="3">
        <v>82.76</v>
      </c>
      <c r="G3479" s="4">
        <v>446.4</v>
      </c>
      <c r="H3479">
        <v>1.5</v>
      </c>
      <c r="I3479" s="4">
        <v>669.6</v>
      </c>
      <c r="J3479">
        <v>5</v>
      </c>
      <c r="K3479" t="s">
        <v>36</v>
      </c>
      <c r="L3479" t="s">
        <v>26</v>
      </c>
      <c r="O3479"/>
    </row>
    <row r="3480" spans="1:15" x14ac:dyDescent="0.3">
      <c r="A3480" t="s">
        <v>3504</v>
      </c>
      <c r="B3480" s="1">
        <v>45790</v>
      </c>
      <c r="C3480" t="s">
        <v>13</v>
      </c>
      <c r="D3480" t="s">
        <v>14</v>
      </c>
      <c r="E3480" s="2">
        <v>21.99</v>
      </c>
      <c r="F3480" s="3">
        <v>65.75</v>
      </c>
      <c r="G3480" s="4">
        <v>314.88</v>
      </c>
      <c r="H3480">
        <v>1.5</v>
      </c>
      <c r="I3480" s="4">
        <v>472.32</v>
      </c>
      <c r="J3480">
        <v>3.5</v>
      </c>
      <c r="K3480" t="s">
        <v>36</v>
      </c>
      <c r="L3480" t="s">
        <v>28</v>
      </c>
      <c r="O3480"/>
    </row>
    <row r="3481" spans="1:15" x14ac:dyDescent="0.3">
      <c r="A3481" t="s">
        <v>3505</v>
      </c>
      <c r="B3481" s="1">
        <v>45720</v>
      </c>
      <c r="C3481" t="s">
        <v>25</v>
      </c>
      <c r="D3481" t="s">
        <v>21</v>
      </c>
      <c r="E3481" s="2">
        <v>11.64</v>
      </c>
      <c r="F3481" s="3">
        <v>40.71</v>
      </c>
      <c r="G3481" s="4">
        <v>218.17</v>
      </c>
      <c r="H3481">
        <v>2</v>
      </c>
      <c r="I3481" s="4">
        <v>436.34</v>
      </c>
      <c r="J3481">
        <v>4.9000000000000004</v>
      </c>
      <c r="K3481" t="s">
        <v>30</v>
      </c>
      <c r="L3481" t="s">
        <v>19</v>
      </c>
      <c r="O3481"/>
    </row>
    <row r="3482" spans="1:15" x14ac:dyDescent="0.3">
      <c r="A3482" t="s">
        <v>3506</v>
      </c>
      <c r="B3482" s="1">
        <v>45951</v>
      </c>
      <c r="C3482" t="s">
        <v>13</v>
      </c>
      <c r="D3482" t="s">
        <v>21</v>
      </c>
      <c r="E3482" s="2">
        <v>3.75</v>
      </c>
      <c r="F3482" s="3">
        <v>10.01</v>
      </c>
      <c r="G3482" s="4">
        <v>41.79</v>
      </c>
      <c r="H3482">
        <v>1</v>
      </c>
      <c r="I3482" s="4">
        <v>41.79</v>
      </c>
      <c r="J3482">
        <v>3.6</v>
      </c>
      <c r="K3482" t="s">
        <v>36</v>
      </c>
      <c r="L3482" t="s">
        <v>28</v>
      </c>
      <c r="O3482"/>
    </row>
    <row r="3483" spans="1:15" x14ac:dyDescent="0.3">
      <c r="A3483" t="s">
        <v>3507</v>
      </c>
      <c r="B3483" s="1">
        <v>45858</v>
      </c>
      <c r="C3483" t="s">
        <v>22</v>
      </c>
      <c r="D3483" t="s">
        <v>13</v>
      </c>
      <c r="E3483" s="2">
        <v>19.02</v>
      </c>
      <c r="F3483" s="3">
        <v>58.58</v>
      </c>
      <c r="G3483" s="4">
        <v>325.29000000000002</v>
      </c>
      <c r="H3483">
        <v>2</v>
      </c>
      <c r="I3483" s="4">
        <v>650.58000000000004</v>
      </c>
      <c r="J3483">
        <v>4.3</v>
      </c>
      <c r="K3483" t="s">
        <v>15</v>
      </c>
      <c r="L3483" t="s">
        <v>28</v>
      </c>
      <c r="O3483"/>
    </row>
    <row r="3484" spans="1:15" x14ac:dyDescent="0.3">
      <c r="A3484" t="s">
        <v>3508</v>
      </c>
      <c r="B3484" s="1">
        <v>45804</v>
      </c>
      <c r="C3484" t="s">
        <v>21</v>
      </c>
      <c r="D3484" t="s">
        <v>14</v>
      </c>
      <c r="E3484" s="2">
        <v>1.51</v>
      </c>
      <c r="F3484" s="3">
        <v>4.37</v>
      </c>
      <c r="G3484" s="4">
        <v>28.81</v>
      </c>
      <c r="H3484">
        <v>1.2</v>
      </c>
      <c r="I3484" s="4">
        <v>34.57</v>
      </c>
      <c r="J3484">
        <v>3.3</v>
      </c>
      <c r="K3484" t="s">
        <v>18</v>
      </c>
      <c r="L3484" t="s">
        <v>16</v>
      </c>
      <c r="O3484"/>
    </row>
    <row r="3485" spans="1:15" x14ac:dyDescent="0.3">
      <c r="A3485" t="s">
        <v>3509</v>
      </c>
      <c r="B3485" s="1">
        <v>45966</v>
      </c>
      <c r="C3485" t="s">
        <v>14</v>
      </c>
      <c r="D3485" t="s">
        <v>22</v>
      </c>
      <c r="E3485" s="2">
        <v>13.53</v>
      </c>
      <c r="F3485" s="3">
        <v>46.38</v>
      </c>
      <c r="G3485" s="4">
        <v>137.08000000000001</v>
      </c>
      <c r="H3485">
        <v>1.2</v>
      </c>
      <c r="I3485" s="4">
        <v>164.5</v>
      </c>
      <c r="J3485">
        <v>4.4000000000000004</v>
      </c>
      <c r="K3485" t="s">
        <v>30</v>
      </c>
      <c r="L3485" t="s">
        <v>28</v>
      </c>
      <c r="O3485"/>
    </row>
    <row r="3486" spans="1:15" x14ac:dyDescent="0.3">
      <c r="A3486" t="s">
        <v>3510</v>
      </c>
      <c r="B3486" s="1">
        <v>45823</v>
      </c>
      <c r="C3486" t="s">
        <v>21</v>
      </c>
      <c r="D3486" t="s">
        <v>22</v>
      </c>
      <c r="E3486" s="2">
        <v>20.45</v>
      </c>
      <c r="F3486" s="3">
        <v>70.83</v>
      </c>
      <c r="G3486" s="4">
        <v>370.52</v>
      </c>
      <c r="H3486">
        <v>1</v>
      </c>
      <c r="I3486" s="4">
        <v>370.52</v>
      </c>
      <c r="J3486">
        <v>4.4000000000000004</v>
      </c>
      <c r="K3486" t="s">
        <v>36</v>
      </c>
      <c r="L3486" t="s">
        <v>28</v>
      </c>
      <c r="O3486"/>
    </row>
    <row r="3487" spans="1:15" x14ac:dyDescent="0.3">
      <c r="A3487" t="s">
        <v>3511</v>
      </c>
      <c r="B3487" s="1">
        <v>45725</v>
      </c>
      <c r="C3487" t="s">
        <v>14</v>
      </c>
      <c r="D3487" t="s">
        <v>21</v>
      </c>
      <c r="E3487" s="2">
        <v>13.75</v>
      </c>
      <c r="F3487" s="3">
        <v>54.55</v>
      </c>
      <c r="G3487" s="4">
        <v>215.75</v>
      </c>
      <c r="H3487">
        <v>2</v>
      </c>
      <c r="I3487" s="4">
        <v>431.5</v>
      </c>
      <c r="J3487">
        <v>4.2</v>
      </c>
      <c r="K3487" t="s">
        <v>36</v>
      </c>
      <c r="L3487" t="s">
        <v>28</v>
      </c>
      <c r="O3487"/>
    </row>
    <row r="3488" spans="1:15" x14ac:dyDescent="0.3">
      <c r="A3488" t="s">
        <v>3512</v>
      </c>
      <c r="B3488" s="1">
        <v>45965</v>
      </c>
      <c r="C3488" t="s">
        <v>25</v>
      </c>
      <c r="D3488" t="s">
        <v>13</v>
      </c>
      <c r="E3488" s="2">
        <v>21.11</v>
      </c>
      <c r="F3488" s="3">
        <v>81.260000000000005</v>
      </c>
      <c r="G3488" s="4">
        <v>248.83</v>
      </c>
      <c r="H3488">
        <v>2</v>
      </c>
      <c r="I3488" s="4">
        <v>497.66</v>
      </c>
      <c r="J3488">
        <v>4.0999999999999996</v>
      </c>
      <c r="K3488" t="s">
        <v>15</v>
      </c>
      <c r="L3488" t="s">
        <v>26</v>
      </c>
      <c r="O3488"/>
    </row>
    <row r="3489" spans="1:15" x14ac:dyDescent="0.3">
      <c r="A3489" t="s">
        <v>3513</v>
      </c>
      <c r="B3489" s="1">
        <v>45909</v>
      </c>
      <c r="C3489" t="s">
        <v>14</v>
      </c>
      <c r="D3489" t="s">
        <v>21</v>
      </c>
      <c r="E3489" s="2">
        <v>27.54</v>
      </c>
      <c r="F3489" s="3">
        <v>70.3</v>
      </c>
      <c r="G3489" s="4">
        <v>379.3</v>
      </c>
      <c r="H3489">
        <v>1.2</v>
      </c>
      <c r="I3489" s="4">
        <v>455.16</v>
      </c>
      <c r="J3489">
        <v>3.2</v>
      </c>
      <c r="K3489" t="s">
        <v>36</v>
      </c>
      <c r="L3489" t="s">
        <v>16</v>
      </c>
      <c r="O3489"/>
    </row>
    <row r="3490" spans="1:15" x14ac:dyDescent="0.3">
      <c r="A3490" t="s">
        <v>3514</v>
      </c>
      <c r="B3490" s="1">
        <v>45882</v>
      </c>
      <c r="C3490" t="s">
        <v>13</v>
      </c>
      <c r="D3490" t="s">
        <v>25</v>
      </c>
      <c r="E3490" s="2">
        <v>26.44</v>
      </c>
      <c r="F3490" s="3">
        <v>58.57</v>
      </c>
      <c r="G3490" s="4">
        <v>274.44</v>
      </c>
      <c r="H3490">
        <v>1</v>
      </c>
      <c r="I3490" s="4">
        <v>274.44</v>
      </c>
      <c r="J3490">
        <v>5</v>
      </c>
      <c r="K3490" t="s">
        <v>33</v>
      </c>
      <c r="L3490" t="s">
        <v>16</v>
      </c>
      <c r="O3490"/>
    </row>
    <row r="3491" spans="1:15" x14ac:dyDescent="0.3">
      <c r="A3491" t="s">
        <v>3515</v>
      </c>
      <c r="B3491" s="1">
        <v>45934</v>
      </c>
      <c r="C3491" t="s">
        <v>21</v>
      </c>
      <c r="D3491" t="s">
        <v>13</v>
      </c>
      <c r="E3491" s="2">
        <v>2.91</v>
      </c>
      <c r="F3491" s="3">
        <v>10.220000000000001</v>
      </c>
      <c r="G3491" s="4">
        <v>33.880000000000003</v>
      </c>
      <c r="H3491">
        <v>1.5</v>
      </c>
      <c r="I3491" s="4">
        <v>50.82</v>
      </c>
      <c r="J3491">
        <v>3.3</v>
      </c>
      <c r="K3491" t="s">
        <v>18</v>
      </c>
      <c r="L3491" t="s">
        <v>19</v>
      </c>
      <c r="O3491"/>
    </row>
    <row r="3492" spans="1:15" x14ac:dyDescent="0.3">
      <c r="A3492" t="s">
        <v>3516</v>
      </c>
      <c r="B3492" s="1">
        <v>45973</v>
      </c>
      <c r="C3492" t="s">
        <v>13</v>
      </c>
      <c r="D3492" t="s">
        <v>13</v>
      </c>
      <c r="E3492" s="2">
        <v>20.45</v>
      </c>
      <c r="F3492" s="3">
        <v>50.12</v>
      </c>
      <c r="G3492" s="4">
        <v>253.65</v>
      </c>
      <c r="H3492">
        <v>2</v>
      </c>
      <c r="I3492" s="4">
        <v>507.3</v>
      </c>
      <c r="J3492">
        <v>3.9</v>
      </c>
      <c r="K3492" t="s">
        <v>15</v>
      </c>
      <c r="L3492" t="s">
        <v>19</v>
      </c>
      <c r="O3492"/>
    </row>
    <row r="3493" spans="1:15" x14ac:dyDescent="0.3">
      <c r="A3493" t="s">
        <v>3517</v>
      </c>
      <c r="B3493" s="1">
        <v>45686</v>
      </c>
      <c r="C3493" t="s">
        <v>22</v>
      </c>
      <c r="D3493" t="s">
        <v>21</v>
      </c>
      <c r="E3493" s="2">
        <v>23.29</v>
      </c>
      <c r="F3493" s="3">
        <v>81.88</v>
      </c>
      <c r="G3493" s="4">
        <v>389.1</v>
      </c>
      <c r="H3493">
        <v>1.5</v>
      </c>
      <c r="I3493" s="4">
        <v>583.65</v>
      </c>
      <c r="J3493">
        <v>3.3</v>
      </c>
      <c r="K3493" t="s">
        <v>33</v>
      </c>
      <c r="L3493" t="s">
        <v>16</v>
      </c>
      <c r="O3493"/>
    </row>
    <row r="3494" spans="1:15" x14ac:dyDescent="0.3">
      <c r="A3494" t="s">
        <v>3518</v>
      </c>
      <c r="B3494" s="1">
        <v>45941</v>
      </c>
      <c r="C3494" t="s">
        <v>14</v>
      </c>
      <c r="D3494" t="s">
        <v>14</v>
      </c>
      <c r="E3494" s="2">
        <v>19.05</v>
      </c>
      <c r="F3494" s="3">
        <v>75.83</v>
      </c>
      <c r="G3494" s="4">
        <v>346.59</v>
      </c>
      <c r="H3494">
        <v>1</v>
      </c>
      <c r="I3494" s="4">
        <v>346.59</v>
      </c>
      <c r="J3494">
        <v>3.4</v>
      </c>
      <c r="K3494" t="s">
        <v>15</v>
      </c>
      <c r="L3494" t="s">
        <v>26</v>
      </c>
      <c r="O3494"/>
    </row>
    <row r="3495" spans="1:15" x14ac:dyDescent="0.3">
      <c r="A3495" t="s">
        <v>3519</v>
      </c>
      <c r="B3495" s="1">
        <v>46006</v>
      </c>
      <c r="C3495" t="s">
        <v>13</v>
      </c>
      <c r="D3495" t="s">
        <v>22</v>
      </c>
      <c r="E3495" s="2">
        <v>17.579999999999998</v>
      </c>
      <c r="F3495" s="3">
        <v>60.53</v>
      </c>
      <c r="G3495" s="4">
        <v>272.55</v>
      </c>
      <c r="H3495">
        <v>1</v>
      </c>
      <c r="I3495" s="4">
        <v>272.55</v>
      </c>
      <c r="J3495">
        <v>3.4</v>
      </c>
      <c r="K3495" t="s">
        <v>33</v>
      </c>
      <c r="L3495" t="s">
        <v>26</v>
      </c>
      <c r="O3495"/>
    </row>
    <row r="3496" spans="1:15" x14ac:dyDescent="0.3">
      <c r="A3496" t="s">
        <v>3520</v>
      </c>
      <c r="B3496" s="1">
        <v>45912</v>
      </c>
      <c r="C3496" t="s">
        <v>21</v>
      </c>
      <c r="D3496" t="s">
        <v>21</v>
      </c>
      <c r="E3496" s="2">
        <v>6.33</v>
      </c>
      <c r="F3496" s="3">
        <v>13.34</v>
      </c>
      <c r="G3496" s="4">
        <v>99.59</v>
      </c>
      <c r="H3496">
        <v>1</v>
      </c>
      <c r="I3496" s="4">
        <v>99.59</v>
      </c>
      <c r="J3496">
        <v>3.3</v>
      </c>
      <c r="K3496" t="s">
        <v>36</v>
      </c>
      <c r="L3496" t="s">
        <v>26</v>
      </c>
      <c r="O3496"/>
    </row>
    <row r="3497" spans="1:15" x14ac:dyDescent="0.3">
      <c r="A3497" t="s">
        <v>3521</v>
      </c>
      <c r="B3497" s="1">
        <v>45880</v>
      </c>
      <c r="C3497" t="s">
        <v>21</v>
      </c>
      <c r="D3497" t="s">
        <v>21</v>
      </c>
      <c r="E3497" s="2">
        <v>18.79</v>
      </c>
      <c r="F3497" s="3">
        <v>39.54</v>
      </c>
      <c r="G3497" s="4">
        <v>206.56</v>
      </c>
      <c r="H3497">
        <v>1.2</v>
      </c>
      <c r="I3497" s="4">
        <v>247.87</v>
      </c>
      <c r="J3497">
        <v>3.3</v>
      </c>
      <c r="K3497" t="s">
        <v>36</v>
      </c>
      <c r="L3497" t="s">
        <v>28</v>
      </c>
      <c r="O3497"/>
    </row>
    <row r="3498" spans="1:15" x14ac:dyDescent="0.3">
      <c r="A3498" t="s">
        <v>3522</v>
      </c>
      <c r="B3498" s="1">
        <v>45685</v>
      </c>
      <c r="C3498" t="s">
        <v>14</v>
      </c>
      <c r="D3498" t="s">
        <v>14</v>
      </c>
      <c r="E3498" s="2">
        <v>12.13</v>
      </c>
      <c r="F3498" s="3">
        <v>26.53</v>
      </c>
      <c r="G3498" s="4">
        <v>169.8</v>
      </c>
      <c r="H3498">
        <v>1.5</v>
      </c>
      <c r="I3498" s="4">
        <v>254.7</v>
      </c>
      <c r="J3498">
        <v>4</v>
      </c>
      <c r="K3498" t="s">
        <v>18</v>
      </c>
      <c r="L3498" t="s">
        <v>19</v>
      </c>
      <c r="O3498"/>
    </row>
    <row r="3499" spans="1:15" x14ac:dyDescent="0.3">
      <c r="A3499" t="s">
        <v>3523</v>
      </c>
      <c r="B3499" s="1">
        <v>45963</v>
      </c>
      <c r="C3499" t="s">
        <v>13</v>
      </c>
      <c r="D3499" t="s">
        <v>25</v>
      </c>
      <c r="E3499" s="2">
        <v>11.57</v>
      </c>
      <c r="F3499" s="3">
        <v>26.54</v>
      </c>
      <c r="G3499" s="4">
        <v>156.15</v>
      </c>
      <c r="H3499">
        <v>1</v>
      </c>
      <c r="I3499" s="4">
        <v>156.15</v>
      </c>
      <c r="J3499">
        <v>3.4</v>
      </c>
      <c r="K3499" t="s">
        <v>15</v>
      </c>
      <c r="L3499" t="s">
        <v>28</v>
      </c>
      <c r="O3499"/>
    </row>
    <row r="3500" spans="1:15" x14ac:dyDescent="0.3">
      <c r="A3500" t="s">
        <v>3524</v>
      </c>
      <c r="B3500" s="1">
        <v>45807</v>
      </c>
      <c r="C3500" t="s">
        <v>13</v>
      </c>
      <c r="D3500" t="s">
        <v>14</v>
      </c>
      <c r="E3500" s="2">
        <v>29.52</v>
      </c>
      <c r="F3500" s="3">
        <v>60.55</v>
      </c>
      <c r="G3500" s="4">
        <v>498.89</v>
      </c>
      <c r="H3500">
        <v>1.5</v>
      </c>
      <c r="I3500" s="4">
        <v>748.34</v>
      </c>
      <c r="J3500">
        <v>4.4000000000000004</v>
      </c>
      <c r="K3500" t="s">
        <v>15</v>
      </c>
      <c r="L3500" t="s">
        <v>26</v>
      </c>
      <c r="O3500"/>
    </row>
    <row r="3501" spans="1:15" x14ac:dyDescent="0.3">
      <c r="A3501" t="s">
        <v>3525</v>
      </c>
      <c r="B3501" s="1">
        <v>46009</v>
      </c>
      <c r="C3501" t="s">
        <v>14</v>
      </c>
      <c r="D3501" t="s">
        <v>22</v>
      </c>
      <c r="E3501" s="2">
        <v>1.42</v>
      </c>
      <c r="F3501" s="3">
        <v>5.34</v>
      </c>
      <c r="G3501" s="4">
        <v>19.22</v>
      </c>
      <c r="H3501">
        <v>1.5</v>
      </c>
      <c r="I3501" s="4">
        <v>28.83</v>
      </c>
      <c r="J3501">
        <v>4.2</v>
      </c>
      <c r="K3501" t="s">
        <v>18</v>
      </c>
      <c r="L3501" t="s">
        <v>28</v>
      </c>
      <c r="O3501"/>
    </row>
    <row r="3502" spans="1:15" x14ac:dyDescent="0.3">
      <c r="A3502" t="s">
        <v>3526</v>
      </c>
      <c r="B3502" s="1">
        <v>45688</v>
      </c>
      <c r="C3502" t="s">
        <v>13</v>
      </c>
      <c r="D3502" t="s">
        <v>25</v>
      </c>
      <c r="E3502" s="2">
        <v>1.6</v>
      </c>
      <c r="F3502" s="3">
        <v>3.51</v>
      </c>
      <c r="G3502" s="4">
        <v>20.65</v>
      </c>
      <c r="H3502">
        <v>1.5</v>
      </c>
      <c r="I3502" s="4">
        <v>30.98</v>
      </c>
      <c r="J3502">
        <v>4.5</v>
      </c>
      <c r="K3502" t="s">
        <v>18</v>
      </c>
      <c r="L3502" t="s">
        <v>16</v>
      </c>
      <c r="O3502"/>
    </row>
    <row r="3503" spans="1:15" x14ac:dyDescent="0.3">
      <c r="A3503" t="s">
        <v>3527</v>
      </c>
      <c r="B3503" s="1">
        <v>45921</v>
      </c>
      <c r="C3503" t="s">
        <v>14</v>
      </c>
      <c r="D3503" t="s">
        <v>21</v>
      </c>
      <c r="E3503" s="2">
        <v>17.260000000000002</v>
      </c>
      <c r="F3503" s="3">
        <v>38.659999999999997</v>
      </c>
      <c r="G3503" s="4">
        <v>209.12</v>
      </c>
      <c r="H3503">
        <v>1</v>
      </c>
      <c r="I3503" s="4">
        <v>209.12</v>
      </c>
      <c r="J3503">
        <v>4.9000000000000004</v>
      </c>
      <c r="K3503" t="s">
        <v>15</v>
      </c>
      <c r="L3503" t="s">
        <v>26</v>
      </c>
      <c r="O3503"/>
    </row>
    <row r="3504" spans="1:15" x14ac:dyDescent="0.3">
      <c r="A3504" t="s">
        <v>3528</v>
      </c>
      <c r="B3504" s="1">
        <v>45824</v>
      </c>
      <c r="C3504" t="s">
        <v>13</v>
      </c>
      <c r="D3504" t="s">
        <v>13</v>
      </c>
      <c r="E3504" s="2">
        <v>20.47</v>
      </c>
      <c r="F3504" s="3">
        <v>59.91</v>
      </c>
      <c r="G3504" s="4">
        <v>374.82</v>
      </c>
      <c r="H3504">
        <v>1.2</v>
      </c>
      <c r="I3504" s="4">
        <v>449.78</v>
      </c>
      <c r="J3504">
        <v>4.7</v>
      </c>
      <c r="K3504" t="s">
        <v>30</v>
      </c>
      <c r="L3504" t="s">
        <v>16</v>
      </c>
      <c r="O3504"/>
    </row>
    <row r="3505" spans="1:15" x14ac:dyDescent="0.3">
      <c r="A3505" t="s">
        <v>3529</v>
      </c>
      <c r="B3505" s="1">
        <v>45811</v>
      </c>
      <c r="C3505" t="s">
        <v>21</v>
      </c>
      <c r="D3505" t="s">
        <v>21</v>
      </c>
      <c r="E3505" s="2">
        <v>9.89</v>
      </c>
      <c r="F3505" s="3">
        <v>34.93</v>
      </c>
      <c r="G3505" s="4">
        <v>129.13999999999999</v>
      </c>
      <c r="H3505">
        <v>1.5</v>
      </c>
      <c r="I3505" s="4">
        <v>193.71</v>
      </c>
      <c r="J3505">
        <v>5</v>
      </c>
      <c r="K3505" t="s">
        <v>15</v>
      </c>
      <c r="L3505" t="s">
        <v>16</v>
      </c>
      <c r="O3505"/>
    </row>
    <row r="3506" spans="1:15" x14ac:dyDescent="0.3">
      <c r="A3506" t="s">
        <v>3530</v>
      </c>
      <c r="B3506" s="1">
        <v>45746</v>
      </c>
      <c r="C3506" t="s">
        <v>21</v>
      </c>
      <c r="D3506" t="s">
        <v>13</v>
      </c>
      <c r="E3506" s="2">
        <v>6.1</v>
      </c>
      <c r="F3506" s="3">
        <v>17.96</v>
      </c>
      <c r="G3506" s="4">
        <v>75.349999999999994</v>
      </c>
      <c r="H3506">
        <v>2</v>
      </c>
      <c r="I3506" s="4">
        <v>150.69999999999999</v>
      </c>
      <c r="J3506">
        <v>4.3</v>
      </c>
      <c r="K3506" t="s">
        <v>36</v>
      </c>
      <c r="L3506" t="s">
        <v>19</v>
      </c>
      <c r="O3506"/>
    </row>
    <row r="3507" spans="1:15" x14ac:dyDescent="0.3">
      <c r="A3507" t="s">
        <v>3531</v>
      </c>
      <c r="B3507" s="1">
        <v>45933</v>
      </c>
      <c r="C3507" t="s">
        <v>13</v>
      </c>
      <c r="D3507" t="s">
        <v>21</v>
      </c>
      <c r="E3507" s="2">
        <v>28.55</v>
      </c>
      <c r="F3507" s="3">
        <v>106.2</v>
      </c>
      <c r="G3507" s="4">
        <v>329.91</v>
      </c>
      <c r="H3507">
        <v>1.5</v>
      </c>
      <c r="I3507" s="4">
        <v>494.86</v>
      </c>
      <c r="J3507">
        <v>3.8</v>
      </c>
      <c r="K3507" t="s">
        <v>36</v>
      </c>
      <c r="L3507" t="s">
        <v>28</v>
      </c>
      <c r="O3507"/>
    </row>
    <row r="3508" spans="1:15" x14ac:dyDescent="0.3">
      <c r="A3508" t="s">
        <v>3532</v>
      </c>
      <c r="B3508" s="1">
        <v>45918</v>
      </c>
      <c r="C3508" t="s">
        <v>21</v>
      </c>
      <c r="D3508" t="s">
        <v>14</v>
      </c>
      <c r="E3508" s="2">
        <v>23.41</v>
      </c>
      <c r="F3508" s="3">
        <v>57.08</v>
      </c>
      <c r="G3508" s="4">
        <v>248.37</v>
      </c>
      <c r="H3508">
        <v>1.5</v>
      </c>
      <c r="I3508" s="4">
        <v>372.56</v>
      </c>
      <c r="J3508">
        <v>3.3</v>
      </c>
      <c r="K3508" t="s">
        <v>36</v>
      </c>
      <c r="L3508" t="s">
        <v>16</v>
      </c>
      <c r="O3508"/>
    </row>
    <row r="3509" spans="1:15" x14ac:dyDescent="0.3">
      <c r="A3509" t="s">
        <v>3533</v>
      </c>
      <c r="B3509" s="1">
        <v>45996</v>
      </c>
      <c r="C3509" t="s">
        <v>25</v>
      </c>
      <c r="D3509" t="s">
        <v>22</v>
      </c>
      <c r="E3509" s="2">
        <v>8.09</v>
      </c>
      <c r="F3509" s="3">
        <v>28.15</v>
      </c>
      <c r="G3509" s="4">
        <v>157.81</v>
      </c>
      <c r="H3509">
        <v>2</v>
      </c>
      <c r="I3509" s="4">
        <v>315.62</v>
      </c>
      <c r="J3509">
        <v>3.5</v>
      </c>
      <c r="K3509" t="s">
        <v>15</v>
      </c>
      <c r="L3509" t="s">
        <v>16</v>
      </c>
      <c r="O3509"/>
    </row>
    <row r="3510" spans="1:15" x14ac:dyDescent="0.3">
      <c r="A3510" t="s">
        <v>3534</v>
      </c>
      <c r="B3510" s="1">
        <v>45838</v>
      </c>
      <c r="C3510" t="s">
        <v>25</v>
      </c>
      <c r="D3510" t="s">
        <v>25</v>
      </c>
      <c r="E3510" s="2">
        <v>2.65</v>
      </c>
      <c r="F3510" s="3">
        <v>6.4</v>
      </c>
      <c r="G3510" s="4">
        <v>28.88</v>
      </c>
      <c r="H3510">
        <v>2</v>
      </c>
      <c r="I3510" s="4">
        <v>57.76</v>
      </c>
      <c r="J3510">
        <v>3.1</v>
      </c>
      <c r="K3510" t="s">
        <v>18</v>
      </c>
      <c r="L3510" t="s">
        <v>16</v>
      </c>
      <c r="O3510"/>
    </row>
    <row r="3511" spans="1:15" x14ac:dyDescent="0.3">
      <c r="A3511" t="s">
        <v>3535</v>
      </c>
      <c r="B3511" s="1">
        <v>45702</v>
      </c>
      <c r="C3511" t="s">
        <v>14</v>
      </c>
      <c r="D3511" t="s">
        <v>14</v>
      </c>
      <c r="E3511" s="2">
        <v>25.03</v>
      </c>
      <c r="F3511" s="3">
        <v>56.65</v>
      </c>
      <c r="G3511" s="4">
        <v>481.03</v>
      </c>
      <c r="H3511">
        <v>1</v>
      </c>
      <c r="I3511" s="4">
        <v>481.03</v>
      </c>
      <c r="J3511">
        <v>3.3</v>
      </c>
      <c r="K3511" t="s">
        <v>18</v>
      </c>
      <c r="L3511" t="s">
        <v>28</v>
      </c>
      <c r="O3511"/>
    </row>
    <row r="3512" spans="1:15" x14ac:dyDescent="0.3">
      <c r="A3512" t="s">
        <v>3536</v>
      </c>
      <c r="B3512" s="1">
        <v>45873</v>
      </c>
      <c r="C3512" t="s">
        <v>14</v>
      </c>
      <c r="D3512" t="s">
        <v>25</v>
      </c>
      <c r="E3512" s="2">
        <v>14.37</v>
      </c>
      <c r="F3512" s="3">
        <v>52.73</v>
      </c>
      <c r="G3512" s="4">
        <v>238.47</v>
      </c>
      <c r="H3512">
        <v>1.5</v>
      </c>
      <c r="I3512" s="4">
        <v>357.7</v>
      </c>
      <c r="J3512">
        <v>4.3</v>
      </c>
      <c r="K3512" t="s">
        <v>18</v>
      </c>
      <c r="L3512" t="s">
        <v>16</v>
      </c>
      <c r="O3512"/>
    </row>
    <row r="3513" spans="1:15" x14ac:dyDescent="0.3">
      <c r="A3513" t="s">
        <v>3537</v>
      </c>
      <c r="B3513" s="1">
        <v>45856</v>
      </c>
      <c r="C3513" t="s">
        <v>21</v>
      </c>
      <c r="D3513" t="s">
        <v>25</v>
      </c>
      <c r="E3513" s="2">
        <v>5.29</v>
      </c>
      <c r="F3513" s="3">
        <v>18.47</v>
      </c>
      <c r="G3513" s="4">
        <v>86.55</v>
      </c>
      <c r="H3513">
        <v>1.2</v>
      </c>
      <c r="I3513" s="4">
        <v>103.86</v>
      </c>
      <c r="J3513">
        <v>4.0999999999999996</v>
      </c>
      <c r="K3513" t="s">
        <v>18</v>
      </c>
      <c r="L3513" t="s">
        <v>16</v>
      </c>
      <c r="O3513"/>
    </row>
    <row r="3514" spans="1:15" x14ac:dyDescent="0.3">
      <c r="A3514" t="s">
        <v>3538</v>
      </c>
      <c r="B3514" s="1">
        <v>45876</v>
      </c>
      <c r="C3514" t="s">
        <v>13</v>
      </c>
      <c r="D3514" t="s">
        <v>21</v>
      </c>
      <c r="E3514" s="2">
        <v>26.24</v>
      </c>
      <c r="F3514" s="3">
        <v>74.510000000000005</v>
      </c>
      <c r="G3514" s="4">
        <v>434.16</v>
      </c>
      <c r="H3514">
        <v>1.2</v>
      </c>
      <c r="I3514" s="4">
        <v>520.99</v>
      </c>
      <c r="J3514">
        <v>4.8</v>
      </c>
      <c r="K3514" t="s">
        <v>15</v>
      </c>
      <c r="L3514" t="s">
        <v>19</v>
      </c>
      <c r="O3514"/>
    </row>
    <row r="3515" spans="1:15" x14ac:dyDescent="0.3">
      <c r="A3515" t="s">
        <v>3539</v>
      </c>
      <c r="B3515" s="1">
        <v>45871</v>
      </c>
      <c r="C3515" t="s">
        <v>21</v>
      </c>
      <c r="D3515" t="s">
        <v>25</v>
      </c>
      <c r="E3515" s="2">
        <v>22.43</v>
      </c>
      <c r="F3515" s="3">
        <v>58.25</v>
      </c>
      <c r="G3515" s="4">
        <v>324.82</v>
      </c>
      <c r="H3515">
        <v>1.5</v>
      </c>
      <c r="I3515" s="4">
        <v>487.23</v>
      </c>
      <c r="J3515">
        <v>3.9</v>
      </c>
      <c r="K3515" t="s">
        <v>15</v>
      </c>
      <c r="L3515" t="s">
        <v>26</v>
      </c>
      <c r="O3515"/>
    </row>
    <row r="3516" spans="1:15" x14ac:dyDescent="0.3">
      <c r="A3516" t="s">
        <v>3540</v>
      </c>
      <c r="B3516" s="1">
        <v>45781</v>
      </c>
      <c r="C3516" t="s">
        <v>21</v>
      </c>
      <c r="D3516" t="s">
        <v>25</v>
      </c>
      <c r="E3516" s="2">
        <v>23.16</v>
      </c>
      <c r="F3516" s="3">
        <v>64.62</v>
      </c>
      <c r="G3516" s="4">
        <v>382.18</v>
      </c>
      <c r="H3516">
        <v>1</v>
      </c>
      <c r="I3516" s="4">
        <v>382.18</v>
      </c>
      <c r="J3516">
        <v>4.4000000000000004</v>
      </c>
      <c r="K3516" t="s">
        <v>15</v>
      </c>
      <c r="L3516" t="s">
        <v>28</v>
      </c>
      <c r="O3516"/>
    </row>
    <row r="3517" spans="1:15" x14ac:dyDescent="0.3">
      <c r="A3517" t="s">
        <v>3541</v>
      </c>
      <c r="B3517" s="1">
        <v>46003</v>
      </c>
      <c r="C3517" t="s">
        <v>25</v>
      </c>
      <c r="D3517" t="s">
        <v>13</v>
      </c>
      <c r="E3517" s="2">
        <v>24.13</v>
      </c>
      <c r="F3517" s="3">
        <v>64.62</v>
      </c>
      <c r="G3517" s="4">
        <v>303.10000000000002</v>
      </c>
      <c r="H3517">
        <v>1</v>
      </c>
      <c r="I3517" s="4">
        <v>303.10000000000002</v>
      </c>
      <c r="J3517">
        <v>3.5</v>
      </c>
      <c r="K3517" t="s">
        <v>18</v>
      </c>
      <c r="L3517" t="s">
        <v>19</v>
      </c>
      <c r="O3517"/>
    </row>
    <row r="3518" spans="1:15" x14ac:dyDescent="0.3">
      <c r="A3518" t="s">
        <v>3542</v>
      </c>
      <c r="B3518" s="1">
        <v>45716</v>
      </c>
      <c r="C3518" t="s">
        <v>13</v>
      </c>
      <c r="D3518" t="s">
        <v>21</v>
      </c>
      <c r="E3518" s="2">
        <v>26.74</v>
      </c>
      <c r="F3518" s="3">
        <v>65.819999999999993</v>
      </c>
      <c r="G3518" s="4">
        <v>290.19</v>
      </c>
      <c r="H3518">
        <v>2</v>
      </c>
      <c r="I3518" s="4">
        <v>580.38</v>
      </c>
      <c r="J3518">
        <v>4.4000000000000004</v>
      </c>
      <c r="K3518" t="s">
        <v>18</v>
      </c>
      <c r="L3518" t="s">
        <v>26</v>
      </c>
      <c r="O3518"/>
    </row>
    <row r="3519" spans="1:15" x14ac:dyDescent="0.3">
      <c r="A3519" t="s">
        <v>3543</v>
      </c>
      <c r="B3519" s="1">
        <v>45774</v>
      </c>
      <c r="C3519" t="s">
        <v>21</v>
      </c>
      <c r="D3519" t="s">
        <v>25</v>
      </c>
      <c r="E3519" s="2">
        <v>11.69</v>
      </c>
      <c r="F3519" s="3">
        <v>36.22</v>
      </c>
      <c r="G3519" s="4">
        <v>203.91</v>
      </c>
      <c r="H3519">
        <v>1</v>
      </c>
      <c r="I3519" s="4">
        <v>203.91</v>
      </c>
      <c r="J3519">
        <v>3.8</v>
      </c>
      <c r="K3519" t="s">
        <v>36</v>
      </c>
      <c r="L3519" t="s">
        <v>19</v>
      </c>
      <c r="O3519"/>
    </row>
    <row r="3520" spans="1:15" x14ac:dyDescent="0.3">
      <c r="A3520" t="s">
        <v>3544</v>
      </c>
      <c r="B3520" s="1">
        <v>45720</v>
      </c>
      <c r="C3520" t="s">
        <v>13</v>
      </c>
      <c r="D3520" t="s">
        <v>14</v>
      </c>
      <c r="E3520" s="2">
        <v>9.64</v>
      </c>
      <c r="F3520" s="3">
        <v>38.14</v>
      </c>
      <c r="G3520" s="4">
        <v>115.97</v>
      </c>
      <c r="H3520">
        <v>1.2</v>
      </c>
      <c r="I3520" s="4">
        <v>139.16</v>
      </c>
      <c r="J3520">
        <v>4.0999999999999996</v>
      </c>
      <c r="K3520" t="s">
        <v>36</v>
      </c>
      <c r="L3520" t="s">
        <v>28</v>
      </c>
      <c r="O3520"/>
    </row>
    <row r="3521" spans="1:15" x14ac:dyDescent="0.3">
      <c r="A3521" t="s">
        <v>3545</v>
      </c>
      <c r="B3521" s="1">
        <v>45702</v>
      </c>
      <c r="C3521" t="s">
        <v>13</v>
      </c>
      <c r="D3521" t="s">
        <v>14</v>
      </c>
      <c r="E3521" s="2">
        <v>21.37</v>
      </c>
      <c r="F3521" s="3">
        <v>77.41</v>
      </c>
      <c r="G3521" s="4">
        <v>287.13</v>
      </c>
      <c r="H3521">
        <v>1</v>
      </c>
      <c r="I3521" s="4">
        <v>287.13</v>
      </c>
      <c r="J3521">
        <v>4</v>
      </c>
      <c r="K3521" t="s">
        <v>30</v>
      </c>
      <c r="L3521" t="s">
        <v>28</v>
      </c>
      <c r="O3521"/>
    </row>
    <row r="3522" spans="1:15" x14ac:dyDescent="0.3">
      <c r="A3522" t="s">
        <v>3546</v>
      </c>
      <c r="B3522" s="1">
        <v>45762</v>
      </c>
      <c r="C3522" t="s">
        <v>14</v>
      </c>
      <c r="D3522" t="s">
        <v>21</v>
      </c>
      <c r="E3522" s="2">
        <v>1.88</v>
      </c>
      <c r="F3522" s="3">
        <v>4.8899999999999997</v>
      </c>
      <c r="G3522" s="4">
        <v>33.79</v>
      </c>
      <c r="H3522">
        <v>1.2</v>
      </c>
      <c r="I3522" s="4">
        <v>40.549999999999997</v>
      </c>
      <c r="J3522">
        <v>3.5</v>
      </c>
      <c r="K3522" t="s">
        <v>18</v>
      </c>
      <c r="L3522" t="s">
        <v>16</v>
      </c>
      <c r="O3522"/>
    </row>
    <row r="3523" spans="1:15" x14ac:dyDescent="0.3">
      <c r="A3523" t="s">
        <v>3547</v>
      </c>
      <c r="B3523" s="1">
        <v>45940</v>
      </c>
      <c r="C3523" t="s">
        <v>14</v>
      </c>
      <c r="D3523" t="s">
        <v>13</v>
      </c>
      <c r="E3523" s="2">
        <v>8.43</v>
      </c>
      <c r="F3523" s="3">
        <v>17.86</v>
      </c>
      <c r="G3523" s="4">
        <v>112.75</v>
      </c>
      <c r="H3523">
        <v>1.2</v>
      </c>
      <c r="I3523" s="4">
        <v>135.30000000000001</v>
      </c>
      <c r="J3523">
        <v>3.1</v>
      </c>
      <c r="K3523" t="s">
        <v>30</v>
      </c>
      <c r="L3523" t="s">
        <v>28</v>
      </c>
      <c r="O3523"/>
    </row>
    <row r="3524" spans="1:15" x14ac:dyDescent="0.3">
      <c r="A3524" t="s">
        <v>3548</v>
      </c>
      <c r="B3524" s="1">
        <v>45663</v>
      </c>
      <c r="C3524" t="s">
        <v>22</v>
      </c>
      <c r="D3524" t="s">
        <v>21</v>
      </c>
      <c r="E3524" s="2">
        <v>19.73</v>
      </c>
      <c r="F3524" s="3">
        <v>76.84</v>
      </c>
      <c r="G3524" s="4">
        <v>217.11</v>
      </c>
      <c r="H3524">
        <v>1</v>
      </c>
      <c r="I3524" s="4">
        <v>217.11</v>
      </c>
      <c r="J3524">
        <v>3.3</v>
      </c>
      <c r="K3524" t="s">
        <v>36</v>
      </c>
      <c r="L3524" t="s">
        <v>26</v>
      </c>
      <c r="O3524"/>
    </row>
    <row r="3525" spans="1:15" x14ac:dyDescent="0.3">
      <c r="A3525" t="s">
        <v>3549</v>
      </c>
      <c r="B3525" s="1">
        <v>45910</v>
      </c>
      <c r="C3525" t="s">
        <v>22</v>
      </c>
      <c r="D3525" t="s">
        <v>14</v>
      </c>
      <c r="E3525" s="2">
        <v>20.45</v>
      </c>
      <c r="F3525" s="3">
        <v>61.16</v>
      </c>
      <c r="G3525" s="4">
        <v>391.16</v>
      </c>
      <c r="H3525">
        <v>1</v>
      </c>
      <c r="I3525" s="4">
        <v>391.16</v>
      </c>
      <c r="J3525">
        <v>3.6</v>
      </c>
      <c r="K3525" t="s">
        <v>36</v>
      </c>
      <c r="L3525" t="s">
        <v>26</v>
      </c>
      <c r="O3525"/>
    </row>
    <row r="3526" spans="1:15" x14ac:dyDescent="0.3">
      <c r="A3526" t="s">
        <v>3550</v>
      </c>
      <c r="B3526" s="1">
        <v>45822</v>
      </c>
      <c r="C3526" t="s">
        <v>21</v>
      </c>
      <c r="D3526" t="s">
        <v>22</v>
      </c>
      <c r="E3526" s="2">
        <v>28.31</v>
      </c>
      <c r="F3526" s="3">
        <v>74.739999999999995</v>
      </c>
      <c r="G3526" s="4">
        <v>377.64</v>
      </c>
      <c r="H3526">
        <v>1</v>
      </c>
      <c r="I3526" s="4">
        <v>377.64</v>
      </c>
      <c r="J3526">
        <v>3.1</v>
      </c>
      <c r="K3526" t="s">
        <v>36</v>
      </c>
      <c r="L3526" t="s">
        <v>26</v>
      </c>
      <c r="O3526"/>
    </row>
    <row r="3527" spans="1:15" x14ac:dyDescent="0.3">
      <c r="A3527" t="s">
        <v>3551</v>
      </c>
      <c r="B3527" s="1">
        <v>45770</v>
      </c>
      <c r="C3527" t="s">
        <v>25</v>
      </c>
      <c r="D3527" t="s">
        <v>25</v>
      </c>
      <c r="E3527" s="2">
        <v>21.59</v>
      </c>
      <c r="F3527" s="3">
        <v>70.64</v>
      </c>
      <c r="G3527" s="4">
        <v>420.18</v>
      </c>
      <c r="H3527">
        <v>1</v>
      </c>
      <c r="I3527" s="4">
        <v>420.18</v>
      </c>
      <c r="J3527">
        <v>3.6</v>
      </c>
      <c r="K3527" t="s">
        <v>36</v>
      </c>
      <c r="L3527" t="s">
        <v>28</v>
      </c>
      <c r="O3527"/>
    </row>
    <row r="3528" spans="1:15" x14ac:dyDescent="0.3">
      <c r="A3528" t="s">
        <v>3552</v>
      </c>
      <c r="B3528" s="1">
        <v>46003</v>
      </c>
      <c r="C3528" t="s">
        <v>13</v>
      </c>
      <c r="D3528" t="s">
        <v>22</v>
      </c>
      <c r="E3528" s="2">
        <v>7.36</v>
      </c>
      <c r="F3528" s="3">
        <v>25.51</v>
      </c>
      <c r="G3528" s="4">
        <v>111.73</v>
      </c>
      <c r="H3528">
        <v>1.5</v>
      </c>
      <c r="I3528" s="4">
        <v>167.6</v>
      </c>
      <c r="J3528">
        <v>3.1</v>
      </c>
      <c r="K3528" t="s">
        <v>33</v>
      </c>
      <c r="L3528" t="s">
        <v>19</v>
      </c>
      <c r="O3528"/>
    </row>
    <row r="3529" spans="1:15" x14ac:dyDescent="0.3">
      <c r="A3529" t="s">
        <v>3553</v>
      </c>
      <c r="B3529" s="1">
        <v>45839</v>
      </c>
      <c r="C3529" t="s">
        <v>21</v>
      </c>
      <c r="D3529" t="s">
        <v>25</v>
      </c>
      <c r="E3529" s="2">
        <v>20.11</v>
      </c>
      <c r="F3529" s="3">
        <v>62.97</v>
      </c>
      <c r="G3529" s="4">
        <v>203.2</v>
      </c>
      <c r="H3529">
        <v>1.2</v>
      </c>
      <c r="I3529" s="4">
        <v>243.84</v>
      </c>
      <c r="J3529">
        <v>4</v>
      </c>
      <c r="K3529" t="s">
        <v>36</v>
      </c>
      <c r="L3529" t="s">
        <v>19</v>
      </c>
      <c r="O3529"/>
    </row>
    <row r="3530" spans="1:15" x14ac:dyDescent="0.3">
      <c r="A3530" t="s">
        <v>3554</v>
      </c>
      <c r="B3530" s="1">
        <v>45830</v>
      </c>
      <c r="C3530" t="s">
        <v>13</v>
      </c>
      <c r="D3530" t="s">
        <v>13</v>
      </c>
      <c r="E3530" s="2">
        <v>9</v>
      </c>
      <c r="F3530" s="3">
        <v>26.99</v>
      </c>
      <c r="G3530" s="4">
        <v>118.08</v>
      </c>
      <c r="H3530">
        <v>1</v>
      </c>
      <c r="I3530" s="4">
        <v>118.08</v>
      </c>
      <c r="J3530">
        <v>4.9000000000000004</v>
      </c>
      <c r="K3530" t="s">
        <v>33</v>
      </c>
      <c r="L3530" t="s">
        <v>26</v>
      </c>
      <c r="O3530"/>
    </row>
    <row r="3531" spans="1:15" x14ac:dyDescent="0.3">
      <c r="A3531" t="s">
        <v>3555</v>
      </c>
      <c r="B3531" s="1">
        <v>45941</v>
      </c>
      <c r="C3531" t="s">
        <v>25</v>
      </c>
      <c r="D3531" t="s">
        <v>22</v>
      </c>
      <c r="E3531" s="2">
        <v>21.19</v>
      </c>
      <c r="F3531" s="3">
        <v>45.92</v>
      </c>
      <c r="G3531" s="4">
        <v>220.45</v>
      </c>
      <c r="H3531">
        <v>2</v>
      </c>
      <c r="I3531" s="4">
        <v>440.9</v>
      </c>
      <c r="J3531">
        <v>3.8</v>
      </c>
      <c r="K3531" t="s">
        <v>30</v>
      </c>
      <c r="L3531" t="s">
        <v>26</v>
      </c>
      <c r="O3531"/>
    </row>
    <row r="3532" spans="1:15" x14ac:dyDescent="0.3">
      <c r="A3532" t="s">
        <v>3556</v>
      </c>
      <c r="B3532" s="1">
        <v>45901</v>
      </c>
      <c r="C3532" t="s">
        <v>13</v>
      </c>
      <c r="D3532" t="s">
        <v>22</v>
      </c>
      <c r="E3532" s="2">
        <v>24.98</v>
      </c>
      <c r="F3532" s="3">
        <v>50.44</v>
      </c>
      <c r="G3532" s="4">
        <v>449.13</v>
      </c>
      <c r="H3532">
        <v>1.5</v>
      </c>
      <c r="I3532" s="4">
        <v>673.7</v>
      </c>
      <c r="J3532">
        <v>3.3</v>
      </c>
      <c r="K3532" t="s">
        <v>33</v>
      </c>
      <c r="L3532" t="s">
        <v>28</v>
      </c>
      <c r="O3532"/>
    </row>
    <row r="3533" spans="1:15" x14ac:dyDescent="0.3">
      <c r="A3533" t="s">
        <v>3557</v>
      </c>
      <c r="B3533" s="1">
        <v>45738</v>
      </c>
      <c r="C3533" t="s">
        <v>14</v>
      </c>
      <c r="D3533" t="s">
        <v>25</v>
      </c>
      <c r="E3533" s="2">
        <v>18.09</v>
      </c>
      <c r="F3533" s="3">
        <v>38.18</v>
      </c>
      <c r="G3533" s="4">
        <v>190.06</v>
      </c>
      <c r="H3533">
        <v>1.5</v>
      </c>
      <c r="I3533" s="4">
        <v>285.08999999999997</v>
      </c>
      <c r="J3533">
        <v>3.6</v>
      </c>
      <c r="K3533" t="s">
        <v>30</v>
      </c>
      <c r="L3533" t="s">
        <v>16</v>
      </c>
      <c r="O3533"/>
    </row>
    <row r="3534" spans="1:15" x14ac:dyDescent="0.3">
      <c r="A3534" t="s">
        <v>3558</v>
      </c>
      <c r="B3534" s="1">
        <v>45828</v>
      </c>
      <c r="C3534" t="s">
        <v>14</v>
      </c>
      <c r="D3534" t="s">
        <v>22</v>
      </c>
      <c r="E3534" s="2">
        <v>11.03</v>
      </c>
      <c r="F3534" s="3">
        <v>35.69</v>
      </c>
      <c r="G3534" s="4">
        <v>164.3</v>
      </c>
      <c r="H3534">
        <v>2</v>
      </c>
      <c r="I3534" s="4">
        <v>328.6</v>
      </c>
      <c r="J3534">
        <v>3.2</v>
      </c>
      <c r="K3534" t="s">
        <v>15</v>
      </c>
      <c r="L3534" t="s">
        <v>28</v>
      </c>
      <c r="O3534"/>
    </row>
    <row r="3535" spans="1:15" x14ac:dyDescent="0.3">
      <c r="A3535" t="s">
        <v>3559</v>
      </c>
      <c r="B3535" s="1">
        <v>45874</v>
      </c>
      <c r="C3535" t="s">
        <v>25</v>
      </c>
      <c r="D3535" t="s">
        <v>13</v>
      </c>
      <c r="E3535" s="2">
        <v>29.53</v>
      </c>
      <c r="F3535" s="3">
        <v>110.23</v>
      </c>
      <c r="G3535" s="4">
        <v>563.89</v>
      </c>
      <c r="H3535">
        <v>1.2</v>
      </c>
      <c r="I3535" s="4">
        <v>676.67</v>
      </c>
      <c r="J3535">
        <v>3.1</v>
      </c>
      <c r="K3535" t="s">
        <v>36</v>
      </c>
      <c r="L3535" t="s">
        <v>16</v>
      </c>
      <c r="O3535"/>
    </row>
    <row r="3536" spans="1:15" x14ac:dyDescent="0.3">
      <c r="A3536" t="s">
        <v>3560</v>
      </c>
      <c r="B3536" s="1">
        <v>45797</v>
      </c>
      <c r="C3536" t="s">
        <v>21</v>
      </c>
      <c r="D3536" t="s">
        <v>21</v>
      </c>
      <c r="E3536" s="2">
        <v>21.56</v>
      </c>
      <c r="F3536" s="3">
        <v>84.64</v>
      </c>
      <c r="G3536" s="4">
        <v>338.76</v>
      </c>
      <c r="H3536">
        <v>1.2</v>
      </c>
      <c r="I3536" s="4">
        <v>406.51</v>
      </c>
      <c r="J3536">
        <v>4.2</v>
      </c>
      <c r="K3536" t="s">
        <v>30</v>
      </c>
      <c r="L3536" t="s">
        <v>28</v>
      </c>
      <c r="O3536"/>
    </row>
    <row r="3537" spans="1:15" x14ac:dyDescent="0.3">
      <c r="A3537" t="s">
        <v>3561</v>
      </c>
      <c r="B3537" s="1">
        <v>45881</v>
      </c>
      <c r="C3537" t="s">
        <v>14</v>
      </c>
      <c r="D3537" t="s">
        <v>25</v>
      </c>
      <c r="E3537" s="2">
        <v>20.91</v>
      </c>
      <c r="F3537" s="3">
        <v>51.03</v>
      </c>
      <c r="G3537" s="4">
        <v>291.51</v>
      </c>
      <c r="H3537">
        <v>1</v>
      </c>
      <c r="I3537" s="4">
        <v>291.51</v>
      </c>
      <c r="J3537">
        <v>3.9</v>
      </c>
      <c r="K3537" t="s">
        <v>15</v>
      </c>
      <c r="L3537" t="s">
        <v>19</v>
      </c>
      <c r="O3537"/>
    </row>
    <row r="3538" spans="1:15" x14ac:dyDescent="0.3">
      <c r="A3538" t="s">
        <v>3562</v>
      </c>
      <c r="B3538" s="1">
        <v>45877</v>
      </c>
      <c r="C3538" t="s">
        <v>13</v>
      </c>
      <c r="D3538" t="s">
        <v>13</v>
      </c>
      <c r="E3538" s="2">
        <v>22.07</v>
      </c>
      <c r="F3538" s="3">
        <v>59.01</v>
      </c>
      <c r="G3538" s="4">
        <v>396.14</v>
      </c>
      <c r="H3538">
        <v>1.5</v>
      </c>
      <c r="I3538" s="4">
        <v>594.21</v>
      </c>
      <c r="J3538">
        <v>3</v>
      </c>
      <c r="K3538" t="s">
        <v>18</v>
      </c>
      <c r="L3538" t="s">
        <v>26</v>
      </c>
      <c r="O3538"/>
    </row>
    <row r="3539" spans="1:15" x14ac:dyDescent="0.3">
      <c r="A3539" t="s">
        <v>3563</v>
      </c>
      <c r="B3539" s="1">
        <v>45838</v>
      </c>
      <c r="C3539" t="s">
        <v>14</v>
      </c>
      <c r="D3539" t="s">
        <v>25</v>
      </c>
      <c r="E3539" s="2">
        <v>22.45</v>
      </c>
      <c r="F3539" s="3">
        <v>45.34</v>
      </c>
      <c r="G3539" s="4">
        <v>307.48</v>
      </c>
      <c r="H3539">
        <v>1</v>
      </c>
      <c r="I3539" s="4">
        <v>307.48</v>
      </c>
      <c r="J3539">
        <v>3.9</v>
      </c>
      <c r="K3539" t="s">
        <v>33</v>
      </c>
      <c r="L3539" t="s">
        <v>16</v>
      </c>
      <c r="O3539"/>
    </row>
    <row r="3540" spans="1:15" x14ac:dyDescent="0.3">
      <c r="A3540" t="s">
        <v>3564</v>
      </c>
      <c r="B3540" s="1">
        <v>45972</v>
      </c>
      <c r="C3540" t="s">
        <v>14</v>
      </c>
      <c r="D3540" t="s">
        <v>25</v>
      </c>
      <c r="E3540" s="2">
        <v>8.84</v>
      </c>
      <c r="F3540" s="3">
        <v>31.2</v>
      </c>
      <c r="G3540" s="4">
        <v>104.61</v>
      </c>
      <c r="H3540">
        <v>1.2</v>
      </c>
      <c r="I3540" s="4">
        <v>125.53</v>
      </c>
      <c r="J3540">
        <v>3.5</v>
      </c>
      <c r="K3540" t="s">
        <v>15</v>
      </c>
      <c r="L3540" t="s">
        <v>16</v>
      </c>
      <c r="O3540"/>
    </row>
    <row r="3541" spans="1:15" x14ac:dyDescent="0.3">
      <c r="A3541" t="s">
        <v>3565</v>
      </c>
      <c r="B3541" s="1">
        <v>45890</v>
      </c>
      <c r="C3541" t="s">
        <v>25</v>
      </c>
      <c r="D3541" t="s">
        <v>25</v>
      </c>
      <c r="E3541" s="2">
        <v>10.39</v>
      </c>
      <c r="F3541" s="3">
        <v>39.49</v>
      </c>
      <c r="G3541" s="4">
        <v>156.41</v>
      </c>
      <c r="H3541">
        <v>1</v>
      </c>
      <c r="I3541" s="4">
        <v>156.41</v>
      </c>
      <c r="J3541">
        <v>3.4</v>
      </c>
      <c r="K3541" t="s">
        <v>18</v>
      </c>
      <c r="L3541" t="s">
        <v>16</v>
      </c>
      <c r="O3541"/>
    </row>
    <row r="3542" spans="1:15" x14ac:dyDescent="0.3">
      <c r="A3542" t="s">
        <v>3566</v>
      </c>
      <c r="B3542" s="1">
        <v>45926</v>
      </c>
      <c r="C3542" t="s">
        <v>21</v>
      </c>
      <c r="D3542" t="s">
        <v>14</v>
      </c>
      <c r="E3542" s="2">
        <v>1.93</v>
      </c>
      <c r="F3542" s="3">
        <v>3.97</v>
      </c>
      <c r="G3542" s="4">
        <v>30.88</v>
      </c>
      <c r="H3542">
        <v>1.5</v>
      </c>
      <c r="I3542" s="4">
        <v>46.32</v>
      </c>
      <c r="J3542">
        <v>3.1</v>
      </c>
      <c r="K3542" t="s">
        <v>18</v>
      </c>
      <c r="L3542" t="s">
        <v>19</v>
      </c>
      <c r="O3542"/>
    </row>
    <row r="3543" spans="1:15" x14ac:dyDescent="0.3">
      <c r="A3543" t="s">
        <v>3567</v>
      </c>
      <c r="B3543" s="1">
        <v>45934</v>
      </c>
      <c r="C3543" t="s">
        <v>14</v>
      </c>
      <c r="D3543" t="s">
        <v>22</v>
      </c>
      <c r="E3543" s="2">
        <v>6.37</v>
      </c>
      <c r="F3543" s="3">
        <v>15.61</v>
      </c>
      <c r="G3543" s="4">
        <v>105.83</v>
      </c>
      <c r="H3543">
        <v>1.5</v>
      </c>
      <c r="I3543" s="4">
        <v>158.74</v>
      </c>
      <c r="J3543">
        <v>3.7</v>
      </c>
      <c r="K3543" t="s">
        <v>33</v>
      </c>
      <c r="L3543" t="s">
        <v>19</v>
      </c>
      <c r="O3543"/>
    </row>
    <row r="3544" spans="1:15" x14ac:dyDescent="0.3">
      <c r="A3544" t="s">
        <v>3568</v>
      </c>
      <c r="B3544" s="1">
        <v>45843</v>
      </c>
      <c r="C3544" t="s">
        <v>25</v>
      </c>
      <c r="D3544" t="s">
        <v>25</v>
      </c>
      <c r="E3544" s="2">
        <v>4.72</v>
      </c>
      <c r="F3544" s="3">
        <v>17.05</v>
      </c>
      <c r="G3544" s="4">
        <v>76.319999999999993</v>
      </c>
      <c r="H3544">
        <v>2</v>
      </c>
      <c r="I3544" s="4">
        <v>152.63999999999999</v>
      </c>
      <c r="J3544">
        <v>3.5</v>
      </c>
      <c r="K3544" t="s">
        <v>15</v>
      </c>
      <c r="L3544" t="s">
        <v>26</v>
      </c>
      <c r="O3544"/>
    </row>
    <row r="3545" spans="1:15" x14ac:dyDescent="0.3">
      <c r="A3545" t="s">
        <v>3569</v>
      </c>
      <c r="B3545" s="1">
        <v>45780</v>
      </c>
      <c r="C3545" t="s">
        <v>21</v>
      </c>
      <c r="D3545" t="s">
        <v>21</v>
      </c>
      <c r="E3545" s="2">
        <v>27.69</v>
      </c>
      <c r="F3545" s="3">
        <v>109.08</v>
      </c>
      <c r="G3545" s="4">
        <v>355.87</v>
      </c>
      <c r="H3545">
        <v>1.2</v>
      </c>
      <c r="I3545" s="4">
        <v>427.04</v>
      </c>
      <c r="J3545">
        <v>3.5</v>
      </c>
      <c r="K3545" t="s">
        <v>18</v>
      </c>
      <c r="L3545" t="s">
        <v>16</v>
      </c>
      <c r="O3545"/>
    </row>
    <row r="3546" spans="1:15" x14ac:dyDescent="0.3">
      <c r="A3546" t="s">
        <v>3570</v>
      </c>
      <c r="B3546" s="1">
        <v>45995</v>
      </c>
      <c r="C3546" t="s">
        <v>21</v>
      </c>
      <c r="D3546" t="s">
        <v>14</v>
      </c>
      <c r="E3546" s="2">
        <v>27.96</v>
      </c>
      <c r="F3546" s="3">
        <v>89.51</v>
      </c>
      <c r="G3546" s="4">
        <v>457.01</v>
      </c>
      <c r="H3546">
        <v>2</v>
      </c>
      <c r="I3546" s="4">
        <v>914.02</v>
      </c>
      <c r="J3546">
        <v>4.8</v>
      </c>
      <c r="K3546" t="s">
        <v>36</v>
      </c>
      <c r="L3546" t="s">
        <v>28</v>
      </c>
      <c r="O3546"/>
    </row>
    <row r="3547" spans="1:15" x14ac:dyDescent="0.3">
      <c r="A3547" t="s">
        <v>3571</v>
      </c>
      <c r="B3547" s="1">
        <v>45928</v>
      </c>
      <c r="C3547" t="s">
        <v>14</v>
      </c>
      <c r="D3547" t="s">
        <v>13</v>
      </c>
      <c r="E3547" s="2">
        <v>29.23</v>
      </c>
      <c r="F3547" s="3">
        <v>79.760000000000005</v>
      </c>
      <c r="G3547" s="4">
        <v>475.93</v>
      </c>
      <c r="H3547">
        <v>2</v>
      </c>
      <c r="I3547" s="4">
        <v>951.86</v>
      </c>
      <c r="J3547">
        <v>4.2</v>
      </c>
      <c r="K3547" t="s">
        <v>18</v>
      </c>
      <c r="L3547" t="s">
        <v>16</v>
      </c>
      <c r="O3547"/>
    </row>
    <row r="3548" spans="1:15" x14ac:dyDescent="0.3">
      <c r="A3548" t="s">
        <v>3572</v>
      </c>
      <c r="B3548" s="1">
        <v>45868</v>
      </c>
      <c r="C3548" t="s">
        <v>13</v>
      </c>
      <c r="D3548" t="s">
        <v>14</v>
      </c>
      <c r="E3548" s="2">
        <v>21.38</v>
      </c>
      <c r="F3548" s="3">
        <v>85.29</v>
      </c>
      <c r="G3548" s="4">
        <v>354.71</v>
      </c>
      <c r="H3548">
        <v>2</v>
      </c>
      <c r="I3548" s="4">
        <v>709.42</v>
      </c>
      <c r="J3548">
        <v>4.0999999999999996</v>
      </c>
      <c r="K3548" t="s">
        <v>18</v>
      </c>
      <c r="L3548" t="s">
        <v>26</v>
      </c>
      <c r="O3548"/>
    </row>
    <row r="3549" spans="1:15" x14ac:dyDescent="0.3">
      <c r="A3549" t="s">
        <v>3573</v>
      </c>
      <c r="B3549" s="1">
        <v>45915</v>
      </c>
      <c r="C3549" t="s">
        <v>13</v>
      </c>
      <c r="D3549" t="s">
        <v>21</v>
      </c>
      <c r="E3549" s="2">
        <v>24.5</v>
      </c>
      <c r="F3549" s="3">
        <v>63.7</v>
      </c>
      <c r="G3549" s="4">
        <v>276.04000000000002</v>
      </c>
      <c r="H3549">
        <v>2</v>
      </c>
      <c r="I3549" s="4">
        <v>552.08000000000004</v>
      </c>
      <c r="J3549">
        <v>3.9</v>
      </c>
      <c r="K3549" t="s">
        <v>30</v>
      </c>
      <c r="L3549" t="s">
        <v>28</v>
      </c>
      <c r="O3549"/>
    </row>
    <row r="3550" spans="1:15" x14ac:dyDescent="0.3">
      <c r="A3550" t="s">
        <v>3574</v>
      </c>
      <c r="B3550" s="1">
        <v>45710</v>
      </c>
      <c r="C3550" t="s">
        <v>14</v>
      </c>
      <c r="D3550" t="s">
        <v>14</v>
      </c>
      <c r="E3550" s="2">
        <v>29.93</v>
      </c>
      <c r="F3550" s="3">
        <v>99.74</v>
      </c>
      <c r="G3550" s="4">
        <v>377.82</v>
      </c>
      <c r="H3550">
        <v>1.2</v>
      </c>
      <c r="I3550" s="4">
        <v>453.38</v>
      </c>
      <c r="J3550">
        <v>4</v>
      </c>
      <c r="K3550" t="s">
        <v>18</v>
      </c>
      <c r="L3550" t="s">
        <v>19</v>
      </c>
      <c r="O3550"/>
    </row>
    <row r="3551" spans="1:15" x14ac:dyDescent="0.3">
      <c r="A3551" t="s">
        <v>3575</v>
      </c>
      <c r="B3551" s="1">
        <v>45726</v>
      </c>
      <c r="C3551" t="s">
        <v>14</v>
      </c>
      <c r="D3551" t="s">
        <v>25</v>
      </c>
      <c r="E3551" s="2">
        <v>29.7</v>
      </c>
      <c r="F3551" s="3">
        <v>66.28</v>
      </c>
      <c r="G3551" s="4">
        <v>335.6</v>
      </c>
      <c r="H3551">
        <v>2</v>
      </c>
      <c r="I3551" s="4">
        <v>671.2</v>
      </c>
      <c r="J3551">
        <v>3.9</v>
      </c>
      <c r="K3551" t="s">
        <v>36</v>
      </c>
      <c r="L3551" t="s">
        <v>19</v>
      </c>
      <c r="O3551"/>
    </row>
    <row r="3552" spans="1:15" x14ac:dyDescent="0.3">
      <c r="A3552" t="s">
        <v>3576</v>
      </c>
      <c r="B3552" s="1">
        <v>45728</v>
      </c>
      <c r="C3552" t="s">
        <v>13</v>
      </c>
      <c r="D3552" t="s">
        <v>21</v>
      </c>
      <c r="E3552" s="2">
        <v>11.81</v>
      </c>
      <c r="F3552" s="3">
        <v>40.94</v>
      </c>
      <c r="G3552" s="4">
        <v>165.99</v>
      </c>
      <c r="H3552">
        <v>1</v>
      </c>
      <c r="I3552" s="4">
        <v>165.99</v>
      </c>
      <c r="J3552">
        <v>3.4</v>
      </c>
      <c r="K3552" t="s">
        <v>33</v>
      </c>
      <c r="L3552" t="s">
        <v>28</v>
      </c>
      <c r="O3552"/>
    </row>
    <row r="3553" spans="1:15" x14ac:dyDescent="0.3">
      <c r="A3553" t="s">
        <v>3577</v>
      </c>
      <c r="B3553" s="1">
        <v>45962</v>
      </c>
      <c r="C3553" t="s">
        <v>25</v>
      </c>
      <c r="D3553" t="s">
        <v>14</v>
      </c>
      <c r="E3553" s="2">
        <v>16.899999999999999</v>
      </c>
      <c r="F3553" s="3">
        <v>52.04</v>
      </c>
      <c r="G3553" s="4">
        <v>183.91</v>
      </c>
      <c r="H3553">
        <v>1</v>
      </c>
      <c r="I3553" s="4">
        <v>183.91</v>
      </c>
      <c r="J3553">
        <v>3.5</v>
      </c>
      <c r="K3553" t="s">
        <v>15</v>
      </c>
      <c r="L3553" t="s">
        <v>28</v>
      </c>
      <c r="O3553"/>
    </row>
    <row r="3554" spans="1:15" x14ac:dyDescent="0.3">
      <c r="A3554" t="s">
        <v>3578</v>
      </c>
      <c r="B3554" s="1">
        <v>45674</v>
      </c>
      <c r="C3554" t="s">
        <v>13</v>
      </c>
      <c r="D3554" t="s">
        <v>14</v>
      </c>
      <c r="E3554" s="2">
        <v>24.21</v>
      </c>
      <c r="F3554" s="3">
        <v>72.08</v>
      </c>
      <c r="G3554" s="4">
        <v>437.11</v>
      </c>
      <c r="H3554">
        <v>2</v>
      </c>
      <c r="I3554" s="4">
        <v>874.22</v>
      </c>
      <c r="J3554">
        <v>3.8</v>
      </c>
      <c r="K3554" t="s">
        <v>33</v>
      </c>
      <c r="L3554" t="s">
        <v>28</v>
      </c>
      <c r="O3554"/>
    </row>
    <row r="3555" spans="1:15" x14ac:dyDescent="0.3">
      <c r="A3555" t="s">
        <v>3579</v>
      </c>
      <c r="B3555" s="1">
        <v>45871</v>
      </c>
      <c r="C3555" t="s">
        <v>25</v>
      </c>
      <c r="D3555" t="s">
        <v>14</v>
      </c>
      <c r="E3555" s="2">
        <v>13.64</v>
      </c>
      <c r="F3555" s="3">
        <v>31.36</v>
      </c>
      <c r="G3555" s="4">
        <v>191.22</v>
      </c>
      <c r="H3555">
        <v>1.2</v>
      </c>
      <c r="I3555" s="4">
        <v>229.46</v>
      </c>
      <c r="J3555">
        <v>3.1</v>
      </c>
      <c r="K3555" t="s">
        <v>15</v>
      </c>
      <c r="L3555" t="s">
        <v>28</v>
      </c>
      <c r="O3555"/>
    </row>
    <row r="3556" spans="1:15" x14ac:dyDescent="0.3">
      <c r="A3556" t="s">
        <v>3580</v>
      </c>
      <c r="B3556" s="1">
        <v>45896</v>
      </c>
      <c r="C3556" t="s">
        <v>22</v>
      </c>
      <c r="D3556" t="s">
        <v>25</v>
      </c>
      <c r="E3556" s="2">
        <v>14.34</v>
      </c>
      <c r="F3556" s="3">
        <v>45.73</v>
      </c>
      <c r="G3556" s="4">
        <v>264.56</v>
      </c>
      <c r="H3556">
        <v>2</v>
      </c>
      <c r="I3556" s="4">
        <v>529.12</v>
      </c>
      <c r="J3556">
        <v>4.8</v>
      </c>
      <c r="K3556" t="s">
        <v>30</v>
      </c>
      <c r="L3556" t="s">
        <v>26</v>
      </c>
      <c r="O3556"/>
    </row>
    <row r="3557" spans="1:15" x14ac:dyDescent="0.3">
      <c r="A3557" t="s">
        <v>3581</v>
      </c>
      <c r="B3557" s="1">
        <v>45832</v>
      </c>
      <c r="C3557" t="s">
        <v>13</v>
      </c>
      <c r="D3557" t="s">
        <v>21</v>
      </c>
      <c r="E3557" s="2">
        <v>24.64</v>
      </c>
      <c r="F3557" s="3">
        <v>77.66</v>
      </c>
      <c r="G3557" s="4">
        <v>247.55</v>
      </c>
      <c r="H3557">
        <v>1.5</v>
      </c>
      <c r="I3557" s="4">
        <v>371.33</v>
      </c>
      <c r="J3557">
        <v>3.1</v>
      </c>
      <c r="K3557" t="s">
        <v>15</v>
      </c>
      <c r="L3557" t="s">
        <v>26</v>
      </c>
      <c r="O3557"/>
    </row>
    <row r="3558" spans="1:15" x14ac:dyDescent="0.3">
      <c r="A3558" t="s">
        <v>3582</v>
      </c>
      <c r="B3558" s="1">
        <v>45850</v>
      </c>
      <c r="C3558" t="s">
        <v>14</v>
      </c>
      <c r="D3558" t="s">
        <v>25</v>
      </c>
      <c r="E3558" s="2">
        <v>14.21</v>
      </c>
      <c r="F3558" s="3">
        <v>37.83</v>
      </c>
      <c r="G3558" s="4">
        <v>243.36</v>
      </c>
      <c r="H3558">
        <v>1.5</v>
      </c>
      <c r="I3558" s="4">
        <v>365.04</v>
      </c>
      <c r="J3558">
        <v>4.7</v>
      </c>
      <c r="K3558" t="s">
        <v>36</v>
      </c>
      <c r="L3558" t="s">
        <v>26</v>
      </c>
      <c r="O3558"/>
    </row>
    <row r="3559" spans="1:15" x14ac:dyDescent="0.3">
      <c r="A3559" t="s">
        <v>3583</v>
      </c>
      <c r="B3559" s="1">
        <v>45865</v>
      </c>
      <c r="C3559" t="s">
        <v>21</v>
      </c>
      <c r="D3559" t="s">
        <v>21</v>
      </c>
      <c r="E3559" s="2">
        <v>29.6</v>
      </c>
      <c r="F3559" s="3">
        <v>75.88</v>
      </c>
      <c r="G3559" s="4">
        <v>389.34</v>
      </c>
      <c r="H3559">
        <v>1.5</v>
      </c>
      <c r="I3559" s="4">
        <v>584.01</v>
      </c>
      <c r="J3559">
        <v>4.9000000000000004</v>
      </c>
      <c r="K3559" t="s">
        <v>36</v>
      </c>
      <c r="L3559" t="s">
        <v>16</v>
      </c>
      <c r="O3559"/>
    </row>
    <row r="3560" spans="1:15" x14ac:dyDescent="0.3">
      <c r="A3560" t="s">
        <v>3584</v>
      </c>
      <c r="B3560" s="1">
        <v>46011</v>
      </c>
      <c r="C3560" t="s">
        <v>25</v>
      </c>
      <c r="D3560" t="s">
        <v>22</v>
      </c>
      <c r="E3560" s="2">
        <v>16.89</v>
      </c>
      <c r="F3560" s="3">
        <v>57.67</v>
      </c>
      <c r="G3560" s="4">
        <v>214.82</v>
      </c>
      <c r="H3560">
        <v>1</v>
      </c>
      <c r="I3560" s="4">
        <v>214.82</v>
      </c>
      <c r="J3560">
        <v>3.9</v>
      </c>
      <c r="K3560" t="s">
        <v>33</v>
      </c>
      <c r="L3560" t="s">
        <v>19</v>
      </c>
      <c r="O3560"/>
    </row>
    <row r="3561" spans="1:15" x14ac:dyDescent="0.3">
      <c r="A3561" t="s">
        <v>3585</v>
      </c>
      <c r="B3561" s="1">
        <v>45727</v>
      </c>
      <c r="C3561" t="s">
        <v>25</v>
      </c>
      <c r="D3561" t="s">
        <v>14</v>
      </c>
      <c r="E3561" s="2">
        <v>2.37</v>
      </c>
      <c r="F3561" s="3">
        <v>5.38</v>
      </c>
      <c r="G3561" s="4">
        <v>28.22</v>
      </c>
      <c r="H3561">
        <v>1.5</v>
      </c>
      <c r="I3561" s="4">
        <v>42.33</v>
      </c>
      <c r="J3561">
        <v>4.7</v>
      </c>
      <c r="K3561" t="s">
        <v>33</v>
      </c>
      <c r="L3561" t="s">
        <v>28</v>
      </c>
      <c r="O3561"/>
    </row>
    <row r="3562" spans="1:15" x14ac:dyDescent="0.3">
      <c r="A3562" t="s">
        <v>3586</v>
      </c>
      <c r="B3562" s="1">
        <v>45660</v>
      </c>
      <c r="C3562" t="s">
        <v>21</v>
      </c>
      <c r="D3562" t="s">
        <v>25</v>
      </c>
      <c r="E3562" s="2">
        <v>3.58</v>
      </c>
      <c r="F3562" s="3">
        <v>9.67</v>
      </c>
      <c r="G3562" s="4">
        <v>68.430000000000007</v>
      </c>
      <c r="H3562">
        <v>1.5</v>
      </c>
      <c r="I3562" s="4">
        <v>102.65</v>
      </c>
      <c r="J3562">
        <v>3.2</v>
      </c>
      <c r="K3562" t="s">
        <v>18</v>
      </c>
      <c r="L3562" t="s">
        <v>19</v>
      </c>
      <c r="O3562"/>
    </row>
    <row r="3563" spans="1:15" x14ac:dyDescent="0.3">
      <c r="A3563" t="s">
        <v>3587</v>
      </c>
      <c r="B3563" s="1">
        <v>45755</v>
      </c>
      <c r="C3563" t="s">
        <v>22</v>
      </c>
      <c r="D3563" t="s">
        <v>13</v>
      </c>
      <c r="E3563" s="2">
        <v>28.75</v>
      </c>
      <c r="F3563" s="3">
        <v>71.55</v>
      </c>
      <c r="G3563" s="4">
        <v>547.72</v>
      </c>
      <c r="H3563">
        <v>2</v>
      </c>
      <c r="I3563" s="4">
        <v>1095.44</v>
      </c>
      <c r="J3563">
        <v>4.3</v>
      </c>
      <c r="K3563" t="s">
        <v>18</v>
      </c>
      <c r="L3563" t="s">
        <v>19</v>
      </c>
      <c r="O3563"/>
    </row>
    <row r="3564" spans="1:15" x14ac:dyDescent="0.3">
      <c r="A3564" t="s">
        <v>3588</v>
      </c>
      <c r="B3564" s="1">
        <v>45709</v>
      </c>
      <c r="C3564" t="s">
        <v>21</v>
      </c>
      <c r="D3564" t="s">
        <v>21</v>
      </c>
      <c r="E3564" s="2">
        <v>11.84</v>
      </c>
      <c r="F3564" s="3">
        <v>26.97</v>
      </c>
      <c r="G3564" s="4">
        <v>222.74</v>
      </c>
      <c r="H3564">
        <v>1</v>
      </c>
      <c r="I3564" s="4">
        <v>222.74</v>
      </c>
      <c r="J3564">
        <v>3.7</v>
      </c>
      <c r="K3564" t="s">
        <v>36</v>
      </c>
      <c r="L3564" t="s">
        <v>19</v>
      </c>
      <c r="O3564"/>
    </row>
    <row r="3565" spans="1:15" x14ac:dyDescent="0.3">
      <c r="A3565" t="s">
        <v>3589</v>
      </c>
      <c r="B3565" s="1">
        <v>45766</v>
      </c>
      <c r="C3565" t="s">
        <v>13</v>
      </c>
      <c r="D3565" t="s">
        <v>25</v>
      </c>
      <c r="E3565" s="2">
        <v>19.920000000000002</v>
      </c>
      <c r="F3565" s="3">
        <v>60.04</v>
      </c>
      <c r="G3565" s="4">
        <v>229.07</v>
      </c>
      <c r="H3565">
        <v>1</v>
      </c>
      <c r="I3565" s="4">
        <v>229.07</v>
      </c>
      <c r="J3565">
        <v>4.3</v>
      </c>
      <c r="K3565" t="s">
        <v>36</v>
      </c>
      <c r="L3565" t="s">
        <v>28</v>
      </c>
      <c r="O3565"/>
    </row>
    <row r="3566" spans="1:15" x14ac:dyDescent="0.3">
      <c r="A3566" t="s">
        <v>3590</v>
      </c>
      <c r="B3566" s="1">
        <v>45783</v>
      </c>
      <c r="C3566" t="s">
        <v>13</v>
      </c>
      <c r="D3566" t="s">
        <v>21</v>
      </c>
      <c r="E3566" s="2">
        <v>22.02</v>
      </c>
      <c r="F3566" s="3">
        <v>51.1</v>
      </c>
      <c r="G3566" s="4">
        <v>374.81</v>
      </c>
      <c r="H3566">
        <v>1</v>
      </c>
      <c r="I3566" s="4">
        <v>374.81</v>
      </c>
      <c r="J3566">
        <v>4.2</v>
      </c>
      <c r="K3566" t="s">
        <v>33</v>
      </c>
      <c r="L3566" t="s">
        <v>16</v>
      </c>
      <c r="O3566"/>
    </row>
    <row r="3567" spans="1:15" x14ac:dyDescent="0.3">
      <c r="A3567" t="s">
        <v>3591</v>
      </c>
      <c r="B3567" s="1">
        <v>45734</v>
      </c>
      <c r="C3567" t="s">
        <v>22</v>
      </c>
      <c r="D3567" t="s">
        <v>25</v>
      </c>
      <c r="E3567" s="2">
        <v>4.92</v>
      </c>
      <c r="F3567" s="3">
        <v>12.94</v>
      </c>
      <c r="G3567" s="4">
        <v>64.95</v>
      </c>
      <c r="H3567">
        <v>1.2</v>
      </c>
      <c r="I3567" s="4">
        <v>77.94</v>
      </c>
      <c r="J3567">
        <v>3.6</v>
      </c>
      <c r="K3567" t="s">
        <v>15</v>
      </c>
      <c r="L3567" t="s">
        <v>28</v>
      </c>
      <c r="O3567"/>
    </row>
    <row r="3568" spans="1:15" x14ac:dyDescent="0.3">
      <c r="A3568" t="s">
        <v>3592</v>
      </c>
      <c r="B3568" s="1">
        <v>45709</v>
      </c>
      <c r="C3568" t="s">
        <v>25</v>
      </c>
      <c r="D3568" t="s">
        <v>14</v>
      </c>
      <c r="E3568" s="2">
        <v>25.04</v>
      </c>
      <c r="F3568" s="3">
        <v>88.19</v>
      </c>
      <c r="G3568" s="4">
        <v>297.05</v>
      </c>
      <c r="H3568">
        <v>2</v>
      </c>
      <c r="I3568" s="4">
        <v>594.1</v>
      </c>
      <c r="J3568">
        <v>3.8</v>
      </c>
      <c r="K3568" t="s">
        <v>15</v>
      </c>
      <c r="L3568" t="s">
        <v>19</v>
      </c>
      <c r="O3568"/>
    </row>
    <row r="3569" spans="1:15" x14ac:dyDescent="0.3">
      <c r="A3569" t="s">
        <v>3593</v>
      </c>
      <c r="B3569" s="1">
        <v>45749</v>
      </c>
      <c r="C3569" t="s">
        <v>14</v>
      </c>
      <c r="D3569" t="s">
        <v>25</v>
      </c>
      <c r="E3569" s="2">
        <v>2.75</v>
      </c>
      <c r="F3569" s="3">
        <v>8.07</v>
      </c>
      <c r="G3569" s="4">
        <v>54.85</v>
      </c>
      <c r="H3569">
        <v>1.5</v>
      </c>
      <c r="I3569" s="4">
        <v>82.28</v>
      </c>
      <c r="J3569">
        <v>3.7</v>
      </c>
      <c r="K3569" t="s">
        <v>18</v>
      </c>
      <c r="L3569" t="s">
        <v>16</v>
      </c>
      <c r="O3569"/>
    </row>
    <row r="3570" spans="1:15" x14ac:dyDescent="0.3">
      <c r="A3570" t="s">
        <v>3594</v>
      </c>
      <c r="B3570" s="1">
        <v>45856</v>
      </c>
      <c r="C3570" t="s">
        <v>21</v>
      </c>
      <c r="D3570" t="s">
        <v>25</v>
      </c>
      <c r="E3570" s="2">
        <v>16.89</v>
      </c>
      <c r="F3570" s="3">
        <v>44.77</v>
      </c>
      <c r="G3570" s="4">
        <v>184.03</v>
      </c>
      <c r="H3570">
        <v>1</v>
      </c>
      <c r="I3570" s="4">
        <v>184.03</v>
      </c>
      <c r="J3570">
        <v>3</v>
      </c>
      <c r="K3570" t="s">
        <v>15</v>
      </c>
      <c r="L3570" t="s">
        <v>19</v>
      </c>
      <c r="O3570"/>
    </row>
    <row r="3571" spans="1:15" x14ac:dyDescent="0.3">
      <c r="A3571" t="s">
        <v>3595</v>
      </c>
      <c r="B3571" s="1">
        <v>45948</v>
      </c>
      <c r="C3571" t="s">
        <v>22</v>
      </c>
      <c r="D3571" t="s">
        <v>25</v>
      </c>
      <c r="E3571" s="2">
        <v>9.09</v>
      </c>
      <c r="F3571" s="3">
        <v>20.8</v>
      </c>
      <c r="G3571" s="4">
        <v>121.02</v>
      </c>
      <c r="H3571">
        <v>1.2</v>
      </c>
      <c r="I3571" s="4">
        <v>145.22</v>
      </c>
      <c r="J3571">
        <v>3.2</v>
      </c>
      <c r="K3571" t="s">
        <v>33</v>
      </c>
      <c r="L3571" t="s">
        <v>16</v>
      </c>
      <c r="O3571"/>
    </row>
    <row r="3572" spans="1:15" x14ac:dyDescent="0.3">
      <c r="A3572" t="s">
        <v>3596</v>
      </c>
      <c r="B3572" s="1">
        <v>45917</v>
      </c>
      <c r="C3572" t="s">
        <v>25</v>
      </c>
      <c r="D3572" t="s">
        <v>14</v>
      </c>
      <c r="E3572" s="2">
        <v>12.23</v>
      </c>
      <c r="F3572" s="3">
        <v>36.64</v>
      </c>
      <c r="G3572" s="4">
        <v>177.94</v>
      </c>
      <c r="H3572">
        <v>1.5</v>
      </c>
      <c r="I3572" s="4">
        <v>266.91000000000003</v>
      </c>
      <c r="J3572">
        <v>3.3</v>
      </c>
      <c r="K3572" t="s">
        <v>36</v>
      </c>
      <c r="L3572" t="s">
        <v>19</v>
      </c>
      <c r="O3572"/>
    </row>
    <row r="3573" spans="1:15" x14ac:dyDescent="0.3">
      <c r="A3573" t="s">
        <v>3597</v>
      </c>
      <c r="B3573" s="1">
        <v>45896</v>
      </c>
      <c r="C3573" t="s">
        <v>13</v>
      </c>
      <c r="D3573" t="s">
        <v>13</v>
      </c>
      <c r="E3573" s="2">
        <v>18.03</v>
      </c>
      <c r="F3573" s="3">
        <v>56.61</v>
      </c>
      <c r="G3573" s="4">
        <v>315.48</v>
      </c>
      <c r="H3573">
        <v>1.5</v>
      </c>
      <c r="I3573" s="4">
        <v>473.22</v>
      </c>
      <c r="J3573">
        <v>4.2</v>
      </c>
      <c r="K3573" t="s">
        <v>36</v>
      </c>
      <c r="L3573" t="s">
        <v>26</v>
      </c>
      <c r="O3573"/>
    </row>
    <row r="3574" spans="1:15" x14ac:dyDescent="0.3">
      <c r="A3574" t="s">
        <v>3598</v>
      </c>
      <c r="B3574" s="1">
        <v>45942</v>
      </c>
      <c r="C3574" t="s">
        <v>21</v>
      </c>
      <c r="D3574" t="s">
        <v>22</v>
      </c>
      <c r="E3574" s="2">
        <v>23.45</v>
      </c>
      <c r="F3574" s="3">
        <v>75.319999999999993</v>
      </c>
      <c r="G3574" s="4">
        <v>350.46</v>
      </c>
      <c r="H3574">
        <v>1.5</v>
      </c>
      <c r="I3574" s="4">
        <v>525.69000000000005</v>
      </c>
      <c r="J3574">
        <v>4.9000000000000004</v>
      </c>
      <c r="K3574" t="s">
        <v>36</v>
      </c>
      <c r="L3574" t="s">
        <v>16</v>
      </c>
      <c r="O3574"/>
    </row>
    <row r="3575" spans="1:15" x14ac:dyDescent="0.3">
      <c r="A3575" t="s">
        <v>3599</v>
      </c>
      <c r="B3575" s="1">
        <v>45999</v>
      </c>
      <c r="C3575" t="s">
        <v>13</v>
      </c>
      <c r="D3575" t="s">
        <v>22</v>
      </c>
      <c r="E3575" s="2">
        <v>7.38</v>
      </c>
      <c r="F3575" s="3">
        <v>23.74</v>
      </c>
      <c r="G3575" s="4">
        <v>119.85</v>
      </c>
      <c r="H3575">
        <v>1.2</v>
      </c>
      <c r="I3575" s="4">
        <v>143.82</v>
      </c>
      <c r="J3575">
        <v>4</v>
      </c>
      <c r="K3575" t="s">
        <v>15</v>
      </c>
      <c r="L3575" t="s">
        <v>19</v>
      </c>
      <c r="O3575"/>
    </row>
    <row r="3576" spans="1:15" x14ac:dyDescent="0.3">
      <c r="A3576" t="s">
        <v>3600</v>
      </c>
      <c r="B3576" s="1">
        <v>45906</v>
      </c>
      <c r="C3576" t="s">
        <v>25</v>
      </c>
      <c r="D3576" t="s">
        <v>25</v>
      </c>
      <c r="E3576" s="2">
        <v>5.7</v>
      </c>
      <c r="F3576" s="3">
        <v>20.95</v>
      </c>
      <c r="G3576" s="4">
        <v>102.42</v>
      </c>
      <c r="H3576">
        <v>1.5</v>
      </c>
      <c r="I3576" s="4">
        <v>153.63</v>
      </c>
      <c r="J3576">
        <v>5</v>
      </c>
      <c r="K3576" t="s">
        <v>33</v>
      </c>
      <c r="L3576" t="s">
        <v>16</v>
      </c>
      <c r="O3576"/>
    </row>
    <row r="3577" spans="1:15" x14ac:dyDescent="0.3">
      <c r="A3577" t="s">
        <v>3601</v>
      </c>
      <c r="B3577" s="1">
        <v>45731</v>
      </c>
      <c r="C3577" t="s">
        <v>21</v>
      </c>
      <c r="D3577" t="s">
        <v>21</v>
      </c>
      <c r="E3577" s="2">
        <v>27.54</v>
      </c>
      <c r="F3577" s="3">
        <v>71.819999999999993</v>
      </c>
      <c r="G3577" s="4">
        <v>479.71</v>
      </c>
      <c r="H3577">
        <v>1.2</v>
      </c>
      <c r="I3577" s="4">
        <v>575.65</v>
      </c>
      <c r="J3577">
        <v>3.6</v>
      </c>
      <c r="K3577" t="s">
        <v>15</v>
      </c>
      <c r="L3577" t="s">
        <v>28</v>
      </c>
      <c r="O3577"/>
    </row>
    <row r="3578" spans="1:15" x14ac:dyDescent="0.3">
      <c r="A3578" t="s">
        <v>3602</v>
      </c>
      <c r="B3578" s="1">
        <v>45766</v>
      </c>
      <c r="C3578" t="s">
        <v>25</v>
      </c>
      <c r="D3578" t="s">
        <v>13</v>
      </c>
      <c r="E3578" s="2">
        <v>22.67</v>
      </c>
      <c r="F3578" s="3">
        <v>79.23</v>
      </c>
      <c r="G3578" s="4">
        <v>344.08</v>
      </c>
      <c r="H3578">
        <v>1.5</v>
      </c>
      <c r="I3578" s="4">
        <v>516.12</v>
      </c>
      <c r="J3578">
        <v>4.7</v>
      </c>
      <c r="K3578" t="s">
        <v>15</v>
      </c>
      <c r="L3578" t="s">
        <v>19</v>
      </c>
      <c r="O3578"/>
    </row>
    <row r="3579" spans="1:15" x14ac:dyDescent="0.3">
      <c r="A3579" t="s">
        <v>3603</v>
      </c>
      <c r="B3579" s="1">
        <v>45953</v>
      </c>
      <c r="C3579" t="s">
        <v>21</v>
      </c>
      <c r="D3579" t="s">
        <v>25</v>
      </c>
      <c r="E3579" s="2">
        <v>1.83</v>
      </c>
      <c r="F3579" s="3">
        <v>3.9</v>
      </c>
      <c r="G3579" s="4">
        <v>25.32</v>
      </c>
      <c r="H3579">
        <v>1.2</v>
      </c>
      <c r="I3579" s="4">
        <v>30.38</v>
      </c>
      <c r="J3579">
        <v>4.7</v>
      </c>
      <c r="K3579" t="s">
        <v>30</v>
      </c>
      <c r="L3579" t="s">
        <v>16</v>
      </c>
      <c r="O3579"/>
    </row>
    <row r="3580" spans="1:15" x14ac:dyDescent="0.3">
      <c r="A3580" t="s">
        <v>3604</v>
      </c>
      <c r="B3580" s="1">
        <v>45835</v>
      </c>
      <c r="C3580" t="s">
        <v>13</v>
      </c>
      <c r="D3580" t="s">
        <v>13</v>
      </c>
      <c r="E3580" s="2">
        <v>8.14</v>
      </c>
      <c r="F3580" s="3">
        <v>24.54</v>
      </c>
      <c r="G3580" s="4">
        <v>92.95</v>
      </c>
      <c r="H3580">
        <v>1</v>
      </c>
      <c r="I3580" s="4">
        <v>92.95</v>
      </c>
      <c r="J3580">
        <v>4.7</v>
      </c>
      <c r="K3580" t="s">
        <v>30</v>
      </c>
      <c r="L3580" t="s">
        <v>16</v>
      </c>
      <c r="O3580"/>
    </row>
    <row r="3581" spans="1:15" x14ac:dyDescent="0.3">
      <c r="A3581" t="s">
        <v>3605</v>
      </c>
      <c r="B3581" s="1">
        <v>45721</v>
      </c>
      <c r="C3581" t="s">
        <v>25</v>
      </c>
      <c r="D3581" t="s">
        <v>22</v>
      </c>
      <c r="E3581" s="2">
        <v>8.56</v>
      </c>
      <c r="F3581" s="3">
        <v>33.5</v>
      </c>
      <c r="G3581" s="4">
        <v>152.1</v>
      </c>
      <c r="H3581">
        <v>1.5</v>
      </c>
      <c r="I3581" s="4">
        <v>228.15</v>
      </c>
      <c r="J3581">
        <v>3.9</v>
      </c>
      <c r="K3581" t="s">
        <v>33</v>
      </c>
      <c r="L3581" t="s">
        <v>16</v>
      </c>
      <c r="O3581"/>
    </row>
    <row r="3582" spans="1:15" x14ac:dyDescent="0.3">
      <c r="A3582" t="s">
        <v>3606</v>
      </c>
      <c r="B3582" s="1">
        <v>45996</v>
      </c>
      <c r="C3582" t="s">
        <v>22</v>
      </c>
      <c r="D3582" t="s">
        <v>22</v>
      </c>
      <c r="E3582" s="2">
        <v>25.34</v>
      </c>
      <c r="F3582" s="3">
        <v>89.15</v>
      </c>
      <c r="G3582" s="4">
        <v>405.13</v>
      </c>
      <c r="H3582">
        <v>2</v>
      </c>
      <c r="I3582" s="4">
        <v>810.26</v>
      </c>
      <c r="J3582">
        <v>4.0999999999999996</v>
      </c>
      <c r="K3582" t="s">
        <v>33</v>
      </c>
      <c r="L3582" t="s">
        <v>16</v>
      </c>
      <c r="O3582"/>
    </row>
    <row r="3583" spans="1:15" x14ac:dyDescent="0.3">
      <c r="A3583" t="s">
        <v>3607</v>
      </c>
      <c r="B3583" s="1">
        <v>45724</v>
      </c>
      <c r="C3583" t="s">
        <v>22</v>
      </c>
      <c r="D3583" t="s">
        <v>22</v>
      </c>
      <c r="E3583" s="2">
        <v>28.36</v>
      </c>
      <c r="F3583" s="3">
        <v>79.489999999999995</v>
      </c>
      <c r="G3583" s="4">
        <v>433.45</v>
      </c>
      <c r="H3583">
        <v>1.5</v>
      </c>
      <c r="I3583" s="4">
        <v>650.16999999999996</v>
      </c>
      <c r="J3583">
        <v>4.2</v>
      </c>
      <c r="K3583" t="s">
        <v>18</v>
      </c>
      <c r="L3583" t="s">
        <v>28</v>
      </c>
      <c r="O3583"/>
    </row>
    <row r="3584" spans="1:15" x14ac:dyDescent="0.3">
      <c r="A3584" t="s">
        <v>3608</v>
      </c>
      <c r="B3584" s="1">
        <v>45738</v>
      </c>
      <c r="C3584" t="s">
        <v>25</v>
      </c>
      <c r="D3584" t="s">
        <v>13</v>
      </c>
      <c r="E3584" s="2">
        <v>5.75</v>
      </c>
      <c r="F3584" s="3">
        <v>20.43</v>
      </c>
      <c r="G3584" s="4">
        <v>106.99</v>
      </c>
      <c r="H3584">
        <v>1</v>
      </c>
      <c r="I3584" s="4">
        <v>106.99</v>
      </c>
      <c r="J3584">
        <v>5</v>
      </c>
      <c r="K3584" t="s">
        <v>36</v>
      </c>
      <c r="L3584" t="s">
        <v>19</v>
      </c>
      <c r="O3584"/>
    </row>
    <row r="3585" spans="1:15" x14ac:dyDescent="0.3">
      <c r="A3585" t="s">
        <v>3609</v>
      </c>
      <c r="B3585" s="1">
        <v>45989</v>
      </c>
      <c r="C3585" t="s">
        <v>22</v>
      </c>
      <c r="D3585" t="s">
        <v>14</v>
      </c>
      <c r="E3585" s="2">
        <v>20.16</v>
      </c>
      <c r="F3585" s="3">
        <v>51.57</v>
      </c>
      <c r="G3585" s="4">
        <v>355.37</v>
      </c>
      <c r="H3585">
        <v>1.5</v>
      </c>
      <c r="I3585" s="4">
        <v>533.05999999999995</v>
      </c>
      <c r="J3585">
        <v>4.9000000000000004</v>
      </c>
      <c r="K3585" t="s">
        <v>33</v>
      </c>
      <c r="L3585" t="s">
        <v>19</v>
      </c>
      <c r="O3585"/>
    </row>
    <row r="3586" spans="1:15" x14ac:dyDescent="0.3">
      <c r="A3586" t="s">
        <v>3610</v>
      </c>
      <c r="B3586" s="1">
        <v>45743</v>
      </c>
      <c r="C3586" t="s">
        <v>25</v>
      </c>
      <c r="D3586" t="s">
        <v>21</v>
      </c>
      <c r="E3586" s="2">
        <v>13.75</v>
      </c>
      <c r="F3586" s="3">
        <v>51.03</v>
      </c>
      <c r="G3586" s="4">
        <v>239.1</v>
      </c>
      <c r="H3586">
        <v>1</v>
      </c>
      <c r="I3586" s="4">
        <v>239.1</v>
      </c>
      <c r="J3586">
        <v>4.4000000000000004</v>
      </c>
      <c r="K3586" t="s">
        <v>36</v>
      </c>
      <c r="L3586" t="s">
        <v>26</v>
      </c>
      <c r="O3586"/>
    </row>
    <row r="3587" spans="1:15" x14ac:dyDescent="0.3">
      <c r="A3587" t="s">
        <v>3611</v>
      </c>
      <c r="B3587" s="1">
        <v>45776</v>
      </c>
      <c r="C3587" t="s">
        <v>25</v>
      </c>
      <c r="D3587" t="s">
        <v>14</v>
      </c>
      <c r="E3587" s="2">
        <v>3.66</v>
      </c>
      <c r="F3587" s="3">
        <v>8.15</v>
      </c>
      <c r="G3587" s="4">
        <v>40.57</v>
      </c>
      <c r="H3587">
        <v>2</v>
      </c>
      <c r="I3587" s="4">
        <v>81.14</v>
      </c>
      <c r="J3587">
        <v>3.1</v>
      </c>
      <c r="K3587" t="s">
        <v>18</v>
      </c>
      <c r="L3587" t="s">
        <v>28</v>
      </c>
      <c r="O3587"/>
    </row>
    <row r="3588" spans="1:15" x14ac:dyDescent="0.3">
      <c r="A3588" t="s">
        <v>3612</v>
      </c>
      <c r="B3588" s="1">
        <v>45978</v>
      </c>
      <c r="C3588" t="s">
        <v>13</v>
      </c>
      <c r="D3588" t="s">
        <v>14</v>
      </c>
      <c r="E3588" s="2">
        <v>22.5</v>
      </c>
      <c r="F3588" s="3">
        <v>86.5</v>
      </c>
      <c r="G3588" s="4">
        <v>231.47</v>
      </c>
      <c r="H3588">
        <v>1.5</v>
      </c>
      <c r="I3588" s="4">
        <v>347.2</v>
      </c>
      <c r="J3588">
        <v>4.4000000000000004</v>
      </c>
      <c r="K3588" t="s">
        <v>18</v>
      </c>
      <c r="L3588" t="s">
        <v>28</v>
      </c>
      <c r="O3588"/>
    </row>
    <row r="3589" spans="1:15" x14ac:dyDescent="0.3">
      <c r="A3589" t="s">
        <v>3613</v>
      </c>
      <c r="B3589" s="1">
        <v>45894</v>
      </c>
      <c r="C3589" t="s">
        <v>25</v>
      </c>
      <c r="D3589" t="s">
        <v>21</v>
      </c>
      <c r="E3589" s="2">
        <v>25.73</v>
      </c>
      <c r="F3589" s="3">
        <v>90.94</v>
      </c>
      <c r="G3589" s="4">
        <v>344.85</v>
      </c>
      <c r="H3589">
        <v>2</v>
      </c>
      <c r="I3589" s="4">
        <v>689.7</v>
      </c>
      <c r="J3589">
        <v>3.7</v>
      </c>
      <c r="K3589" t="s">
        <v>30</v>
      </c>
      <c r="L3589" t="s">
        <v>28</v>
      </c>
      <c r="O3589"/>
    </row>
    <row r="3590" spans="1:15" x14ac:dyDescent="0.3">
      <c r="A3590" t="s">
        <v>3614</v>
      </c>
      <c r="B3590" s="1">
        <v>45785</v>
      </c>
      <c r="C3590" t="s">
        <v>13</v>
      </c>
      <c r="D3590" t="s">
        <v>21</v>
      </c>
      <c r="E3590" s="2">
        <v>7.9</v>
      </c>
      <c r="F3590" s="3">
        <v>27.58</v>
      </c>
      <c r="G3590" s="4">
        <v>114.26</v>
      </c>
      <c r="H3590">
        <v>1.2</v>
      </c>
      <c r="I3590" s="4">
        <v>137.11000000000001</v>
      </c>
      <c r="J3590">
        <v>3.7</v>
      </c>
      <c r="K3590" t="s">
        <v>30</v>
      </c>
      <c r="L3590" t="s">
        <v>26</v>
      </c>
      <c r="O3590"/>
    </row>
    <row r="3591" spans="1:15" x14ac:dyDescent="0.3">
      <c r="A3591" t="s">
        <v>3615</v>
      </c>
      <c r="B3591" s="1">
        <v>45820</v>
      </c>
      <c r="C3591" t="s">
        <v>25</v>
      </c>
      <c r="D3591" t="s">
        <v>22</v>
      </c>
      <c r="E3591" s="2">
        <v>12.18</v>
      </c>
      <c r="F3591" s="3">
        <v>32.72</v>
      </c>
      <c r="G3591" s="4">
        <v>221.27</v>
      </c>
      <c r="H3591">
        <v>1</v>
      </c>
      <c r="I3591" s="4">
        <v>221.27</v>
      </c>
      <c r="J3591">
        <v>3.1</v>
      </c>
      <c r="K3591" t="s">
        <v>33</v>
      </c>
      <c r="L3591" t="s">
        <v>19</v>
      </c>
      <c r="O3591"/>
    </row>
    <row r="3592" spans="1:15" x14ac:dyDescent="0.3">
      <c r="A3592" t="s">
        <v>3616</v>
      </c>
      <c r="B3592" s="1">
        <v>45754</v>
      </c>
      <c r="C3592" t="s">
        <v>25</v>
      </c>
      <c r="D3592" t="s">
        <v>21</v>
      </c>
      <c r="E3592" s="2">
        <v>3.66</v>
      </c>
      <c r="F3592" s="3">
        <v>7.73</v>
      </c>
      <c r="G3592" s="4">
        <v>49.9</v>
      </c>
      <c r="H3592">
        <v>1</v>
      </c>
      <c r="I3592" s="4">
        <v>49.9</v>
      </c>
      <c r="J3592">
        <v>3.2</v>
      </c>
      <c r="K3592" t="s">
        <v>30</v>
      </c>
      <c r="L3592" t="s">
        <v>19</v>
      </c>
      <c r="O3592"/>
    </row>
    <row r="3593" spans="1:15" x14ac:dyDescent="0.3">
      <c r="A3593" t="s">
        <v>3617</v>
      </c>
      <c r="B3593" s="1">
        <v>45781</v>
      </c>
      <c r="C3593" t="s">
        <v>25</v>
      </c>
      <c r="D3593" t="s">
        <v>14</v>
      </c>
      <c r="E3593" s="2">
        <v>16.53</v>
      </c>
      <c r="F3593" s="3">
        <v>33.6</v>
      </c>
      <c r="G3593" s="4">
        <v>206.84</v>
      </c>
      <c r="H3593">
        <v>1.5</v>
      </c>
      <c r="I3593" s="4">
        <v>310.26</v>
      </c>
      <c r="J3593">
        <v>4.5</v>
      </c>
      <c r="K3593" t="s">
        <v>18</v>
      </c>
      <c r="L3593" t="s">
        <v>26</v>
      </c>
      <c r="O3593"/>
    </row>
    <row r="3594" spans="1:15" x14ac:dyDescent="0.3">
      <c r="A3594" t="s">
        <v>3618</v>
      </c>
      <c r="B3594" s="1">
        <v>46017</v>
      </c>
      <c r="C3594" t="s">
        <v>25</v>
      </c>
      <c r="D3594" t="s">
        <v>22</v>
      </c>
      <c r="E3594" s="2">
        <v>24.17</v>
      </c>
      <c r="F3594" s="3">
        <v>95.8</v>
      </c>
      <c r="G3594" s="4">
        <v>436.64</v>
      </c>
      <c r="H3594">
        <v>1.5</v>
      </c>
      <c r="I3594" s="4">
        <v>654.96</v>
      </c>
      <c r="J3594">
        <v>4.7</v>
      </c>
      <c r="K3594" t="s">
        <v>36</v>
      </c>
      <c r="L3594" t="s">
        <v>28</v>
      </c>
      <c r="O3594"/>
    </row>
    <row r="3595" spans="1:15" x14ac:dyDescent="0.3">
      <c r="A3595" t="s">
        <v>3619</v>
      </c>
      <c r="B3595" s="1">
        <v>45791</v>
      </c>
      <c r="C3595" t="s">
        <v>25</v>
      </c>
      <c r="D3595" t="s">
        <v>21</v>
      </c>
      <c r="E3595" s="2">
        <v>1.89</v>
      </c>
      <c r="F3595" s="3">
        <v>4.1399999999999997</v>
      </c>
      <c r="G3595" s="4">
        <v>23.04</v>
      </c>
      <c r="H3595">
        <v>1.2</v>
      </c>
      <c r="I3595" s="4">
        <v>27.65</v>
      </c>
      <c r="J3595">
        <v>3</v>
      </c>
      <c r="K3595" t="s">
        <v>33</v>
      </c>
      <c r="L3595" t="s">
        <v>16</v>
      </c>
      <c r="O3595"/>
    </row>
    <row r="3596" spans="1:15" x14ac:dyDescent="0.3">
      <c r="A3596" t="s">
        <v>3620</v>
      </c>
      <c r="B3596" s="1">
        <v>45847</v>
      </c>
      <c r="C3596" t="s">
        <v>21</v>
      </c>
      <c r="D3596" t="s">
        <v>25</v>
      </c>
      <c r="E3596" s="2">
        <v>26</v>
      </c>
      <c r="F3596" s="3">
        <v>84.04</v>
      </c>
      <c r="G3596" s="4">
        <v>501.33</v>
      </c>
      <c r="H3596">
        <v>1.2</v>
      </c>
      <c r="I3596" s="4">
        <v>601.6</v>
      </c>
      <c r="J3596">
        <v>3.7</v>
      </c>
      <c r="K3596" t="s">
        <v>18</v>
      </c>
      <c r="L3596" t="s">
        <v>28</v>
      </c>
      <c r="O3596"/>
    </row>
    <row r="3597" spans="1:15" x14ac:dyDescent="0.3">
      <c r="A3597" t="s">
        <v>3621</v>
      </c>
      <c r="B3597" s="1">
        <v>45908</v>
      </c>
      <c r="C3597" t="s">
        <v>13</v>
      </c>
      <c r="D3597" t="s">
        <v>22</v>
      </c>
      <c r="E3597" s="2">
        <v>2.99</v>
      </c>
      <c r="F3597" s="3">
        <v>9.81</v>
      </c>
      <c r="G3597" s="4">
        <v>53.14</v>
      </c>
      <c r="H3597">
        <v>1.2</v>
      </c>
      <c r="I3597" s="4">
        <v>63.77</v>
      </c>
      <c r="J3597">
        <v>4</v>
      </c>
      <c r="K3597" t="s">
        <v>36</v>
      </c>
      <c r="L3597" t="s">
        <v>28</v>
      </c>
      <c r="O3597"/>
    </row>
    <row r="3598" spans="1:15" x14ac:dyDescent="0.3">
      <c r="A3598" t="s">
        <v>3622</v>
      </c>
      <c r="B3598" s="1">
        <v>45738</v>
      </c>
      <c r="C3598" t="s">
        <v>25</v>
      </c>
      <c r="D3598" t="s">
        <v>25</v>
      </c>
      <c r="E3598" s="2">
        <v>29.86</v>
      </c>
      <c r="F3598" s="3">
        <v>61.24</v>
      </c>
      <c r="G3598" s="4">
        <v>567.29</v>
      </c>
      <c r="H3598">
        <v>1.5</v>
      </c>
      <c r="I3598" s="4">
        <v>850.94</v>
      </c>
      <c r="J3598">
        <v>3.9</v>
      </c>
      <c r="K3598" t="s">
        <v>33</v>
      </c>
      <c r="L3598" t="s">
        <v>28</v>
      </c>
      <c r="O3598"/>
    </row>
    <row r="3599" spans="1:15" x14ac:dyDescent="0.3">
      <c r="A3599" t="s">
        <v>3623</v>
      </c>
      <c r="B3599" s="1">
        <v>45891</v>
      </c>
      <c r="C3599" t="s">
        <v>22</v>
      </c>
      <c r="D3599" t="s">
        <v>14</v>
      </c>
      <c r="E3599" s="2">
        <v>5.89</v>
      </c>
      <c r="F3599" s="3">
        <v>20.7</v>
      </c>
      <c r="G3599" s="4">
        <v>61.88</v>
      </c>
      <c r="H3599">
        <v>1</v>
      </c>
      <c r="I3599" s="4">
        <v>61.88</v>
      </c>
      <c r="J3599">
        <v>4.9000000000000004</v>
      </c>
      <c r="K3599" t="s">
        <v>36</v>
      </c>
      <c r="L3599" t="s">
        <v>26</v>
      </c>
      <c r="O3599"/>
    </row>
    <row r="3600" spans="1:15" x14ac:dyDescent="0.3">
      <c r="A3600" t="s">
        <v>3624</v>
      </c>
      <c r="B3600" s="1">
        <v>45837</v>
      </c>
      <c r="C3600" t="s">
        <v>14</v>
      </c>
      <c r="D3600" t="s">
        <v>22</v>
      </c>
      <c r="E3600" s="2">
        <v>4.01</v>
      </c>
      <c r="F3600" s="3">
        <v>14.9</v>
      </c>
      <c r="G3600" s="4">
        <v>61.06</v>
      </c>
      <c r="H3600">
        <v>1.5</v>
      </c>
      <c r="I3600" s="4">
        <v>91.59</v>
      </c>
      <c r="J3600">
        <v>3.6</v>
      </c>
      <c r="K3600" t="s">
        <v>15</v>
      </c>
      <c r="L3600" t="s">
        <v>26</v>
      </c>
      <c r="O3600"/>
    </row>
    <row r="3601" spans="1:15" x14ac:dyDescent="0.3">
      <c r="A3601" t="s">
        <v>3625</v>
      </c>
      <c r="B3601" s="1">
        <v>45836</v>
      </c>
      <c r="C3601" t="s">
        <v>25</v>
      </c>
      <c r="D3601" t="s">
        <v>13</v>
      </c>
      <c r="E3601" s="2">
        <v>27.3</v>
      </c>
      <c r="F3601" s="3">
        <v>86.84</v>
      </c>
      <c r="G3601" s="4">
        <v>474.55</v>
      </c>
      <c r="H3601">
        <v>1</v>
      </c>
      <c r="I3601" s="4">
        <v>474.55</v>
      </c>
      <c r="J3601">
        <v>3.9</v>
      </c>
      <c r="K3601" t="s">
        <v>30</v>
      </c>
      <c r="L3601" t="s">
        <v>26</v>
      </c>
      <c r="O3601"/>
    </row>
    <row r="3602" spans="1:15" x14ac:dyDescent="0.3">
      <c r="A3602" t="s">
        <v>3626</v>
      </c>
      <c r="B3602" s="1">
        <v>45935</v>
      </c>
      <c r="C3602" t="s">
        <v>25</v>
      </c>
      <c r="D3602" t="s">
        <v>22</v>
      </c>
      <c r="E3602" s="2">
        <v>8.76</v>
      </c>
      <c r="F3602" s="3">
        <v>34.159999999999997</v>
      </c>
      <c r="G3602" s="4">
        <v>103.84</v>
      </c>
      <c r="H3602">
        <v>1.2</v>
      </c>
      <c r="I3602" s="4">
        <v>124.61</v>
      </c>
      <c r="J3602">
        <v>3.7</v>
      </c>
      <c r="K3602" t="s">
        <v>15</v>
      </c>
      <c r="L3602" t="s">
        <v>16</v>
      </c>
      <c r="O3602"/>
    </row>
    <row r="3603" spans="1:15" x14ac:dyDescent="0.3">
      <c r="A3603" t="s">
        <v>3627</v>
      </c>
      <c r="B3603" s="1">
        <v>46008</v>
      </c>
      <c r="C3603" t="s">
        <v>22</v>
      </c>
      <c r="D3603" t="s">
        <v>14</v>
      </c>
      <c r="E3603" s="2">
        <v>6.73</v>
      </c>
      <c r="F3603" s="3">
        <v>18.02</v>
      </c>
      <c r="G3603" s="4">
        <v>120.77</v>
      </c>
      <c r="H3603">
        <v>2</v>
      </c>
      <c r="I3603" s="4">
        <v>241.54</v>
      </c>
      <c r="J3603">
        <v>4.5</v>
      </c>
      <c r="K3603" t="s">
        <v>33</v>
      </c>
      <c r="L3603" t="s">
        <v>19</v>
      </c>
      <c r="O3603"/>
    </row>
    <row r="3604" spans="1:15" x14ac:dyDescent="0.3">
      <c r="A3604" t="s">
        <v>3628</v>
      </c>
      <c r="B3604" s="1">
        <v>45725</v>
      </c>
      <c r="C3604" t="s">
        <v>14</v>
      </c>
      <c r="D3604" t="s">
        <v>21</v>
      </c>
      <c r="E3604" s="2">
        <v>27.59</v>
      </c>
      <c r="F3604" s="3">
        <v>59.68</v>
      </c>
      <c r="G3604" s="4">
        <v>504.86</v>
      </c>
      <c r="H3604">
        <v>1.5</v>
      </c>
      <c r="I3604" s="4">
        <v>757.29</v>
      </c>
      <c r="J3604">
        <v>4.5999999999999996</v>
      </c>
      <c r="K3604" t="s">
        <v>36</v>
      </c>
      <c r="L3604" t="s">
        <v>19</v>
      </c>
      <c r="O3604"/>
    </row>
    <row r="3605" spans="1:15" x14ac:dyDescent="0.3">
      <c r="A3605" t="s">
        <v>3629</v>
      </c>
      <c r="B3605" s="1">
        <v>45837</v>
      </c>
      <c r="C3605" t="s">
        <v>25</v>
      </c>
      <c r="D3605" t="s">
        <v>14</v>
      </c>
      <c r="E3605" s="2">
        <v>24.84</v>
      </c>
      <c r="F3605" s="3">
        <v>73.17</v>
      </c>
      <c r="G3605" s="4">
        <v>296.20999999999998</v>
      </c>
      <c r="H3605">
        <v>1</v>
      </c>
      <c r="I3605" s="4">
        <v>296.20999999999998</v>
      </c>
      <c r="J3605">
        <v>3.1</v>
      </c>
      <c r="K3605" t="s">
        <v>15</v>
      </c>
      <c r="L3605" t="s">
        <v>16</v>
      </c>
      <c r="O3605"/>
    </row>
    <row r="3606" spans="1:15" x14ac:dyDescent="0.3">
      <c r="A3606" t="s">
        <v>3630</v>
      </c>
      <c r="B3606" s="1">
        <v>45876</v>
      </c>
      <c r="C3606" t="s">
        <v>21</v>
      </c>
      <c r="D3606" t="s">
        <v>22</v>
      </c>
      <c r="E3606" s="2">
        <v>26.7</v>
      </c>
      <c r="F3606" s="3">
        <v>88.15</v>
      </c>
      <c r="G3606" s="4">
        <v>305.49</v>
      </c>
      <c r="H3606">
        <v>1</v>
      </c>
      <c r="I3606" s="4">
        <v>305.49</v>
      </c>
      <c r="J3606">
        <v>3.5</v>
      </c>
      <c r="K3606" t="s">
        <v>15</v>
      </c>
      <c r="L3606" t="s">
        <v>26</v>
      </c>
      <c r="O3606"/>
    </row>
    <row r="3607" spans="1:15" x14ac:dyDescent="0.3">
      <c r="A3607" t="s">
        <v>3631</v>
      </c>
      <c r="B3607" s="1">
        <v>46011</v>
      </c>
      <c r="C3607" t="s">
        <v>21</v>
      </c>
      <c r="D3607" t="s">
        <v>13</v>
      </c>
      <c r="E3607" s="2">
        <v>13.57</v>
      </c>
      <c r="F3607" s="3">
        <v>43.28</v>
      </c>
      <c r="G3607" s="4">
        <v>241.17</v>
      </c>
      <c r="H3607">
        <v>1</v>
      </c>
      <c r="I3607" s="4">
        <v>241.17</v>
      </c>
      <c r="J3607">
        <v>4.0999999999999996</v>
      </c>
      <c r="K3607" t="s">
        <v>18</v>
      </c>
      <c r="L3607" t="s">
        <v>28</v>
      </c>
      <c r="O3607"/>
    </row>
    <row r="3608" spans="1:15" x14ac:dyDescent="0.3">
      <c r="A3608" t="s">
        <v>3632</v>
      </c>
      <c r="B3608" s="1">
        <v>45751</v>
      </c>
      <c r="C3608" t="s">
        <v>21</v>
      </c>
      <c r="D3608" t="s">
        <v>21</v>
      </c>
      <c r="E3608" s="2">
        <v>4.33</v>
      </c>
      <c r="F3608" s="3">
        <v>13.69</v>
      </c>
      <c r="G3608" s="4">
        <v>73.260000000000005</v>
      </c>
      <c r="H3608">
        <v>1.2</v>
      </c>
      <c r="I3608" s="4">
        <v>87.91</v>
      </c>
      <c r="J3608">
        <v>3.4</v>
      </c>
      <c r="K3608" t="s">
        <v>15</v>
      </c>
      <c r="L3608" t="s">
        <v>26</v>
      </c>
      <c r="O3608"/>
    </row>
    <row r="3609" spans="1:15" x14ac:dyDescent="0.3">
      <c r="A3609" t="s">
        <v>3633</v>
      </c>
      <c r="B3609" s="1">
        <v>45989</v>
      </c>
      <c r="C3609" t="s">
        <v>13</v>
      </c>
      <c r="D3609" t="s">
        <v>22</v>
      </c>
      <c r="E3609" s="2">
        <v>29.36</v>
      </c>
      <c r="F3609" s="3">
        <v>88.79</v>
      </c>
      <c r="G3609" s="4">
        <v>537.51</v>
      </c>
      <c r="H3609">
        <v>1.2</v>
      </c>
      <c r="I3609" s="4">
        <v>645.01</v>
      </c>
      <c r="J3609">
        <v>3.2</v>
      </c>
      <c r="K3609" t="s">
        <v>36</v>
      </c>
      <c r="L3609" t="s">
        <v>28</v>
      </c>
      <c r="O3609"/>
    </row>
    <row r="3610" spans="1:15" x14ac:dyDescent="0.3">
      <c r="A3610" t="s">
        <v>3634</v>
      </c>
      <c r="B3610" s="1">
        <v>45687</v>
      </c>
      <c r="C3610" t="s">
        <v>22</v>
      </c>
      <c r="D3610" t="s">
        <v>13</v>
      </c>
      <c r="E3610" s="2">
        <v>8.35</v>
      </c>
      <c r="F3610" s="3">
        <v>30.36</v>
      </c>
      <c r="G3610" s="4">
        <v>165.82</v>
      </c>
      <c r="H3610">
        <v>2</v>
      </c>
      <c r="I3610" s="4">
        <v>331.64</v>
      </c>
      <c r="J3610">
        <v>3.7</v>
      </c>
      <c r="K3610" t="s">
        <v>30</v>
      </c>
      <c r="L3610" t="s">
        <v>28</v>
      </c>
      <c r="O3610"/>
    </row>
    <row r="3611" spans="1:15" x14ac:dyDescent="0.3">
      <c r="A3611" t="s">
        <v>3635</v>
      </c>
      <c r="B3611" s="1">
        <v>45678</v>
      </c>
      <c r="C3611" t="s">
        <v>25</v>
      </c>
      <c r="D3611" t="s">
        <v>25</v>
      </c>
      <c r="E3611" s="2">
        <v>17.649999999999999</v>
      </c>
      <c r="F3611" s="3">
        <v>66.959999999999994</v>
      </c>
      <c r="G3611" s="4">
        <v>332.19</v>
      </c>
      <c r="H3611">
        <v>1.2</v>
      </c>
      <c r="I3611" s="4">
        <v>398.63</v>
      </c>
      <c r="J3611">
        <v>3.2</v>
      </c>
      <c r="K3611" t="s">
        <v>15</v>
      </c>
      <c r="L3611" t="s">
        <v>26</v>
      </c>
      <c r="O3611"/>
    </row>
    <row r="3612" spans="1:15" x14ac:dyDescent="0.3">
      <c r="A3612" t="s">
        <v>3636</v>
      </c>
      <c r="B3612" s="1">
        <v>46006</v>
      </c>
      <c r="C3612" t="s">
        <v>21</v>
      </c>
      <c r="D3612" t="s">
        <v>21</v>
      </c>
      <c r="E3612" s="2">
        <v>7.5</v>
      </c>
      <c r="F3612" s="3">
        <v>16.59</v>
      </c>
      <c r="G3612" s="4">
        <v>146.54</v>
      </c>
      <c r="H3612">
        <v>2</v>
      </c>
      <c r="I3612" s="4">
        <v>293.08</v>
      </c>
      <c r="J3612">
        <v>4</v>
      </c>
      <c r="K3612" t="s">
        <v>15</v>
      </c>
      <c r="L3612" t="s">
        <v>26</v>
      </c>
      <c r="O3612"/>
    </row>
    <row r="3613" spans="1:15" x14ac:dyDescent="0.3">
      <c r="A3613" t="s">
        <v>3637</v>
      </c>
      <c r="B3613" s="1">
        <v>45773</v>
      </c>
      <c r="C3613" t="s">
        <v>21</v>
      </c>
      <c r="D3613" t="s">
        <v>21</v>
      </c>
      <c r="E3613" s="2">
        <v>27.06</v>
      </c>
      <c r="F3613" s="3">
        <v>90.78</v>
      </c>
      <c r="G3613" s="4">
        <v>437.84</v>
      </c>
      <c r="H3613">
        <v>1</v>
      </c>
      <c r="I3613" s="4">
        <v>437.84</v>
      </c>
      <c r="J3613">
        <v>3.7</v>
      </c>
      <c r="K3613" t="s">
        <v>15</v>
      </c>
      <c r="L3613" t="s">
        <v>26</v>
      </c>
      <c r="O3613"/>
    </row>
    <row r="3614" spans="1:15" x14ac:dyDescent="0.3">
      <c r="A3614" t="s">
        <v>3638</v>
      </c>
      <c r="B3614" s="1">
        <v>45896</v>
      </c>
      <c r="C3614" t="s">
        <v>13</v>
      </c>
      <c r="D3614" t="s">
        <v>22</v>
      </c>
      <c r="E3614" s="2">
        <v>2.93</v>
      </c>
      <c r="F3614" s="3">
        <v>8.9</v>
      </c>
      <c r="G3614" s="4">
        <v>38.47</v>
      </c>
      <c r="H3614">
        <v>1.2</v>
      </c>
      <c r="I3614" s="4">
        <v>46.16</v>
      </c>
      <c r="J3614">
        <v>3.6</v>
      </c>
      <c r="K3614" t="s">
        <v>15</v>
      </c>
      <c r="L3614" t="s">
        <v>16</v>
      </c>
      <c r="O3614"/>
    </row>
    <row r="3615" spans="1:15" x14ac:dyDescent="0.3">
      <c r="A3615" t="s">
        <v>3639</v>
      </c>
      <c r="B3615" s="1">
        <v>45938</v>
      </c>
      <c r="C3615" t="s">
        <v>14</v>
      </c>
      <c r="D3615" t="s">
        <v>14</v>
      </c>
      <c r="E3615" s="2">
        <v>10.63</v>
      </c>
      <c r="F3615" s="3">
        <v>35.49</v>
      </c>
      <c r="G3615" s="4">
        <v>133.80000000000001</v>
      </c>
      <c r="H3615">
        <v>1</v>
      </c>
      <c r="I3615" s="4">
        <v>133.80000000000001</v>
      </c>
      <c r="J3615">
        <v>3.8</v>
      </c>
      <c r="K3615" t="s">
        <v>36</v>
      </c>
      <c r="L3615" t="s">
        <v>16</v>
      </c>
      <c r="O3615"/>
    </row>
    <row r="3616" spans="1:15" x14ac:dyDescent="0.3">
      <c r="A3616" t="s">
        <v>3640</v>
      </c>
      <c r="B3616" s="1">
        <v>45923</v>
      </c>
      <c r="C3616" t="s">
        <v>25</v>
      </c>
      <c r="D3616" t="s">
        <v>21</v>
      </c>
      <c r="E3616" s="2">
        <v>8.24</v>
      </c>
      <c r="F3616" s="3">
        <v>32</v>
      </c>
      <c r="G3616" s="4">
        <v>161</v>
      </c>
      <c r="H3616">
        <v>1</v>
      </c>
      <c r="I3616" s="4">
        <v>161</v>
      </c>
      <c r="J3616">
        <v>3.4</v>
      </c>
      <c r="K3616" t="s">
        <v>15</v>
      </c>
      <c r="L3616" t="s">
        <v>26</v>
      </c>
      <c r="O3616"/>
    </row>
    <row r="3617" spans="1:15" x14ac:dyDescent="0.3">
      <c r="A3617" t="s">
        <v>3641</v>
      </c>
      <c r="B3617" s="1">
        <v>45684</v>
      </c>
      <c r="C3617" t="s">
        <v>13</v>
      </c>
      <c r="D3617" t="s">
        <v>21</v>
      </c>
      <c r="E3617" s="2">
        <v>19.760000000000002</v>
      </c>
      <c r="F3617" s="3">
        <v>73.89</v>
      </c>
      <c r="G3617" s="4">
        <v>350.92</v>
      </c>
      <c r="H3617">
        <v>2</v>
      </c>
      <c r="I3617" s="4">
        <v>701.84</v>
      </c>
      <c r="J3617">
        <v>4.8</v>
      </c>
      <c r="K3617" t="s">
        <v>18</v>
      </c>
      <c r="L3617" t="s">
        <v>19</v>
      </c>
      <c r="O3617"/>
    </row>
    <row r="3618" spans="1:15" x14ac:dyDescent="0.3">
      <c r="A3618" t="s">
        <v>3642</v>
      </c>
      <c r="B3618" s="1">
        <v>45741</v>
      </c>
      <c r="C3618" t="s">
        <v>13</v>
      </c>
      <c r="D3618" t="s">
        <v>14</v>
      </c>
      <c r="E3618" s="2">
        <v>20.88</v>
      </c>
      <c r="F3618" s="3">
        <v>82.5</v>
      </c>
      <c r="G3618" s="4">
        <v>220.78</v>
      </c>
      <c r="H3618">
        <v>1</v>
      </c>
      <c r="I3618" s="4">
        <v>220.78</v>
      </c>
      <c r="J3618">
        <v>3.5</v>
      </c>
      <c r="K3618" t="s">
        <v>30</v>
      </c>
      <c r="L3618" t="s">
        <v>28</v>
      </c>
      <c r="O3618"/>
    </row>
    <row r="3619" spans="1:15" x14ac:dyDescent="0.3">
      <c r="A3619" t="s">
        <v>3643</v>
      </c>
      <c r="B3619" s="1">
        <v>46007</v>
      </c>
      <c r="C3619" t="s">
        <v>21</v>
      </c>
      <c r="D3619" t="s">
        <v>25</v>
      </c>
      <c r="E3619" s="2">
        <v>5.66</v>
      </c>
      <c r="F3619" s="3">
        <v>22.37</v>
      </c>
      <c r="G3619" s="4">
        <v>74.430000000000007</v>
      </c>
      <c r="H3619">
        <v>2</v>
      </c>
      <c r="I3619" s="4">
        <v>148.86000000000001</v>
      </c>
      <c r="J3619">
        <v>4.0999999999999996</v>
      </c>
      <c r="K3619" t="s">
        <v>15</v>
      </c>
      <c r="L3619" t="s">
        <v>26</v>
      </c>
      <c r="O3619"/>
    </row>
    <row r="3620" spans="1:15" x14ac:dyDescent="0.3">
      <c r="A3620" t="s">
        <v>3644</v>
      </c>
      <c r="B3620" s="1">
        <v>45966</v>
      </c>
      <c r="C3620" t="s">
        <v>21</v>
      </c>
      <c r="D3620" t="s">
        <v>14</v>
      </c>
      <c r="E3620" s="2">
        <v>17.8</v>
      </c>
      <c r="F3620" s="3">
        <v>37.69</v>
      </c>
      <c r="G3620" s="4">
        <v>204.64</v>
      </c>
      <c r="H3620">
        <v>2</v>
      </c>
      <c r="I3620" s="4">
        <v>409.28</v>
      </c>
      <c r="J3620">
        <v>3.6</v>
      </c>
      <c r="K3620" t="s">
        <v>18</v>
      </c>
      <c r="L3620" t="s">
        <v>16</v>
      </c>
      <c r="O3620"/>
    </row>
    <row r="3621" spans="1:15" x14ac:dyDescent="0.3">
      <c r="A3621" t="s">
        <v>3645</v>
      </c>
      <c r="B3621" s="1">
        <v>45880</v>
      </c>
      <c r="C3621" t="s">
        <v>25</v>
      </c>
      <c r="D3621" t="s">
        <v>14</v>
      </c>
      <c r="E3621" s="2">
        <v>18.37</v>
      </c>
      <c r="F3621" s="3">
        <v>37.6</v>
      </c>
      <c r="G3621" s="4">
        <v>216.55</v>
      </c>
      <c r="H3621">
        <v>2</v>
      </c>
      <c r="I3621" s="4">
        <v>433.1</v>
      </c>
      <c r="J3621">
        <v>3</v>
      </c>
      <c r="K3621" t="s">
        <v>15</v>
      </c>
      <c r="L3621" t="s">
        <v>19</v>
      </c>
      <c r="O3621"/>
    </row>
    <row r="3622" spans="1:15" x14ac:dyDescent="0.3">
      <c r="A3622" t="s">
        <v>3646</v>
      </c>
      <c r="B3622" s="1">
        <v>45819</v>
      </c>
      <c r="C3622" t="s">
        <v>21</v>
      </c>
      <c r="D3622" t="s">
        <v>13</v>
      </c>
      <c r="E3622" s="2">
        <v>6.51</v>
      </c>
      <c r="F3622" s="3">
        <v>23.08</v>
      </c>
      <c r="G3622" s="4">
        <v>96.93</v>
      </c>
      <c r="H3622">
        <v>1</v>
      </c>
      <c r="I3622" s="4">
        <v>96.93</v>
      </c>
      <c r="J3622">
        <v>4.8</v>
      </c>
      <c r="K3622" t="s">
        <v>30</v>
      </c>
      <c r="L3622" t="s">
        <v>16</v>
      </c>
      <c r="O3622"/>
    </row>
    <row r="3623" spans="1:15" x14ac:dyDescent="0.3">
      <c r="A3623" t="s">
        <v>3647</v>
      </c>
      <c r="B3623" s="1">
        <v>45692</v>
      </c>
      <c r="C3623" t="s">
        <v>14</v>
      </c>
      <c r="D3623" t="s">
        <v>25</v>
      </c>
      <c r="E3623" s="2">
        <v>18.72</v>
      </c>
      <c r="F3623" s="3">
        <v>62.38</v>
      </c>
      <c r="G3623" s="4">
        <v>312.55</v>
      </c>
      <c r="H3623">
        <v>1.5</v>
      </c>
      <c r="I3623" s="4">
        <v>468.83</v>
      </c>
      <c r="J3623">
        <v>3</v>
      </c>
      <c r="K3623" t="s">
        <v>15</v>
      </c>
      <c r="L3623" t="s">
        <v>16</v>
      </c>
      <c r="O3623"/>
    </row>
    <row r="3624" spans="1:15" x14ac:dyDescent="0.3">
      <c r="A3624" t="s">
        <v>3648</v>
      </c>
      <c r="B3624" s="1">
        <v>45872</v>
      </c>
      <c r="C3624" t="s">
        <v>13</v>
      </c>
      <c r="D3624" t="s">
        <v>13</v>
      </c>
      <c r="E3624" s="2">
        <v>27.26</v>
      </c>
      <c r="F3624" s="3">
        <v>73.78</v>
      </c>
      <c r="G3624" s="4">
        <v>330.06</v>
      </c>
      <c r="H3624">
        <v>2</v>
      </c>
      <c r="I3624" s="4">
        <v>660.12</v>
      </c>
      <c r="J3624">
        <v>4.4000000000000004</v>
      </c>
      <c r="K3624" t="s">
        <v>30</v>
      </c>
      <c r="L3624" t="s">
        <v>26</v>
      </c>
      <c r="O3624"/>
    </row>
    <row r="3625" spans="1:15" x14ac:dyDescent="0.3">
      <c r="A3625" t="s">
        <v>3649</v>
      </c>
      <c r="B3625" s="1">
        <v>45918</v>
      </c>
      <c r="C3625" t="s">
        <v>21</v>
      </c>
      <c r="D3625" t="s">
        <v>22</v>
      </c>
      <c r="E3625" s="2">
        <v>22.29</v>
      </c>
      <c r="F3625" s="3">
        <v>86.51</v>
      </c>
      <c r="G3625" s="4">
        <v>243.65</v>
      </c>
      <c r="H3625">
        <v>1.2</v>
      </c>
      <c r="I3625" s="4">
        <v>292.38</v>
      </c>
      <c r="J3625">
        <v>3.1</v>
      </c>
      <c r="K3625" t="s">
        <v>36</v>
      </c>
      <c r="L3625" t="s">
        <v>26</v>
      </c>
      <c r="O3625"/>
    </row>
    <row r="3626" spans="1:15" x14ac:dyDescent="0.3">
      <c r="A3626" t="s">
        <v>3650</v>
      </c>
      <c r="B3626" s="1">
        <v>45823</v>
      </c>
      <c r="C3626" t="s">
        <v>14</v>
      </c>
      <c r="D3626" t="s">
        <v>21</v>
      </c>
      <c r="E3626" s="2">
        <v>15.44</v>
      </c>
      <c r="F3626" s="3">
        <v>47.62</v>
      </c>
      <c r="G3626" s="4">
        <v>200.82</v>
      </c>
      <c r="H3626">
        <v>2</v>
      </c>
      <c r="I3626" s="4">
        <v>401.64</v>
      </c>
      <c r="J3626">
        <v>4.3</v>
      </c>
      <c r="K3626" t="s">
        <v>36</v>
      </c>
      <c r="L3626" t="s">
        <v>19</v>
      </c>
      <c r="O3626"/>
    </row>
    <row r="3627" spans="1:15" x14ac:dyDescent="0.3">
      <c r="A3627" t="s">
        <v>3651</v>
      </c>
      <c r="B3627" s="1">
        <v>46011</v>
      </c>
      <c r="C3627" t="s">
        <v>22</v>
      </c>
      <c r="D3627" t="s">
        <v>14</v>
      </c>
      <c r="E3627" s="2">
        <v>17.760000000000002</v>
      </c>
      <c r="F3627" s="3">
        <v>39.56</v>
      </c>
      <c r="G3627" s="4">
        <v>262.31</v>
      </c>
      <c r="H3627">
        <v>2</v>
      </c>
      <c r="I3627" s="4">
        <v>524.62</v>
      </c>
      <c r="J3627">
        <v>4</v>
      </c>
      <c r="K3627" t="s">
        <v>33</v>
      </c>
      <c r="L3627" t="s">
        <v>16</v>
      </c>
      <c r="O3627"/>
    </row>
    <row r="3628" spans="1:15" x14ac:dyDescent="0.3">
      <c r="A3628" t="s">
        <v>3652</v>
      </c>
      <c r="B3628" s="1">
        <v>45736</v>
      </c>
      <c r="C3628" t="s">
        <v>13</v>
      </c>
      <c r="D3628" t="s">
        <v>25</v>
      </c>
      <c r="E3628" s="2">
        <v>15.33</v>
      </c>
      <c r="F3628" s="3">
        <v>34.08</v>
      </c>
      <c r="G3628" s="4">
        <v>171.13</v>
      </c>
      <c r="H3628">
        <v>1</v>
      </c>
      <c r="I3628" s="4">
        <v>171.13</v>
      </c>
      <c r="J3628">
        <v>4.5999999999999996</v>
      </c>
      <c r="K3628" t="s">
        <v>33</v>
      </c>
      <c r="L3628" t="s">
        <v>16</v>
      </c>
      <c r="O3628"/>
    </row>
    <row r="3629" spans="1:15" x14ac:dyDescent="0.3">
      <c r="A3629" t="s">
        <v>3653</v>
      </c>
      <c r="B3629" s="1">
        <v>45789</v>
      </c>
      <c r="C3629" t="s">
        <v>14</v>
      </c>
      <c r="D3629" t="s">
        <v>22</v>
      </c>
      <c r="E3629" s="2">
        <v>24.66</v>
      </c>
      <c r="F3629" s="3">
        <v>61.49</v>
      </c>
      <c r="G3629" s="4">
        <v>352.83</v>
      </c>
      <c r="H3629">
        <v>1.2</v>
      </c>
      <c r="I3629" s="4">
        <v>423.4</v>
      </c>
      <c r="J3629">
        <v>4.0999999999999996</v>
      </c>
      <c r="K3629" t="s">
        <v>15</v>
      </c>
      <c r="L3629" t="s">
        <v>16</v>
      </c>
      <c r="O3629"/>
    </row>
    <row r="3630" spans="1:15" x14ac:dyDescent="0.3">
      <c r="A3630" t="s">
        <v>3654</v>
      </c>
      <c r="B3630" s="1">
        <v>45935</v>
      </c>
      <c r="C3630" t="s">
        <v>25</v>
      </c>
      <c r="D3630" t="s">
        <v>25</v>
      </c>
      <c r="E3630" s="2">
        <v>22.38</v>
      </c>
      <c r="F3630" s="3">
        <v>75.64</v>
      </c>
      <c r="G3630" s="4">
        <v>345.34</v>
      </c>
      <c r="H3630">
        <v>1.5</v>
      </c>
      <c r="I3630" s="4">
        <v>518.01</v>
      </c>
      <c r="J3630">
        <v>3.7</v>
      </c>
      <c r="K3630" t="s">
        <v>30</v>
      </c>
      <c r="L3630" t="s">
        <v>16</v>
      </c>
      <c r="O3630"/>
    </row>
    <row r="3631" spans="1:15" x14ac:dyDescent="0.3">
      <c r="A3631" t="s">
        <v>3655</v>
      </c>
      <c r="B3631" s="1">
        <v>45920</v>
      </c>
      <c r="C3631" t="s">
        <v>21</v>
      </c>
      <c r="D3631" t="s">
        <v>25</v>
      </c>
      <c r="E3631" s="2">
        <v>15.35</v>
      </c>
      <c r="F3631" s="3">
        <v>61.24</v>
      </c>
      <c r="G3631" s="4">
        <v>223.67</v>
      </c>
      <c r="H3631">
        <v>2</v>
      </c>
      <c r="I3631" s="4">
        <v>447.34</v>
      </c>
      <c r="J3631">
        <v>4.0999999999999996</v>
      </c>
      <c r="K3631" t="s">
        <v>18</v>
      </c>
      <c r="L3631" t="s">
        <v>19</v>
      </c>
      <c r="O3631"/>
    </row>
    <row r="3632" spans="1:15" x14ac:dyDescent="0.3">
      <c r="A3632" t="s">
        <v>3656</v>
      </c>
      <c r="B3632" s="1">
        <v>45666</v>
      </c>
      <c r="C3632" t="s">
        <v>21</v>
      </c>
      <c r="D3632" t="s">
        <v>13</v>
      </c>
      <c r="E3632" s="2">
        <v>2.35</v>
      </c>
      <c r="F3632" s="3">
        <v>5.88</v>
      </c>
      <c r="G3632" s="4">
        <v>31.81</v>
      </c>
      <c r="H3632">
        <v>1.2</v>
      </c>
      <c r="I3632" s="4">
        <v>38.17</v>
      </c>
      <c r="J3632">
        <v>4.5</v>
      </c>
      <c r="K3632" t="s">
        <v>15</v>
      </c>
      <c r="L3632" t="s">
        <v>28</v>
      </c>
      <c r="O3632"/>
    </row>
    <row r="3633" spans="1:15" x14ac:dyDescent="0.3">
      <c r="A3633" t="s">
        <v>3657</v>
      </c>
      <c r="B3633" s="1">
        <v>45835</v>
      </c>
      <c r="C3633" t="s">
        <v>21</v>
      </c>
      <c r="D3633" t="s">
        <v>14</v>
      </c>
      <c r="E3633" s="2">
        <v>1.83</v>
      </c>
      <c r="F3633" s="3">
        <v>5.92</v>
      </c>
      <c r="G3633" s="4">
        <v>25.83</v>
      </c>
      <c r="H3633">
        <v>2</v>
      </c>
      <c r="I3633" s="4">
        <v>51.66</v>
      </c>
      <c r="J3633">
        <v>4</v>
      </c>
      <c r="K3633" t="s">
        <v>15</v>
      </c>
      <c r="L3633" t="s">
        <v>19</v>
      </c>
      <c r="O3633"/>
    </row>
    <row r="3634" spans="1:15" x14ac:dyDescent="0.3">
      <c r="A3634" t="s">
        <v>3658</v>
      </c>
      <c r="B3634" s="1">
        <v>45673</v>
      </c>
      <c r="C3634" t="s">
        <v>14</v>
      </c>
      <c r="D3634" t="s">
        <v>21</v>
      </c>
      <c r="E3634" s="2">
        <v>21.56</v>
      </c>
      <c r="F3634" s="3">
        <v>52.56</v>
      </c>
      <c r="G3634" s="4">
        <v>379.67</v>
      </c>
      <c r="H3634">
        <v>1.2</v>
      </c>
      <c r="I3634" s="4">
        <v>455.6</v>
      </c>
      <c r="J3634">
        <v>4.5</v>
      </c>
      <c r="K3634" t="s">
        <v>18</v>
      </c>
      <c r="L3634" t="s">
        <v>26</v>
      </c>
      <c r="O3634"/>
    </row>
    <row r="3635" spans="1:15" x14ac:dyDescent="0.3">
      <c r="A3635" t="s">
        <v>3659</v>
      </c>
      <c r="B3635" s="1">
        <v>45804</v>
      </c>
      <c r="C3635" t="s">
        <v>13</v>
      </c>
      <c r="D3635" t="s">
        <v>14</v>
      </c>
      <c r="E3635" s="2">
        <v>1.98</v>
      </c>
      <c r="F3635" s="3">
        <v>5.73</v>
      </c>
      <c r="G3635" s="4">
        <v>33.25</v>
      </c>
      <c r="H3635">
        <v>1</v>
      </c>
      <c r="I3635" s="4">
        <v>33.25</v>
      </c>
      <c r="J3635">
        <v>3.9</v>
      </c>
      <c r="K3635" t="s">
        <v>30</v>
      </c>
      <c r="L3635" t="s">
        <v>19</v>
      </c>
      <c r="O3635"/>
    </row>
    <row r="3636" spans="1:15" x14ac:dyDescent="0.3">
      <c r="A3636" t="s">
        <v>3660</v>
      </c>
      <c r="B3636" s="1">
        <v>45706</v>
      </c>
      <c r="C3636" t="s">
        <v>22</v>
      </c>
      <c r="D3636" t="s">
        <v>13</v>
      </c>
      <c r="E3636" s="2">
        <v>28.32</v>
      </c>
      <c r="F3636" s="3">
        <v>81.33</v>
      </c>
      <c r="G3636" s="4">
        <v>562.27</v>
      </c>
      <c r="H3636">
        <v>2</v>
      </c>
      <c r="I3636" s="4">
        <v>1124.54</v>
      </c>
      <c r="J3636">
        <v>4.3</v>
      </c>
      <c r="K3636" t="s">
        <v>15</v>
      </c>
      <c r="L3636" t="s">
        <v>26</v>
      </c>
      <c r="O3636"/>
    </row>
    <row r="3637" spans="1:15" x14ac:dyDescent="0.3">
      <c r="A3637" t="s">
        <v>3661</v>
      </c>
      <c r="B3637" s="1">
        <v>45764</v>
      </c>
      <c r="C3637" t="s">
        <v>22</v>
      </c>
      <c r="D3637" t="s">
        <v>13</v>
      </c>
      <c r="E3637" s="2">
        <v>17.850000000000001</v>
      </c>
      <c r="F3637" s="3">
        <v>53.57</v>
      </c>
      <c r="G3637" s="4">
        <v>351.8</v>
      </c>
      <c r="H3637">
        <v>2</v>
      </c>
      <c r="I3637" s="4">
        <v>703.6</v>
      </c>
      <c r="J3637">
        <v>3.4</v>
      </c>
      <c r="K3637" t="s">
        <v>33</v>
      </c>
      <c r="L3637" t="s">
        <v>28</v>
      </c>
      <c r="O3637"/>
    </row>
    <row r="3638" spans="1:15" x14ac:dyDescent="0.3">
      <c r="A3638" t="s">
        <v>3662</v>
      </c>
      <c r="B3638" s="1">
        <v>45750</v>
      </c>
      <c r="C3638" t="s">
        <v>14</v>
      </c>
      <c r="D3638" t="s">
        <v>22</v>
      </c>
      <c r="E3638" s="2">
        <v>21.05</v>
      </c>
      <c r="F3638" s="3">
        <v>53</v>
      </c>
      <c r="G3638" s="4">
        <v>400.3</v>
      </c>
      <c r="H3638">
        <v>1.5</v>
      </c>
      <c r="I3638" s="4">
        <v>600.45000000000005</v>
      </c>
      <c r="J3638">
        <v>4</v>
      </c>
      <c r="K3638" t="s">
        <v>18</v>
      </c>
      <c r="L3638" t="s">
        <v>28</v>
      </c>
      <c r="O3638"/>
    </row>
    <row r="3639" spans="1:15" x14ac:dyDescent="0.3">
      <c r="A3639" t="s">
        <v>3663</v>
      </c>
      <c r="B3639" s="1">
        <v>45747</v>
      </c>
      <c r="C3639" t="s">
        <v>25</v>
      </c>
      <c r="D3639" t="s">
        <v>22</v>
      </c>
      <c r="E3639" s="2">
        <v>12.28</v>
      </c>
      <c r="F3639" s="3">
        <v>45.46</v>
      </c>
      <c r="G3639" s="4">
        <v>200.98</v>
      </c>
      <c r="H3639">
        <v>1.5</v>
      </c>
      <c r="I3639" s="4">
        <v>301.47000000000003</v>
      </c>
      <c r="J3639">
        <v>4.4000000000000004</v>
      </c>
      <c r="K3639" t="s">
        <v>36</v>
      </c>
      <c r="L3639" t="s">
        <v>26</v>
      </c>
      <c r="O3639"/>
    </row>
    <row r="3640" spans="1:15" x14ac:dyDescent="0.3">
      <c r="A3640" t="s">
        <v>3664</v>
      </c>
      <c r="B3640" s="1">
        <v>45934</v>
      </c>
      <c r="C3640" t="s">
        <v>25</v>
      </c>
      <c r="D3640" t="s">
        <v>21</v>
      </c>
      <c r="E3640" s="2">
        <v>6.55</v>
      </c>
      <c r="F3640" s="3">
        <v>18.5</v>
      </c>
      <c r="G3640" s="4">
        <v>76.650000000000006</v>
      </c>
      <c r="H3640">
        <v>1</v>
      </c>
      <c r="I3640" s="4">
        <v>76.650000000000006</v>
      </c>
      <c r="J3640">
        <v>3</v>
      </c>
      <c r="K3640" t="s">
        <v>30</v>
      </c>
      <c r="L3640" t="s">
        <v>19</v>
      </c>
      <c r="O3640"/>
    </row>
    <row r="3641" spans="1:15" x14ac:dyDescent="0.3">
      <c r="A3641" t="s">
        <v>3665</v>
      </c>
      <c r="B3641" s="1">
        <v>45773</v>
      </c>
      <c r="C3641" t="s">
        <v>25</v>
      </c>
      <c r="D3641" t="s">
        <v>22</v>
      </c>
      <c r="E3641" s="2">
        <v>16.55</v>
      </c>
      <c r="F3641" s="3">
        <v>49.04</v>
      </c>
      <c r="G3641" s="4">
        <v>248.5</v>
      </c>
      <c r="H3641">
        <v>1.5</v>
      </c>
      <c r="I3641" s="4">
        <v>372.75</v>
      </c>
      <c r="J3641">
        <v>3.2</v>
      </c>
      <c r="K3641" t="s">
        <v>33</v>
      </c>
      <c r="L3641" t="s">
        <v>16</v>
      </c>
      <c r="O3641"/>
    </row>
    <row r="3642" spans="1:15" x14ac:dyDescent="0.3">
      <c r="A3642" t="s">
        <v>3666</v>
      </c>
      <c r="B3642" s="1">
        <v>46000</v>
      </c>
      <c r="C3642" t="s">
        <v>14</v>
      </c>
      <c r="D3642" t="s">
        <v>22</v>
      </c>
      <c r="E3642" s="2">
        <v>21.42</v>
      </c>
      <c r="F3642" s="3">
        <v>58.18</v>
      </c>
      <c r="G3642" s="4">
        <v>402.95</v>
      </c>
      <c r="H3642">
        <v>2</v>
      </c>
      <c r="I3642" s="4">
        <v>805.9</v>
      </c>
      <c r="J3642">
        <v>4.8</v>
      </c>
      <c r="K3642" t="s">
        <v>15</v>
      </c>
      <c r="L3642" t="s">
        <v>26</v>
      </c>
      <c r="O3642"/>
    </row>
    <row r="3643" spans="1:15" x14ac:dyDescent="0.3">
      <c r="A3643" t="s">
        <v>3667</v>
      </c>
      <c r="B3643" s="1">
        <v>45749</v>
      </c>
      <c r="C3643" t="s">
        <v>22</v>
      </c>
      <c r="D3643" t="s">
        <v>21</v>
      </c>
      <c r="E3643" s="2">
        <v>26.1</v>
      </c>
      <c r="F3643" s="3">
        <v>95.13</v>
      </c>
      <c r="G3643" s="4">
        <v>293.14999999999998</v>
      </c>
      <c r="H3643">
        <v>1.5</v>
      </c>
      <c r="I3643" s="4">
        <v>439.72</v>
      </c>
      <c r="J3643">
        <v>3.5</v>
      </c>
      <c r="K3643" t="s">
        <v>18</v>
      </c>
      <c r="L3643" t="s">
        <v>19</v>
      </c>
      <c r="O3643"/>
    </row>
    <row r="3644" spans="1:15" x14ac:dyDescent="0.3">
      <c r="A3644" t="s">
        <v>3668</v>
      </c>
      <c r="B3644" s="1">
        <v>45917</v>
      </c>
      <c r="C3644" t="s">
        <v>25</v>
      </c>
      <c r="D3644" t="s">
        <v>25</v>
      </c>
      <c r="E3644" s="2">
        <v>19.91</v>
      </c>
      <c r="F3644" s="3">
        <v>74.08</v>
      </c>
      <c r="G3644" s="4">
        <v>227.03</v>
      </c>
      <c r="H3644">
        <v>1</v>
      </c>
      <c r="I3644" s="4">
        <v>227.03</v>
      </c>
      <c r="J3644">
        <v>3.2</v>
      </c>
      <c r="K3644" t="s">
        <v>30</v>
      </c>
      <c r="L3644" t="s">
        <v>28</v>
      </c>
      <c r="O3644"/>
    </row>
    <row r="3645" spans="1:15" x14ac:dyDescent="0.3">
      <c r="A3645" t="s">
        <v>3669</v>
      </c>
      <c r="B3645" s="1">
        <v>45680</v>
      </c>
      <c r="C3645" t="s">
        <v>21</v>
      </c>
      <c r="D3645" t="s">
        <v>21</v>
      </c>
      <c r="E3645" s="2">
        <v>12.3</v>
      </c>
      <c r="F3645" s="3">
        <v>24.97</v>
      </c>
      <c r="G3645" s="4">
        <v>233.49</v>
      </c>
      <c r="H3645">
        <v>1.2</v>
      </c>
      <c r="I3645" s="4">
        <v>280.19</v>
      </c>
      <c r="J3645">
        <v>4.5999999999999996</v>
      </c>
      <c r="K3645" t="s">
        <v>15</v>
      </c>
      <c r="L3645" t="s">
        <v>28</v>
      </c>
      <c r="O3645"/>
    </row>
    <row r="3646" spans="1:15" x14ac:dyDescent="0.3">
      <c r="A3646" t="s">
        <v>3670</v>
      </c>
      <c r="B3646" s="1">
        <v>45822</v>
      </c>
      <c r="C3646" t="s">
        <v>25</v>
      </c>
      <c r="D3646" t="s">
        <v>13</v>
      </c>
      <c r="E3646" s="2">
        <v>2.74</v>
      </c>
      <c r="F3646" s="3">
        <v>6.73</v>
      </c>
      <c r="G3646" s="4">
        <v>34.51</v>
      </c>
      <c r="H3646">
        <v>2</v>
      </c>
      <c r="I3646" s="4">
        <v>69.02</v>
      </c>
      <c r="J3646">
        <v>4.7</v>
      </c>
      <c r="K3646" t="s">
        <v>30</v>
      </c>
      <c r="L3646" t="s">
        <v>16</v>
      </c>
      <c r="O3646"/>
    </row>
    <row r="3647" spans="1:15" x14ac:dyDescent="0.3">
      <c r="A3647" t="s">
        <v>3671</v>
      </c>
      <c r="B3647" s="1">
        <v>45991</v>
      </c>
      <c r="C3647" t="s">
        <v>13</v>
      </c>
      <c r="D3647" t="s">
        <v>21</v>
      </c>
      <c r="E3647" s="2">
        <v>12.21</v>
      </c>
      <c r="F3647" s="3">
        <v>29.42</v>
      </c>
      <c r="G3647" s="4">
        <v>130.04</v>
      </c>
      <c r="H3647">
        <v>1</v>
      </c>
      <c r="I3647" s="4">
        <v>130.04</v>
      </c>
      <c r="J3647">
        <v>4.7</v>
      </c>
      <c r="K3647" t="s">
        <v>33</v>
      </c>
      <c r="L3647" t="s">
        <v>16</v>
      </c>
      <c r="O3647"/>
    </row>
    <row r="3648" spans="1:15" x14ac:dyDescent="0.3">
      <c r="A3648" t="s">
        <v>3672</v>
      </c>
      <c r="B3648" s="1">
        <v>45763</v>
      </c>
      <c r="C3648" t="s">
        <v>21</v>
      </c>
      <c r="D3648" t="s">
        <v>21</v>
      </c>
      <c r="E3648" s="2">
        <v>13.9</v>
      </c>
      <c r="F3648" s="3">
        <v>47.99</v>
      </c>
      <c r="G3648" s="4">
        <v>233.84</v>
      </c>
      <c r="H3648">
        <v>1.5</v>
      </c>
      <c r="I3648" s="4">
        <v>350.76</v>
      </c>
      <c r="J3648">
        <v>3.1</v>
      </c>
      <c r="K3648" t="s">
        <v>33</v>
      </c>
      <c r="L3648" t="s">
        <v>19</v>
      </c>
      <c r="O3648"/>
    </row>
    <row r="3649" spans="1:15" x14ac:dyDescent="0.3">
      <c r="A3649" t="s">
        <v>3673</v>
      </c>
      <c r="B3649" s="1">
        <v>46004</v>
      </c>
      <c r="C3649" t="s">
        <v>25</v>
      </c>
      <c r="D3649" t="s">
        <v>22</v>
      </c>
      <c r="E3649" s="2">
        <v>22.9</v>
      </c>
      <c r="F3649" s="3">
        <v>78.83</v>
      </c>
      <c r="G3649" s="4">
        <v>315.57</v>
      </c>
      <c r="H3649">
        <v>1.5</v>
      </c>
      <c r="I3649" s="4">
        <v>473.36</v>
      </c>
      <c r="J3649">
        <v>3.6</v>
      </c>
      <c r="K3649" t="s">
        <v>15</v>
      </c>
      <c r="L3649" t="s">
        <v>28</v>
      </c>
      <c r="O3649"/>
    </row>
    <row r="3650" spans="1:15" x14ac:dyDescent="0.3">
      <c r="A3650" t="s">
        <v>3674</v>
      </c>
      <c r="B3650" s="1">
        <v>45851</v>
      </c>
      <c r="C3650" t="s">
        <v>25</v>
      </c>
      <c r="D3650" t="s">
        <v>25</v>
      </c>
      <c r="E3650" s="2">
        <v>9.36</v>
      </c>
      <c r="F3650" s="3">
        <v>18.89</v>
      </c>
      <c r="G3650" s="4">
        <v>115.13</v>
      </c>
      <c r="H3650">
        <v>1.5</v>
      </c>
      <c r="I3650" s="4">
        <v>172.7</v>
      </c>
      <c r="J3650">
        <v>3.5</v>
      </c>
      <c r="K3650" t="s">
        <v>33</v>
      </c>
      <c r="L3650" t="s">
        <v>26</v>
      </c>
      <c r="O3650"/>
    </row>
    <row r="3651" spans="1:15" x14ac:dyDescent="0.3">
      <c r="A3651" t="s">
        <v>3675</v>
      </c>
      <c r="B3651" s="1">
        <v>45780</v>
      </c>
      <c r="C3651" t="s">
        <v>21</v>
      </c>
      <c r="D3651" t="s">
        <v>14</v>
      </c>
      <c r="E3651" s="2">
        <v>4.0199999999999996</v>
      </c>
      <c r="F3651" s="3">
        <v>15.25</v>
      </c>
      <c r="G3651" s="4">
        <v>63.74</v>
      </c>
      <c r="H3651">
        <v>2</v>
      </c>
      <c r="I3651" s="4">
        <v>127.48</v>
      </c>
      <c r="J3651">
        <v>3.4</v>
      </c>
      <c r="K3651" t="s">
        <v>18</v>
      </c>
      <c r="L3651" t="s">
        <v>16</v>
      </c>
      <c r="O3651"/>
    </row>
    <row r="3652" spans="1:15" x14ac:dyDescent="0.3">
      <c r="A3652" t="s">
        <v>3676</v>
      </c>
      <c r="B3652" s="1">
        <v>45817</v>
      </c>
      <c r="C3652" t="s">
        <v>13</v>
      </c>
      <c r="D3652" t="s">
        <v>14</v>
      </c>
      <c r="E3652" s="2">
        <v>20.64</v>
      </c>
      <c r="F3652" s="3">
        <v>49.73</v>
      </c>
      <c r="G3652" s="4">
        <v>334.03</v>
      </c>
      <c r="H3652">
        <v>1.5</v>
      </c>
      <c r="I3652" s="4">
        <v>501.04</v>
      </c>
      <c r="J3652">
        <v>3.5</v>
      </c>
      <c r="K3652" t="s">
        <v>18</v>
      </c>
      <c r="L3652" t="s">
        <v>16</v>
      </c>
      <c r="O3652"/>
    </row>
    <row r="3653" spans="1:15" x14ac:dyDescent="0.3">
      <c r="A3653" t="s">
        <v>3677</v>
      </c>
      <c r="B3653" s="1">
        <v>45847</v>
      </c>
      <c r="C3653" t="s">
        <v>14</v>
      </c>
      <c r="D3653" t="s">
        <v>25</v>
      </c>
      <c r="E3653" s="2">
        <v>28.01</v>
      </c>
      <c r="F3653" s="3">
        <v>87.11</v>
      </c>
      <c r="G3653" s="4">
        <v>539.74</v>
      </c>
      <c r="H3653">
        <v>1.2</v>
      </c>
      <c r="I3653" s="4">
        <v>647.69000000000005</v>
      </c>
      <c r="J3653">
        <v>4.3</v>
      </c>
      <c r="K3653" t="s">
        <v>18</v>
      </c>
      <c r="L3653" t="s">
        <v>28</v>
      </c>
      <c r="O3653"/>
    </row>
    <row r="3654" spans="1:15" x14ac:dyDescent="0.3">
      <c r="A3654" t="s">
        <v>3678</v>
      </c>
      <c r="B3654" s="1">
        <v>45661</v>
      </c>
      <c r="C3654" t="s">
        <v>14</v>
      </c>
      <c r="D3654" t="s">
        <v>22</v>
      </c>
      <c r="E3654" s="2">
        <v>22.51</v>
      </c>
      <c r="F3654" s="3">
        <v>61.37</v>
      </c>
      <c r="G3654" s="4">
        <v>275.63</v>
      </c>
      <c r="H3654">
        <v>2</v>
      </c>
      <c r="I3654" s="4">
        <v>551.26</v>
      </c>
      <c r="J3654">
        <v>4.4000000000000004</v>
      </c>
      <c r="K3654" t="s">
        <v>15</v>
      </c>
      <c r="L3654" t="s">
        <v>16</v>
      </c>
      <c r="O3654"/>
    </row>
    <row r="3655" spans="1:15" x14ac:dyDescent="0.3">
      <c r="A3655" t="s">
        <v>3679</v>
      </c>
      <c r="B3655" s="1">
        <v>45886</v>
      </c>
      <c r="C3655" t="s">
        <v>13</v>
      </c>
      <c r="D3655" t="s">
        <v>22</v>
      </c>
      <c r="E3655" s="2">
        <v>28.91</v>
      </c>
      <c r="F3655" s="3">
        <v>72.63</v>
      </c>
      <c r="G3655" s="4">
        <v>530.73</v>
      </c>
      <c r="H3655">
        <v>2</v>
      </c>
      <c r="I3655" s="4">
        <v>1061.46</v>
      </c>
      <c r="J3655">
        <v>3.3</v>
      </c>
      <c r="K3655" t="s">
        <v>36</v>
      </c>
      <c r="L3655" t="s">
        <v>28</v>
      </c>
      <c r="O3655"/>
    </row>
    <row r="3656" spans="1:15" x14ac:dyDescent="0.3">
      <c r="A3656" t="s">
        <v>3680</v>
      </c>
      <c r="B3656" s="1">
        <v>45830</v>
      </c>
      <c r="C3656" t="s">
        <v>25</v>
      </c>
      <c r="D3656" t="s">
        <v>14</v>
      </c>
      <c r="E3656" s="2">
        <v>29.22</v>
      </c>
      <c r="F3656" s="3">
        <v>114.06</v>
      </c>
      <c r="G3656" s="4">
        <v>294.44</v>
      </c>
      <c r="H3656">
        <v>1</v>
      </c>
      <c r="I3656" s="4">
        <v>294.44</v>
      </c>
      <c r="J3656">
        <v>3</v>
      </c>
      <c r="K3656" t="s">
        <v>15</v>
      </c>
      <c r="L3656" t="s">
        <v>26</v>
      </c>
      <c r="O3656"/>
    </row>
    <row r="3657" spans="1:15" x14ac:dyDescent="0.3">
      <c r="A3657" t="s">
        <v>3681</v>
      </c>
      <c r="B3657" s="1">
        <v>45972</v>
      </c>
      <c r="C3657" t="s">
        <v>13</v>
      </c>
      <c r="D3657" t="s">
        <v>14</v>
      </c>
      <c r="E3657" s="2">
        <v>21.45</v>
      </c>
      <c r="F3657" s="3">
        <v>84.97</v>
      </c>
      <c r="G3657" s="4">
        <v>222.94</v>
      </c>
      <c r="H3657">
        <v>1</v>
      </c>
      <c r="I3657" s="4">
        <v>222.94</v>
      </c>
      <c r="J3657">
        <v>4.3</v>
      </c>
      <c r="K3657" t="s">
        <v>15</v>
      </c>
      <c r="L3657" t="s">
        <v>19</v>
      </c>
      <c r="O3657"/>
    </row>
    <row r="3658" spans="1:15" x14ac:dyDescent="0.3">
      <c r="A3658" t="s">
        <v>3682</v>
      </c>
      <c r="B3658" s="1">
        <v>45916</v>
      </c>
      <c r="C3658" t="s">
        <v>25</v>
      </c>
      <c r="D3658" t="s">
        <v>21</v>
      </c>
      <c r="E3658" s="2">
        <v>4.41</v>
      </c>
      <c r="F3658" s="3">
        <v>16.899999999999999</v>
      </c>
      <c r="G3658" s="4">
        <v>71.89</v>
      </c>
      <c r="H3658">
        <v>1.5</v>
      </c>
      <c r="I3658" s="4">
        <v>107.84</v>
      </c>
      <c r="J3658">
        <v>4.3</v>
      </c>
      <c r="K3658" t="s">
        <v>36</v>
      </c>
      <c r="L3658" t="s">
        <v>28</v>
      </c>
      <c r="O3658"/>
    </row>
    <row r="3659" spans="1:15" x14ac:dyDescent="0.3">
      <c r="A3659" t="s">
        <v>3683</v>
      </c>
      <c r="B3659" s="1">
        <v>45729</v>
      </c>
      <c r="C3659" t="s">
        <v>21</v>
      </c>
      <c r="D3659" t="s">
        <v>25</v>
      </c>
      <c r="E3659" s="2">
        <v>2.41</v>
      </c>
      <c r="F3659" s="3">
        <v>5.73</v>
      </c>
      <c r="G3659" s="4">
        <v>25.7</v>
      </c>
      <c r="H3659">
        <v>1.2</v>
      </c>
      <c r="I3659" s="4">
        <v>30.84</v>
      </c>
      <c r="J3659">
        <v>3.5</v>
      </c>
      <c r="K3659" t="s">
        <v>30</v>
      </c>
      <c r="L3659" t="s">
        <v>16</v>
      </c>
      <c r="O3659"/>
    </row>
    <row r="3660" spans="1:15" x14ac:dyDescent="0.3">
      <c r="A3660" t="s">
        <v>3684</v>
      </c>
      <c r="B3660" s="1">
        <v>45949</v>
      </c>
      <c r="C3660" t="s">
        <v>22</v>
      </c>
      <c r="D3660" t="s">
        <v>22</v>
      </c>
      <c r="E3660" s="2">
        <v>4.43</v>
      </c>
      <c r="F3660" s="3">
        <v>10.34</v>
      </c>
      <c r="G3660" s="4">
        <v>64.05</v>
      </c>
      <c r="H3660">
        <v>1.5</v>
      </c>
      <c r="I3660" s="4">
        <v>96.07</v>
      </c>
      <c r="J3660">
        <v>3.2</v>
      </c>
      <c r="K3660" t="s">
        <v>18</v>
      </c>
      <c r="L3660" t="s">
        <v>19</v>
      </c>
      <c r="O3660"/>
    </row>
    <row r="3661" spans="1:15" x14ac:dyDescent="0.3">
      <c r="A3661" t="s">
        <v>3685</v>
      </c>
      <c r="B3661" s="1">
        <v>45993</v>
      </c>
      <c r="C3661" t="s">
        <v>14</v>
      </c>
      <c r="D3661" t="s">
        <v>25</v>
      </c>
      <c r="E3661" s="2">
        <v>13.45</v>
      </c>
      <c r="F3661" s="3">
        <v>44.24</v>
      </c>
      <c r="G3661" s="4">
        <v>260.55</v>
      </c>
      <c r="H3661">
        <v>2</v>
      </c>
      <c r="I3661" s="4">
        <v>521.1</v>
      </c>
      <c r="J3661">
        <v>3.9</v>
      </c>
      <c r="K3661" t="s">
        <v>30</v>
      </c>
      <c r="L3661" t="s">
        <v>19</v>
      </c>
      <c r="O3661"/>
    </row>
    <row r="3662" spans="1:15" x14ac:dyDescent="0.3">
      <c r="A3662" t="s">
        <v>3686</v>
      </c>
      <c r="B3662" s="1">
        <v>45925</v>
      </c>
      <c r="C3662" t="s">
        <v>21</v>
      </c>
      <c r="D3662" t="s">
        <v>13</v>
      </c>
      <c r="E3662" s="2">
        <v>25.73</v>
      </c>
      <c r="F3662" s="3">
        <v>77.52</v>
      </c>
      <c r="G3662" s="4">
        <v>454.5</v>
      </c>
      <c r="H3662">
        <v>1.2</v>
      </c>
      <c r="I3662" s="4">
        <v>545.4</v>
      </c>
      <c r="J3662">
        <v>3.9</v>
      </c>
      <c r="K3662" t="s">
        <v>15</v>
      </c>
      <c r="L3662" t="s">
        <v>16</v>
      </c>
      <c r="O3662"/>
    </row>
    <row r="3663" spans="1:15" x14ac:dyDescent="0.3">
      <c r="A3663" t="s">
        <v>3687</v>
      </c>
      <c r="B3663" s="1">
        <v>45783</v>
      </c>
      <c r="C3663" t="s">
        <v>21</v>
      </c>
      <c r="D3663" t="s">
        <v>25</v>
      </c>
      <c r="E3663" s="2">
        <v>27.79</v>
      </c>
      <c r="F3663" s="3">
        <v>90.9</v>
      </c>
      <c r="G3663" s="4">
        <v>307.32</v>
      </c>
      <c r="H3663">
        <v>1.2</v>
      </c>
      <c r="I3663" s="4">
        <v>368.78</v>
      </c>
      <c r="J3663">
        <v>4.7</v>
      </c>
      <c r="K3663" t="s">
        <v>33</v>
      </c>
      <c r="L3663" t="s">
        <v>19</v>
      </c>
      <c r="O3663"/>
    </row>
    <row r="3664" spans="1:15" x14ac:dyDescent="0.3">
      <c r="A3664" t="s">
        <v>3688</v>
      </c>
      <c r="B3664" s="1">
        <v>45749</v>
      </c>
      <c r="C3664" t="s">
        <v>21</v>
      </c>
      <c r="D3664" t="s">
        <v>22</v>
      </c>
      <c r="E3664" s="2">
        <v>22.78</v>
      </c>
      <c r="F3664" s="3">
        <v>47.23</v>
      </c>
      <c r="G3664" s="4">
        <v>409.8</v>
      </c>
      <c r="H3664">
        <v>1.2</v>
      </c>
      <c r="I3664" s="4">
        <v>491.76</v>
      </c>
      <c r="J3664">
        <v>3.4</v>
      </c>
      <c r="K3664" t="s">
        <v>15</v>
      </c>
      <c r="L3664" t="s">
        <v>19</v>
      </c>
      <c r="O3664"/>
    </row>
    <row r="3665" spans="1:15" x14ac:dyDescent="0.3">
      <c r="A3665" t="s">
        <v>3689</v>
      </c>
      <c r="B3665" s="1">
        <v>45673</v>
      </c>
      <c r="C3665" t="s">
        <v>21</v>
      </c>
      <c r="D3665" t="s">
        <v>22</v>
      </c>
      <c r="E3665" s="2">
        <v>17.739999999999998</v>
      </c>
      <c r="F3665" s="3">
        <v>44.88</v>
      </c>
      <c r="G3665" s="4">
        <v>294.72000000000003</v>
      </c>
      <c r="H3665">
        <v>2</v>
      </c>
      <c r="I3665" s="4">
        <v>589.44000000000005</v>
      </c>
      <c r="J3665">
        <v>4.9000000000000004</v>
      </c>
      <c r="K3665" t="s">
        <v>30</v>
      </c>
      <c r="L3665" t="s">
        <v>26</v>
      </c>
      <c r="O3665"/>
    </row>
    <row r="3666" spans="1:15" x14ac:dyDescent="0.3">
      <c r="A3666" t="s">
        <v>3690</v>
      </c>
      <c r="B3666" s="1">
        <v>45737</v>
      </c>
      <c r="C3666" t="s">
        <v>13</v>
      </c>
      <c r="D3666" t="s">
        <v>14</v>
      </c>
      <c r="E3666" s="2">
        <v>12.82</v>
      </c>
      <c r="F3666" s="3">
        <v>45.41</v>
      </c>
      <c r="G3666" s="4">
        <v>183.63</v>
      </c>
      <c r="H3666">
        <v>1</v>
      </c>
      <c r="I3666" s="4">
        <v>183.63</v>
      </c>
      <c r="J3666">
        <v>3.7</v>
      </c>
      <c r="K3666" t="s">
        <v>30</v>
      </c>
      <c r="L3666" t="s">
        <v>26</v>
      </c>
      <c r="O3666"/>
    </row>
    <row r="3667" spans="1:15" x14ac:dyDescent="0.3">
      <c r="A3667" t="s">
        <v>3691</v>
      </c>
      <c r="B3667" s="1">
        <v>45732</v>
      </c>
      <c r="C3667" t="s">
        <v>21</v>
      </c>
      <c r="D3667" t="s">
        <v>22</v>
      </c>
      <c r="E3667" s="2">
        <v>11.08</v>
      </c>
      <c r="F3667" s="3">
        <v>43.69</v>
      </c>
      <c r="G3667" s="4">
        <v>157.97999999999999</v>
      </c>
      <c r="H3667">
        <v>1.2</v>
      </c>
      <c r="I3667" s="4">
        <v>189.58</v>
      </c>
      <c r="J3667">
        <v>5</v>
      </c>
      <c r="K3667" t="s">
        <v>36</v>
      </c>
      <c r="L3667" t="s">
        <v>26</v>
      </c>
      <c r="O3667"/>
    </row>
    <row r="3668" spans="1:15" x14ac:dyDescent="0.3">
      <c r="A3668" t="s">
        <v>3692</v>
      </c>
      <c r="B3668" s="1">
        <v>45949</v>
      </c>
      <c r="C3668" t="s">
        <v>13</v>
      </c>
      <c r="D3668" t="s">
        <v>25</v>
      </c>
      <c r="E3668" s="2">
        <v>29.86</v>
      </c>
      <c r="F3668" s="3">
        <v>104.69</v>
      </c>
      <c r="G3668" s="4">
        <v>420.63</v>
      </c>
      <c r="H3668">
        <v>1.5</v>
      </c>
      <c r="I3668" s="4">
        <v>630.94000000000005</v>
      </c>
      <c r="J3668">
        <v>3.8</v>
      </c>
      <c r="K3668" t="s">
        <v>30</v>
      </c>
      <c r="L3668" t="s">
        <v>16</v>
      </c>
      <c r="O3668"/>
    </row>
    <row r="3669" spans="1:15" x14ac:dyDescent="0.3">
      <c r="A3669" t="s">
        <v>3693</v>
      </c>
      <c r="B3669" s="1">
        <v>45915</v>
      </c>
      <c r="C3669" t="s">
        <v>21</v>
      </c>
      <c r="D3669" t="s">
        <v>21</v>
      </c>
      <c r="E3669" s="2">
        <v>10.199999999999999</v>
      </c>
      <c r="F3669" s="3">
        <v>35.57</v>
      </c>
      <c r="G3669" s="4">
        <v>178.08</v>
      </c>
      <c r="H3669">
        <v>1</v>
      </c>
      <c r="I3669" s="4">
        <v>178.08</v>
      </c>
      <c r="J3669">
        <v>4.0999999999999996</v>
      </c>
      <c r="K3669" t="s">
        <v>30</v>
      </c>
      <c r="L3669" t="s">
        <v>28</v>
      </c>
      <c r="O3669"/>
    </row>
    <row r="3670" spans="1:15" x14ac:dyDescent="0.3">
      <c r="A3670" t="s">
        <v>3694</v>
      </c>
      <c r="B3670" s="1">
        <v>45885</v>
      </c>
      <c r="C3670" t="s">
        <v>13</v>
      </c>
      <c r="D3670" t="s">
        <v>22</v>
      </c>
      <c r="E3670" s="2">
        <v>5.43</v>
      </c>
      <c r="F3670" s="3">
        <v>11.22</v>
      </c>
      <c r="G3670" s="4">
        <v>67.7</v>
      </c>
      <c r="H3670">
        <v>1</v>
      </c>
      <c r="I3670" s="4">
        <v>67.7</v>
      </c>
      <c r="J3670">
        <v>4.7</v>
      </c>
      <c r="K3670" t="s">
        <v>15</v>
      </c>
      <c r="L3670" t="s">
        <v>28</v>
      </c>
      <c r="O3670"/>
    </row>
    <row r="3671" spans="1:15" x14ac:dyDescent="0.3">
      <c r="A3671" t="s">
        <v>3695</v>
      </c>
      <c r="B3671" s="1">
        <v>45848</v>
      </c>
      <c r="C3671" t="s">
        <v>14</v>
      </c>
      <c r="D3671" t="s">
        <v>21</v>
      </c>
      <c r="E3671" s="2">
        <v>18.28</v>
      </c>
      <c r="F3671" s="3">
        <v>70.53</v>
      </c>
      <c r="G3671" s="4">
        <v>264.2</v>
      </c>
      <c r="H3671">
        <v>1.5</v>
      </c>
      <c r="I3671" s="4">
        <v>396.3</v>
      </c>
      <c r="J3671">
        <v>3.9</v>
      </c>
      <c r="K3671" t="s">
        <v>30</v>
      </c>
      <c r="L3671" t="s">
        <v>16</v>
      </c>
      <c r="O3671"/>
    </row>
    <row r="3672" spans="1:15" x14ac:dyDescent="0.3">
      <c r="A3672" t="s">
        <v>3696</v>
      </c>
      <c r="B3672" s="1">
        <v>46017</v>
      </c>
      <c r="C3672" t="s">
        <v>22</v>
      </c>
      <c r="D3672" t="s">
        <v>14</v>
      </c>
      <c r="E3672" s="2">
        <v>22.04</v>
      </c>
      <c r="F3672" s="3">
        <v>84.3</v>
      </c>
      <c r="G3672" s="4">
        <v>311.31</v>
      </c>
      <c r="H3672">
        <v>2</v>
      </c>
      <c r="I3672" s="4">
        <v>622.62</v>
      </c>
      <c r="J3672">
        <v>3.6</v>
      </c>
      <c r="K3672" t="s">
        <v>18</v>
      </c>
      <c r="L3672" t="s">
        <v>26</v>
      </c>
      <c r="O3672"/>
    </row>
    <row r="3673" spans="1:15" x14ac:dyDescent="0.3">
      <c r="A3673" t="s">
        <v>3697</v>
      </c>
      <c r="B3673" s="1">
        <v>45676</v>
      </c>
      <c r="C3673" t="s">
        <v>22</v>
      </c>
      <c r="D3673" t="s">
        <v>14</v>
      </c>
      <c r="E3673" s="2">
        <v>16.149999999999999</v>
      </c>
      <c r="F3673" s="3">
        <v>51.69</v>
      </c>
      <c r="G3673" s="4">
        <v>204.84</v>
      </c>
      <c r="H3673">
        <v>1</v>
      </c>
      <c r="I3673" s="4">
        <v>204.84</v>
      </c>
      <c r="J3673">
        <v>4.8</v>
      </c>
      <c r="K3673" t="s">
        <v>15</v>
      </c>
      <c r="L3673" t="s">
        <v>28</v>
      </c>
      <c r="O3673"/>
    </row>
    <row r="3674" spans="1:15" x14ac:dyDescent="0.3">
      <c r="A3674" t="s">
        <v>3698</v>
      </c>
      <c r="B3674" s="1">
        <v>45707</v>
      </c>
      <c r="C3674" t="s">
        <v>13</v>
      </c>
      <c r="D3674" t="s">
        <v>22</v>
      </c>
      <c r="E3674" s="2">
        <v>28.32</v>
      </c>
      <c r="F3674" s="3">
        <v>93.04</v>
      </c>
      <c r="G3674" s="4">
        <v>377.54</v>
      </c>
      <c r="H3674">
        <v>2</v>
      </c>
      <c r="I3674" s="4">
        <v>755.08</v>
      </c>
      <c r="J3674">
        <v>3.3</v>
      </c>
      <c r="K3674" t="s">
        <v>15</v>
      </c>
      <c r="L3674" t="s">
        <v>28</v>
      </c>
      <c r="O3674"/>
    </row>
    <row r="3675" spans="1:15" x14ac:dyDescent="0.3">
      <c r="A3675" t="s">
        <v>3699</v>
      </c>
      <c r="B3675" s="1">
        <v>45773</v>
      </c>
      <c r="C3675" t="s">
        <v>25</v>
      </c>
      <c r="D3675" t="s">
        <v>22</v>
      </c>
      <c r="E3675" s="2">
        <v>9.39</v>
      </c>
      <c r="F3675" s="3">
        <v>35.5</v>
      </c>
      <c r="G3675" s="4">
        <v>110.14</v>
      </c>
      <c r="H3675">
        <v>1.5</v>
      </c>
      <c r="I3675" s="4">
        <v>165.21</v>
      </c>
      <c r="J3675">
        <v>4.4000000000000004</v>
      </c>
      <c r="K3675" t="s">
        <v>36</v>
      </c>
      <c r="L3675" t="s">
        <v>28</v>
      </c>
      <c r="O3675"/>
    </row>
    <row r="3676" spans="1:15" x14ac:dyDescent="0.3">
      <c r="A3676" t="s">
        <v>3700</v>
      </c>
      <c r="B3676" s="1">
        <v>45961</v>
      </c>
      <c r="C3676" t="s">
        <v>14</v>
      </c>
      <c r="D3676" t="s">
        <v>13</v>
      </c>
      <c r="E3676" s="2">
        <v>21.75</v>
      </c>
      <c r="F3676" s="3">
        <v>48.3</v>
      </c>
      <c r="G3676" s="4">
        <v>276.01</v>
      </c>
      <c r="H3676">
        <v>1.5</v>
      </c>
      <c r="I3676" s="4">
        <v>414.02</v>
      </c>
      <c r="J3676">
        <v>4.7</v>
      </c>
      <c r="K3676" t="s">
        <v>33</v>
      </c>
      <c r="L3676" t="s">
        <v>19</v>
      </c>
      <c r="O3676"/>
    </row>
    <row r="3677" spans="1:15" x14ac:dyDescent="0.3">
      <c r="A3677" t="s">
        <v>3701</v>
      </c>
      <c r="B3677" s="1">
        <v>45897</v>
      </c>
      <c r="C3677" t="s">
        <v>25</v>
      </c>
      <c r="D3677" t="s">
        <v>14</v>
      </c>
      <c r="E3677" s="2">
        <v>18.79</v>
      </c>
      <c r="F3677" s="3">
        <v>39.54</v>
      </c>
      <c r="G3677" s="4">
        <v>207.09</v>
      </c>
      <c r="H3677">
        <v>2</v>
      </c>
      <c r="I3677" s="4">
        <v>414.18</v>
      </c>
      <c r="J3677">
        <v>4.3</v>
      </c>
      <c r="K3677" t="s">
        <v>33</v>
      </c>
      <c r="L3677" t="s">
        <v>28</v>
      </c>
      <c r="O3677"/>
    </row>
    <row r="3678" spans="1:15" x14ac:dyDescent="0.3">
      <c r="A3678" t="s">
        <v>3702</v>
      </c>
      <c r="B3678" s="1">
        <v>45871</v>
      </c>
      <c r="C3678" t="s">
        <v>25</v>
      </c>
      <c r="D3678" t="s">
        <v>25</v>
      </c>
      <c r="E3678" s="2">
        <v>18.27</v>
      </c>
      <c r="F3678" s="3">
        <v>44.58</v>
      </c>
      <c r="G3678" s="4">
        <v>238.26</v>
      </c>
      <c r="H3678">
        <v>2</v>
      </c>
      <c r="I3678" s="4">
        <v>476.52</v>
      </c>
      <c r="J3678">
        <v>4.5999999999999996</v>
      </c>
      <c r="K3678" t="s">
        <v>18</v>
      </c>
      <c r="L3678" t="s">
        <v>16</v>
      </c>
      <c r="O3678"/>
    </row>
    <row r="3679" spans="1:15" x14ac:dyDescent="0.3">
      <c r="A3679" t="s">
        <v>3703</v>
      </c>
      <c r="B3679" s="1">
        <v>45789</v>
      </c>
      <c r="C3679" t="s">
        <v>25</v>
      </c>
      <c r="D3679" t="s">
        <v>21</v>
      </c>
      <c r="E3679" s="2">
        <v>24.82</v>
      </c>
      <c r="F3679" s="3">
        <v>81.349999999999994</v>
      </c>
      <c r="G3679" s="4">
        <v>483.93</v>
      </c>
      <c r="H3679">
        <v>1</v>
      </c>
      <c r="I3679" s="4">
        <v>483.93</v>
      </c>
      <c r="J3679">
        <v>4.5</v>
      </c>
      <c r="K3679" t="s">
        <v>18</v>
      </c>
      <c r="L3679" t="s">
        <v>26</v>
      </c>
      <c r="O3679"/>
    </row>
    <row r="3680" spans="1:15" x14ac:dyDescent="0.3">
      <c r="A3680" t="s">
        <v>3704</v>
      </c>
      <c r="B3680" s="1">
        <v>45923</v>
      </c>
      <c r="C3680" t="s">
        <v>25</v>
      </c>
      <c r="D3680" t="s">
        <v>13</v>
      </c>
      <c r="E3680" s="2">
        <v>21.27</v>
      </c>
      <c r="F3680" s="3">
        <v>53.64</v>
      </c>
      <c r="G3680" s="4">
        <v>367.79</v>
      </c>
      <c r="H3680">
        <v>1.5</v>
      </c>
      <c r="I3680" s="4">
        <v>551.69000000000005</v>
      </c>
      <c r="J3680">
        <v>3.7</v>
      </c>
      <c r="K3680" t="s">
        <v>18</v>
      </c>
      <c r="L3680" t="s">
        <v>16</v>
      </c>
      <c r="O3680"/>
    </row>
    <row r="3681" spans="1:15" x14ac:dyDescent="0.3">
      <c r="A3681" t="s">
        <v>3705</v>
      </c>
      <c r="B3681" s="1">
        <v>45717</v>
      </c>
      <c r="C3681" t="s">
        <v>14</v>
      </c>
      <c r="D3681" t="s">
        <v>13</v>
      </c>
      <c r="E3681" s="2">
        <v>13.89</v>
      </c>
      <c r="F3681" s="3">
        <v>37.1</v>
      </c>
      <c r="G3681" s="4">
        <v>203.7</v>
      </c>
      <c r="H3681">
        <v>1.5</v>
      </c>
      <c r="I3681" s="4">
        <v>305.55</v>
      </c>
      <c r="J3681">
        <v>3.5</v>
      </c>
      <c r="K3681" t="s">
        <v>36</v>
      </c>
      <c r="L3681" t="s">
        <v>19</v>
      </c>
      <c r="O3681"/>
    </row>
    <row r="3682" spans="1:15" x14ac:dyDescent="0.3">
      <c r="A3682" t="s">
        <v>3706</v>
      </c>
      <c r="B3682" s="1">
        <v>45999</v>
      </c>
      <c r="C3682" t="s">
        <v>14</v>
      </c>
      <c r="D3682" t="s">
        <v>13</v>
      </c>
      <c r="E3682" s="2">
        <v>12.71</v>
      </c>
      <c r="F3682" s="3">
        <v>40.89</v>
      </c>
      <c r="G3682" s="4">
        <v>222.81</v>
      </c>
      <c r="H3682">
        <v>1.5</v>
      </c>
      <c r="I3682" s="4">
        <v>334.22</v>
      </c>
      <c r="J3682">
        <v>4.5999999999999996</v>
      </c>
      <c r="K3682" t="s">
        <v>15</v>
      </c>
      <c r="L3682" t="s">
        <v>19</v>
      </c>
      <c r="O3682"/>
    </row>
    <row r="3683" spans="1:15" x14ac:dyDescent="0.3">
      <c r="A3683" t="s">
        <v>3707</v>
      </c>
      <c r="B3683" s="1">
        <v>45928</v>
      </c>
      <c r="C3683" t="s">
        <v>25</v>
      </c>
      <c r="D3683" t="s">
        <v>25</v>
      </c>
      <c r="E3683" s="2">
        <v>20.94</v>
      </c>
      <c r="F3683" s="3">
        <v>60.75</v>
      </c>
      <c r="G3683" s="4">
        <v>319.14</v>
      </c>
      <c r="H3683">
        <v>1.5</v>
      </c>
      <c r="I3683" s="4">
        <v>478.71</v>
      </c>
      <c r="J3683">
        <v>5</v>
      </c>
      <c r="K3683" t="s">
        <v>15</v>
      </c>
      <c r="L3683" t="s">
        <v>19</v>
      </c>
      <c r="O3683"/>
    </row>
    <row r="3684" spans="1:15" x14ac:dyDescent="0.3">
      <c r="A3684" t="s">
        <v>3708</v>
      </c>
      <c r="B3684" s="1">
        <v>45923</v>
      </c>
      <c r="C3684" t="s">
        <v>22</v>
      </c>
      <c r="D3684" t="s">
        <v>21</v>
      </c>
      <c r="E3684" s="2">
        <v>25.11</v>
      </c>
      <c r="F3684" s="3">
        <v>82.68</v>
      </c>
      <c r="G3684" s="4">
        <v>392.7</v>
      </c>
      <c r="H3684">
        <v>1.2</v>
      </c>
      <c r="I3684" s="4">
        <v>471.24</v>
      </c>
      <c r="J3684">
        <v>3.4</v>
      </c>
      <c r="K3684" t="s">
        <v>18</v>
      </c>
      <c r="L3684" t="s">
        <v>26</v>
      </c>
      <c r="O3684"/>
    </row>
    <row r="3685" spans="1:15" x14ac:dyDescent="0.3">
      <c r="A3685" t="s">
        <v>3709</v>
      </c>
      <c r="B3685" s="1">
        <v>46012</v>
      </c>
      <c r="C3685" t="s">
        <v>22</v>
      </c>
      <c r="D3685" t="s">
        <v>14</v>
      </c>
      <c r="E3685" s="2">
        <v>28.8</v>
      </c>
      <c r="F3685" s="3">
        <v>84.2</v>
      </c>
      <c r="G3685" s="4">
        <v>451.07</v>
      </c>
      <c r="H3685">
        <v>2</v>
      </c>
      <c r="I3685" s="4">
        <v>902.14</v>
      </c>
      <c r="J3685">
        <v>3.7</v>
      </c>
      <c r="K3685" t="s">
        <v>15</v>
      </c>
      <c r="L3685" t="s">
        <v>28</v>
      </c>
      <c r="O3685"/>
    </row>
    <row r="3686" spans="1:15" x14ac:dyDescent="0.3">
      <c r="A3686" t="s">
        <v>3710</v>
      </c>
      <c r="B3686" s="1">
        <v>45853</v>
      </c>
      <c r="C3686" t="s">
        <v>14</v>
      </c>
      <c r="D3686" t="s">
        <v>22</v>
      </c>
      <c r="E3686" s="2">
        <v>25.8</v>
      </c>
      <c r="F3686" s="3">
        <v>92.73</v>
      </c>
      <c r="G3686" s="4">
        <v>457.8</v>
      </c>
      <c r="H3686">
        <v>1.5</v>
      </c>
      <c r="I3686" s="4">
        <v>686.7</v>
      </c>
      <c r="J3686">
        <v>4.9000000000000004</v>
      </c>
      <c r="K3686" t="s">
        <v>36</v>
      </c>
      <c r="L3686" t="s">
        <v>26</v>
      </c>
      <c r="O3686"/>
    </row>
    <row r="3687" spans="1:15" x14ac:dyDescent="0.3">
      <c r="A3687" t="s">
        <v>3711</v>
      </c>
      <c r="B3687" s="1">
        <v>45692</v>
      </c>
      <c r="C3687" t="s">
        <v>14</v>
      </c>
      <c r="D3687" t="s">
        <v>25</v>
      </c>
      <c r="E3687" s="2">
        <v>13.24</v>
      </c>
      <c r="F3687" s="3">
        <v>51.65</v>
      </c>
      <c r="G3687" s="4">
        <v>137.09</v>
      </c>
      <c r="H3687">
        <v>2</v>
      </c>
      <c r="I3687" s="4">
        <v>274.18</v>
      </c>
      <c r="J3687">
        <v>4.4000000000000004</v>
      </c>
      <c r="K3687" t="s">
        <v>33</v>
      </c>
      <c r="L3687" t="s">
        <v>28</v>
      </c>
      <c r="O3687"/>
    </row>
    <row r="3688" spans="1:15" x14ac:dyDescent="0.3">
      <c r="A3688" t="s">
        <v>3712</v>
      </c>
      <c r="B3688" s="1">
        <v>45663</v>
      </c>
      <c r="C3688" t="s">
        <v>25</v>
      </c>
      <c r="D3688" t="s">
        <v>25</v>
      </c>
      <c r="E3688" s="2">
        <v>24.54</v>
      </c>
      <c r="F3688" s="3">
        <v>75.27</v>
      </c>
      <c r="G3688" s="4">
        <v>327.88</v>
      </c>
      <c r="H3688">
        <v>2</v>
      </c>
      <c r="I3688" s="4">
        <v>655.76</v>
      </c>
      <c r="J3688">
        <v>3.7</v>
      </c>
      <c r="K3688" t="s">
        <v>33</v>
      </c>
      <c r="L3688" t="s">
        <v>26</v>
      </c>
      <c r="O3688"/>
    </row>
    <row r="3689" spans="1:15" x14ac:dyDescent="0.3">
      <c r="A3689" t="s">
        <v>3713</v>
      </c>
      <c r="B3689" s="1">
        <v>45993</v>
      </c>
      <c r="C3689" t="s">
        <v>22</v>
      </c>
      <c r="D3689" t="s">
        <v>14</v>
      </c>
      <c r="E3689" s="2">
        <v>14.13</v>
      </c>
      <c r="F3689" s="3">
        <v>39.729999999999997</v>
      </c>
      <c r="G3689" s="4">
        <v>146.93</v>
      </c>
      <c r="H3689">
        <v>1</v>
      </c>
      <c r="I3689" s="4">
        <v>146.93</v>
      </c>
      <c r="J3689">
        <v>4.5</v>
      </c>
      <c r="K3689" t="s">
        <v>36</v>
      </c>
      <c r="L3689" t="s">
        <v>26</v>
      </c>
      <c r="O3689"/>
    </row>
    <row r="3690" spans="1:15" x14ac:dyDescent="0.3">
      <c r="A3690" t="s">
        <v>3714</v>
      </c>
      <c r="B3690" s="1">
        <v>45746</v>
      </c>
      <c r="C3690" t="s">
        <v>22</v>
      </c>
      <c r="D3690" t="s">
        <v>13</v>
      </c>
      <c r="E3690" s="2">
        <v>9.58</v>
      </c>
      <c r="F3690" s="3">
        <v>22.31</v>
      </c>
      <c r="G3690" s="4">
        <v>143.99</v>
      </c>
      <c r="H3690">
        <v>2</v>
      </c>
      <c r="I3690" s="4">
        <v>287.98</v>
      </c>
      <c r="J3690">
        <v>4.9000000000000004</v>
      </c>
      <c r="K3690" t="s">
        <v>15</v>
      </c>
      <c r="L3690" t="s">
        <v>26</v>
      </c>
      <c r="O3690"/>
    </row>
    <row r="3691" spans="1:15" x14ac:dyDescent="0.3">
      <c r="A3691" t="s">
        <v>3715</v>
      </c>
      <c r="B3691" s="1">
        <v>45861</v>
      </c>
      <c r="C3691" t="s">
        <v>13</v>
      </c>
      <c r="D3691" t="s">
        <v>13</v>
      </c>
      <c r="E3691" s="2">
        <v>22.26</v>
      </c>
      <c r="F3691" s="3">
        <v>60.63</v>
      </c>
      <c r="G3691" s="4">
        <v>264.08</v>
      </c>
      <c r="H3691">
        <v>1.2</v>
      </c>
      <c r="I3691" s="4">
        <v>316.89999999999998</v>
      </c>
      <c r="J3691">
        <v>4.9000000000000004</v>
      </c>
      <c r="K3691" t="s">
        <v>18</v>
      </c>
      <c r="L3691" t="s">
        <v>28</v>
      </c>
      <c r="O3691"/>
    </row>
    <row r="3692" spans="1:15" x14ac:dyDescent="0.3">
      <c r="A3692" t="s">
        <v>3716</v>
      </c>
      <c r="B3692" s="1">
        <v>45782</v>
      </c>
      <c r="C3692" t="s">
        <v>25</v>
      </c>
      <c r="D3692" t="s">
        <v>21</v>
      </c>
      <c r="E3692" s="2">
        <v>22.07</v>
      </c>
      <c r="F3692" s="3">
        <v>65.41</v>
      </c>
      <c r="G3692" s="4">
        <v>336.7</v>
      </c>
      <c r="H3692">
        <v>2</v>
      </c>
      <c r="I3692" s="4">
        <v>673.4</v>
      </c>
      <c r="J3692">
        <v>4.7</v>
      </c>
      <c r="K3692" t="s">
        <v>36</v>
      </c>
      <c r="L3692" t="s">
        <v>16</v>
      </c>
      <c r="O3692"/>
    </row>
    <row r="3693" spans="1:15" x14ac:dyDescent="0.3">
      <c r="A3693" t="s">
        <v>3717</v>
      </c>
      <c r="B3693" s="1">
        <v>45737</v>
      </c>
      <c r="C3693" t="s">
        <v>14</v>
      </c>
      <c r="D3693" t="s">
        <v>25</v>
      </c>
      <c r="E3693" s="2">
        <v>27.93</v>
      </c>
      <c r="F3693" s="3">
        <v>94.04</v>
      </c>
      <c r="G3693" s="4">
        <v>284.22000000000003</v>
      </c>
      <c r="H3693">
        <v>1.2</v>
      </c>
      <c r="I3693" s="4">
        <v>341.06</v>
      </c>
      <c r="J3693">
        <v>3.1</v>
      </c>
      <c r="K3693" t="s">
        <v>15</v>
      </c>
      <c r="L3693" t="s">
        <v>28</v>
      </c>
      <c r="O3693"/>
    </row>
    <row r="3694" spans="1:15" x14ac:dyDescent="0.3">
      <c r="A3694" t="s">
        <v>3718</v>
      </c>
      <c r="B3694" s="1">
        <v>46007</v>
      </c>
      <c r="C3694" t="s">
        <v>25</v>
      </c>
      <c r="D3694" t="s">
        <v>14</v>
      </c>
      <c r="E3694" s="2">
        <v>29.84</v>
      </c>
      <c r="F3694" s="3">
        <v>119.13</v>
      </c>
      <c r="G3694" s="4">
        <v>554.30999999999995</v>
      </c>
      <c r="H3694">
        <v>2</v>
      </c>
      <c r="I3694" s="4">
        <v>1108.6199999999999</v>
      </c>
      <c r="J3694">
        <v>4.5</v>
      </c>
      <c r="K3694" t="s">
        <v>33</v>
      </c>
      <c r="L3694" t="s">
        <v>26</v>
      </c>
      <c r="O3694"/>
    </row>
    <row r="3695" spans="1:15" x14ac:dyDescent="0.3">
      <c r="A3695" t="s">
        <v>3719</v>
      </c>
      <c r="B3695" s="1">
        <v>45680</v>
      </c>
      <c r="C3695" t="s">
        <v>25</v>
      </c>
      <c r="D3695" t="s">
        <v>25</v>
      </c>
      <c r="E3695" s="2">
        <v>19.170000000000002</v>
      </c>
      <c r="F3695" s="3">
        <v>65.91</v>
      </c>
      <c r="G3695" s="4">
        <v>219.05</v>
      </c>
      <c r="H3695">
        <v>2</v>
      </c>
      <c r="I3695" s="4">
        <v>438.1</v>
      </c>
      <c r="J3695">
        <v>3.9</v>
      </c>
      <c r="K3695" t="s">
        <v>15</v>
      </c>
      <c r="L3695" t="s">
        <v>16</v>
      </c>
      <c r="O3695"/>
    </row>
    <row r="3696" spans="1:15" x14ac:dyDescent="0.3">
      <c r="A3696" t="s">
        <v>3720</v>
      </c>
      <c r="B3696" s="1">
        <v>46015</v>
      </c>
      <c r="C3696" t="s">
        <v>21</v>
      </c>
      <c r="D3696" t="s">
        <v>13</v>
      </c>
      <c r="E3696" s="2">
        <v>13.52</v>
      </c>
      <c r="F3696" s="3">
        <v>51.08</v>
      </c>
      <c r="G3696" s="4">
        <v>177.37</v>
      </c>
      <c r="H3696">
        <v>1</v>
      </c>
      <c r="I3696" s="4">
        <v>177.37</v>
      </c>
      <c r="J3696">
        <v>3.3</v>
      </c>
      <c r="K3696" t="s">
        <v>15</v>
      </c>
      <c r="L3696" t="s">
        <v>28</v>
      </c>
      <c r="O3696"/>
    </row>
    <row r="3697" spans="1:15" x14ac:dyDescent="0.3">
      <c r="A3697" t="s">
        <v>3721</v>
      </c>
      <c r="B3697" s="1">
        <v>45879</v>
      </c>
      <c r="C3697" t="s">
        <v>21</v>
      </c>
      <c r="D3697" t="s">
        <v>25</v>
      </c>
      <c r="E3697" s="2">
        <v>20.84</v>
      </c>
      <c r="F3697" s="3">
        <v>64.75</v>
      </c>
      <c r="G3697" s="4">
        <v>350.81</v>
      </c>
      <c r="H3697">
        <v>2</v>
      </c>
      <c r="I3697" s="4">
        <v>701.62</v>
      </c>
      <c r="J3697">
        <v>3.3</v>
      </c>
      <c r="K3697" t="s">
        <v>36</v>
      </c>
      <c r="L3697" t="s">
        <v>28</v>
      </c>
      <c r="O3697"/>
    </row>
    <row r="3698" spans="1:15" x14ac:dyDescent="0.3">
      <c r="A3698" t="s">
        <v>3722</v>
      </c>
      <c r="B3698" s="1">
        <v>46002</v>
      </c>
      <c r="C3698" t="s">
        <v>14</v>
      </c>
      <c r="D3698" t="s">
        <v>22</v>
      </c>
      <c r="E3698" s="2">
        <v>26.58</v>
      </c>
      <c r="F3698" s="3">
        <v>54.87</v>
      </c>
      <c r="G3698" s="4">
        <v>465.6</v>
      </c>
      <c r="H3698">
        <v>2</v>
      </c>
      <c r="I3698" s="4">
        <v>931.2</v>
      </c>
      <c r="J3698">
        <v>3.5</v>
      </c>
      <c r="K3698" t="s">
        <v>18</v>
      </c>
      <c r="L3698" t="s">
        <v>26</v>
      </c>
      <c r="O3698"/>
    </row>
    <row r="3699" spans="1:15" x14ac:dyDescent="0.3">
      <c r="A3699" t="s">
        <v>3723</v>
      </c>
      <c r="B3699" s="1">
        <v>45764</v>
      </c>
      <c r="C3699" t="s">
        <v>14</v>
      </c>
      <c r="D3699" t="s">
        <v>21</v>
      </c>
      <c r="E3699" s="2">
        <v>29.22</v>
      </c>
      <c r="F3699" s="3">
        <v>75.19</v>
      </c>
      <c r="G3699" s="4">
        <v>359.69</v>
      </c>
      <c r="H3699">
        <v>2</v>
      </c>
      <c r="I3699" s="4">
        <v>719.38</v>
      </c>
      <c r="J3699">
        <v>3.8</v>
      </c>
      <c r="K3699" t="s">
        <v>15</v>
      </c>
      <c r="L3699" t="s">
        <v>28</v>
      </c>
      <c r="O3699"/>
    </row>
    <row r="3700" spans="1:15" x14ac:dyDescent="0.3">
      <c r="A3700" t="s">
        <v>3724</v>
      </c>
      <c r="B3700" s="1">
        <v>45855</v>
      </c>
      <c r="C3700" t="s">
        <v>25</v>
      </c>
      <c r="D3700" t="s">
        <v>25</v>
      </c>
      <c r="E3700" s="2">
        <v>27.72</v>
      </c>
      <c r="F3700" s="3">
        <v>86.49</v>
      </c>
      <c r="G3700" s="4">
        <v>289.7</v>
      </c>
      <c r="H3700">
        <v>1.5</v>
      </c>
      <c r="I3700" s="4">
        <v>434.55</v>
      </c>
      <c r="J3700">
        <v>3.6</v>
      </c>
      <c r="K3700" t="s">
        <v>33</v>
      </c>
      <c r="L3700" t="s">
        <v>19</v>
      </c>
      <c r="O3700"/>
    </row>
    <row r="3701" spans="1:15" x14ac:dyDescent="0.3">
      <c r="A3701" t="s">
        <v>3725</v>
      </c>
      <c r="B3701" s="1">
        <v>45663</v>
      </c>
      <c r="C3701" t="s">
        <v>13</v>
      </c>
      <c r="D3701" t="s">
        <v>21</v>
      </c>
      <c r="E3701" s="2">
        <v>5.69</v>
      </c>
      <c r="F3701" s="3">
        <v>13.44</v>
      </c>
      <c r="G3701" s="4">
        <v>89.43</v>
      </c>
      <c r="H3701">
        <v>1</v>
      </c>
      <c r="I3701" s="4">
        <v>89.43</v>
      </c>
      <c r="J3701">
        <v>4.5</v>
      </c>
      <c r="K3701" t="s">
        <v>18</v>
      </c>
      <c r="L3701" t="s">
        <v>28</v>
      </c>
      <c r="O3701"/>
    </row>
    <row r="3702" spans="1:15" x14ac:dyDescent="0.3">
      <c r="A3702" t="s">
        <v>3726</v>
      </c>
      <c r="B3702" s="1">
        <v>45901</v>
      </c>
      <c r="C3702" t="s">
        <v>21</v>
      </c>
      <c r="D3702" t="s">
        <v>25</v>
      </c>
      <c r="E3702" s="2">
        <v>24.39</v>
      </c>
      <c r="F3702" s="3">
        <v>92.86</v>
      </c>
      <c r="G3702" s="4">
        <v>436.72</v>
      </c>
      <c r="H3702">
        <v>1.5</v>
      </c>
      <c r="I3702" s="4">
        <v>655.08000000000004</v>
      </c>
      <c r="J3702">
        <v>4.5</v>
      </c>
      <c r="K3702" t="s">
        <v>18</v>
      </c>
      <c r="L3702" t="s">
        <v>19</v>
      </c>
      <c r="O3702"/>
    </row>
    <row r="3703" spans="1:15" x14ac:dyDescent="0.3">
      <c r="A3703" t="s">
        <v>3727</v>
      </c>
      <c r="B3703" s="1">
        <v>45815</v>
      </c>
      <c r="C3703" t="s">
        <v>25</v>
      </c>
      <c r="D3703" t="s">
        <v>25</v>
      </c>
      <c r="E3703" s="2">
        <v>24.27</v>
      </c>
      <c r="F3703" s="3">
        <v>88.79</v>
      </c>
      <c r="G3703" s="4">
        <v>473.61</v>
      </c>
      <c r="H3703">
        <v>1</v>
      </c>
      <c r="I3703" s="4">
        <v>473.61</v>
      </c>
      <c r="J3703">
        <v>3.2</v>
      </c>
      <c r="K3703" t="s">
        <v>15</v>
      </c>
      <c r="L3703" t="s">
        <v>16</v>
      </c>
      <c r="O3703"/>
    </row>
    <row r="3704" spans="1:15" x14ac:dyDescent="0.3">
      <c r="A3704" t="s">
        <v>3728</v>
      </c>
      <c r="B3704" s="1">
        <v>45802</v>
      </c>
      <c r="C3704" t="s">
        <v>13</v>
      </c>
      <c r="D3704" t="s">
        <v>13</v>
      </c>
      <c r="E3704" s="2">
        <v>17.84</v>
      </c>
      <c r="F3704" s="3">
        <v>47.43</v>
      </c>
      <c r="G3704" s="4">
        <v>328.15</v>
      </c>
      <c r="H3704">
        <v>1</v>
      </c>
      <c r="I3704" s="4">
        <v>328.15</v>
      </c>
      <c r="J3704">
        <v>3.8</v>
      </c>
      <c r="K3704" t="s">
        <v>33</v>
      </c>
      <c r="L3704" t="s">
        <v>28</v>
      </c>
      <c r="O3704"/>
    </row>
    <row r="3705" spans="1:15" x14ac:dyDescent="0.3">
      <c r="A3705" t="s">
        <v>3729</v>
      </c>
      <c r="B3705" s="1">
        <v>45818</v>
      </c>
      <c r="C3705" t="s">
        <v>25</v>
      </c>
      <c r="D3705" t="s">
        <v>25</v>
      </c>
      <c r="E3705" s="2">
        <v>29.92</v>
      </c>
      <c r="F3705" s="3">
        <v>75.36</v>
      </c>
      <c r="G3705" s="4">
        <v>519.25</v>
      </c>
      <c r="H3705">
        <v>2</v>
      </c>
      <c r="I3705" s="4">
        <v>1038.5</v>
      </c>
      <c r="J3705">
        <v>4.7</v>
      </c>
      <c r="K3705" t="s">
        <v>30</v>
      </c>
      <c r="L3705" t="s">
        <v>26</v>
      </c>
      <c r="O3705"/>
    </row>
    <row r="3706" spans="1:15" x14ac:dyDescent="0.3">
      <c r="A3706" t="s">
        <v>3730</v>
      </c>
      <c r="B3706" s="1">
        <v>45741</v>
      </c>
      <c r="C3706" t="s">
        <v>14</v>
      </c>
      <c r="D3706" t="s">
        <v>21</v>
      </c>
      <c r="E3706" s="2">
        <v>5.66</v>
      </c>
      <c r="F3706" s="3">
        <v>21.46</v>
      </c>
      <c r="G3706" s="4">
        <v>90.3</v>
      </c>
      <c r="H3706">
        <v>1</v>
      </c>
      <c r="I3706" s="4">
        <v>90.3</v>
      </c>
      <c r="J3706">
        <v>3.9</v>
      </c>
      <c r="K3706" t="s">
        <v>36</v>
      </c>
      <c r="L3706" t="s">
        <v>26</v>
      </c>
      <c r="O3706"/>
    </row>
    <row r="3707" spans="1:15" x14ac:dyDescent="0.3">
      <c r="A3707" t="s">
        <v>3731</v>
      </c>
      <c r="B3707" s="1">
        <v>45908</v>
      </c>
      <c r="C3707" t="s">
        <v>13</v>
      </c>
      <c r="D3707" t="s">
        <v>22</v>
      </c>
      <c r="E3707" s="2">
        <v>29.35</v>
      </c>
      <c r="F3707" s="3">
        <v>104.69</v>
      </c>
      <c r="G3707" s="4">
        <v>463.89</v>
      </c>
      <c r="H3707">
        <v>1</v>
      </c>
      <c r="I3707" s="4">
        <v>463.89</v>
      </c>
      <c r="J3707">
        <v>3</v>
      </c>
      <c r="K3707" t="s">
        <v>30</v>
      </c>
      <c r="L3707" t="s">
        <v>16</v>
      </c>
      <c r="O3707"/>
    </row>
    <row r="3708" spans="1:15" x14ac:dyDescent="0.3">
      <c r="A3708" t="s">
        <v>3732</v>
      </c>
      <c r="B3708" s="1">
        <v>45763</v>
      </c>
      <c r="C3708" t="s">
        <v>13</v>
      </c>
      <c r="D3708" t="s">
        <v>14</v>
      </c>
      <c r="E3708" s="2">
        <v>29.43</v>
      </c>
      <c r="F3708" s="3">
        <v>117.49</v>
      </c>
      <c r="G3708" s="4">
        <v>434.56</v>
      </c>
      <c r="H3708">
        <v>1.2</v>
      </c>
      <c r="I3708" s="4">
        <v>521.47</v>
      </c>
      <c r="J3708">
        <v>3.3</v>
      </c>
      <c r="K3708" t="s">
        <v>15</v>
      </c>
      <c r="L3708" t="s">
        <v>16</v>
      </c>
      <c r="O3708"/>
    </row>
    <row r="3709" spans="1:15" x14ac:dyDescent="0.3">
      <c r="A3709" t="s">
        <v>3733</v>
      </c>
      <c r="B3709" s="1">
        <v>45942</v>
      </c>
      <c r="C3709" t="s">
        <v>25</v>
      </c>
      <c r="D3709" t="s">
        <v>14</v>
      </c>
      <c r="E3709" s="2">
        <v>7.51</v>
      </c>
      <c r="F3709" s="3">
        <v>29.22</v>
      </c>
      <c r="G3709" s="4">
        <v>76.13</v>
      </c>
      <c r="H3709">
        <v>1.5</v>
      </c>
      <c r="I3709" s="4">
        <v>114.2</v>
      </c>
      <c r="J3709">
        <v>3.7</v>
      </c>
      <c r="K3709" t="s">
        <v>30</v>
      </c>
      <c r="L3709" t="s">
        <v>19</v>
      </c>
      <c r="O3709"/>
    </row>
    <row r="3710" spans="1:15" x14ac:dyDescent="0.3">
      <c r="A3710" t="s">
        <v>3734</v>
      </c>
      <c r="B3710" s="1">
        <v>45960</v>
      </c>
      <c r="C3710" t="s">
        <v>22</v>
      </c>
      <c r="D3710" t="s">
        <v>25</v>
      </c>
      <c r="E3710" s="2">
        <v>9.31</v>
      </c>
      <c r="F3710" s="3">
        <v>20.260000000000002</v>
      </c>
      <c r="G3710" s="4">
        <v>173.12</v>
      </c>
      <c r="H3710">
        <v>2</v>
      </c>
      <c r="I3710" s="4">
        <v>346.24</v>
      </c>
      <c r="J3710">
        <v>4.5</v>
      </c>
      <c r="K3710" t="s">
        <v>33</v>
      </c>
      <c r="L3710" t="s">
        <v>26</v>
      </c>
      <c r="O3710"/>
    </row>
    <row r="3711" spans="1:15" x14ac:dyDescent="0.3">
      <c r="A3711" t="s">
        <v>3735</v>
      </c>
      <c r="B3711" s="1">
        <v>45847</v>
      </c>
      <c r="C3711" t="s">
        <v>25</v>
      </c>
      <c r="D3711" t="s">
        <v>25</v>
      </c>
      <c r="E3711" s="2">
        <v>20.96</v>
      </c>
      <c r="F3711" s="3">
        <v>82.63</v>
      </c>
      <c r="G3711" s="4">
        <v>316.47000000000003</v>
      </c>
      <c r="H3711">
        <v>2</v>
      </c>
      <c r="I3711" s="4">
        <v>632.94000000000005</v>
      </c>
      <c r="J3711">
        <v>3.3</v>
      </c>
      <c r="K3711" t="s">
        <v>36</v>
      </c>
      <c r="L3711" t="s">
        <v>16</v>
      </c>
      <c r="O3711"/>
    </row>
    <row r="3712" spans="1:15" x14ac:dyDescent="0.3">
      <c r="A3712" t="s">
        <v>3736</v>
      </c>
      <c r="B3712" s="1">
        <v>45865</v>
      </c>
      <c r="C3712" t="s">
        <v>22</v>
      </c>
      <c r="D3712" t="s">
        <v>14</v>
      </c>
      <c r="E3712" s="2">
        <v>15.04</v>
      </c>
      <c r="F3712" s="3">
        <v>55.53</v>
      </c>
      <c r="G3712" s="4">
        <v>247.34</v>
      </c>
      <c r="H3712">
        <v>2</v>
      </c>
      <c r="I3712" s="4">
        <v>494.68</v>
      </c>
      <c r="J3712">
        <v>4.2</v>
      </c>
      <c r="K3712" t="s">
        <v>30</v>
      </c>
      <c r="L3712" t="s">
        <v>19</v>
      </c>
      <c r="O3712"/>
    </row>
    <row r="3713" spans="1:15" x14ac:dyDescent="0.3">
      <c r="A3713" t="s">
        <v>3737</v>
      </c>
      <c r="B3713" s="1">
        <v>45784</v>
      </c>
      <c r="C3713" t="s">
        <v>21</v>
      </c>
      <c r="D3713" t="s">
        <v>13</v>
      </c>
      <c r="E3713" s="2">
        <v>6.54</v>
      </c>
      <c r="F3713" s="3">
        <v>21.58</v>
      </c>
      <c r="G3713" s="4">
        <v>78.459999999999994</v>
      </c>
      <c r="H3713">
        <v>2</v>
      </c>
      <c r="I3713" s="4">
        <v>156.91999999999999</v>
      </c>
      <c r="J3713">
        <v>3.6</v>
      </c>
      <c r="K3713" t="s">
        <v>15</v>
      </c>
      <c r="L3713" t="s">
        <v>28</v>
      </c>
      <c r="O3713"/>
    </row>
    <row r="3714" spans="1:15" x14ac:dyDescent="0.3">
      <c r="A3714" t="s">
        <v>3738</v>
      </c>
      <c r="B3714" s="1">
        <v>45731</v>
      </c>
      <c r="C3714" t="s">
        <v>21</v>
      </c>
      <c r="D3714" t="s">
        <v>14</v>
      </c>
      <c r="E3714" s="2">
        <v>29.92</v>
      </c>
      <c r="F3714" s="3">
        <v>61.67</v>
      </c>
      <c r="G3714" s="4">
        <v>326.5</v>
      </c>
      <c r="H3714">
        <v>1</v>
      </c>
      <c r="I3714" s="4">
        <v>326.5</v>
      </c>
      <c r="J3714">
        <v>3.4</v>
      </c>
      <c r="K3714" t="s">
        <v>18</v>
      </c>
      <c r="L3714" t="s">
        <v>16</v>
      </c>
      <c r="O3714"/>
    </row>
    <row r="3715" spans="1:15" x14ac:dyDescent="0.3">
      <c r="A3715" t="s">
        <v>3739</v>
      </c>
      <c r="B3715" s="1">
        <v>45936</v>
      </c>
      <c r="C3715" t="s">
        <v>14</v>
      </c>
      <c r="D3715" t="s">
        <v>13</v>
      </c>
      <c r="E3715" s="2">
        <v>24.83</v>
      </c>
      <c r="F3715" s="3">
        <v>91.58</v>
      </c>
      <c r="G3715" s="4">
        <v>431.29</v>
      </c>
      <c r="H3715">
        <v>2</v>
      </c>
      <c r="I3715" s="4">
        <v>862.58</v>
      </c>
      <c r="J3715">
        <v>4.8</v>
      </c>
      <c r="K3715" t="s">
        <v>33</v>
      </c>
      <c r="L3715" t="s">
        <v>28</v>
      </c>
      <c r="O3715"/>
    </row>
    <row r="3716" spans="1:15" x14ac:dyDescent="0.3">
      <c r="A3716" t="s">
        <v>3740</v>
      </c>
      <c r="B3716" s="1">
        <v>45878</v>
      </c>
      <c r="C3716" t="s">
        <v>22</v>
      </c>
      <c r="D3716" t="s">
        <v>13</v>
      </c>
      <c r="E3716" s="2">
        <v>3.56</v>
      </c>
      <c r="F3716" s="3">
        <v>7.53</v>
      </c>
      <c r="G3716" s="4">
        <v>65.94</v>
      </c>
      <c r="H3716">
        <v>1</v>
      </c>
      <c r="I3716" s="4">
        <v>65.94</v>
      </c>
      <c r="J3716">
        <v>4.8</v>
      </c>
      <c r="K3716" t="s">
        <v>18</v>
      </c>
      <c r="L3716" t="s">
        <v>28</v>
      </c>
      <c r="O3716"/>
    </row>
    <row r="3717" spans="1:15" x14ac:dyDescent="0.3">
      <c r="A3717" t="s">
        <v>3741</v>
      </c>
      <c r="B3717" s="1">
        <v>45789</v>
      </c>
      <c r="C3717" t="s">
        <v>25</v>
      </c>
      <c r="D3717" t="s">
        <v>25</v>
      </c>
      <c r="E3717" s="2">
        <v>10.85</v>
      </c>
      <c r="F3717" s="3">
        <v>29.94</v>
      </c>
      <c r="G3717" s="4">
        <v>212.46</v>
      </c>
      <c r="H3717">
        <v>1</v>
      </c>
      <c r="I3717" s="4">
        <v>212.46</v>
      </c>
      <c r="J3717">
        <v>4.5999999999999996</v>
      </c>
      <c r="K3717" t="s">
        <v>15</v>
      </c>
      <c r="L3717" t="s">
        <v>19</v>
      </c>
      <c r="O3717"/>
    </row>
    <row r="3718" spans="1:15" x14ac:dyDescent="0.3">
      <c r="A3718" t="s">
        <v>3742</v>
      </c>
      <c r="B3718" s="1">
        <v>45895</v>
      </c>
      <c r="C3718" t="s">
        <v>13</v>
      </c>
      <c r="D3718" t="s">
        <v>22</v>
      </c>
      <c r="E3718" s="2">
        <v>9.98</v>
      </c>
      <c r="F3718" s="3">
        <v>20.74</v>
      </c>
      <c r="G3718" s="4">
        <v>173.91</v>
      </c>
      <c r="H3718">
        <v>2</v>
      </c>
      <c r="I3718" s="4">
        <v>347.82</v>
      </c>
      <c r="J3718">
        <v>3.9</v>
      </c>
      <c r="K3718" t="s">
        <v>18</v>
      </c>
      <c r="L3718" t="s">
        <v>28</v>
      </c>
      <c r="O3718"/>
    </row>
    <row r="3719" spans="1:15" x14ac:dyDescent="0.3">
      <c r="A3719" t="s">
        <v>3743</v>
      </c>
      <c r="B3719" s="1">
        <v>45764</v>
      </c>
      <c r="C3719" t="s">
        <v>22</v>
      </c>
      <c r="D3719" t="s">
        <v>25</v>
      </c>
      <c r="E3719" s="2">
        <v>15.83</v>
      </c>
      <c r="F3719" s="3">
        <v>43.84</v>
      </c>
      <c r="G3719" s="4">
        <v>191.68</v>
      </c>
      <c r="H3719">
        <v>1</v>
      </c>
      <c r="I3719" s="4">
        <v>191.68</v>
      </c>
      <c r="J3719">
        <v>3.6</v>
      </c>
      <c r="K3719" t="s">
        <v>15</v>
      </c>
      <c r="L3719" t="s">
        <v>26</v>
      </c>
      <c r="O3719"/>
    </row>
    <row r="3720" spans="1:15" x14ac:dyDescent="0.3">
      <c r="A3720" t="s">
        <v>3744</v>
      </c>
      <c r="B3720" s="1">
        <v>45913</v>
      </c>
      <c r="C3720" t="s">
        <v>22</v>
      </c>
      <c r="D3720" t="s">
        <v>21</v>
      </c>
      <c r="E3720" s="2">
        <v>24.17</v>
      </c>
      <c r="F3720" s="3">
        <v>75.48</v>
      </c>
      <c r="G3720" s="4">
        <v>442.8</v>
      </c>
      <c r="H3720">
        <v>1.2</v>
      </c>
      <c r="I3720" s="4">
        <v>531.36</v>
      </c>
      <c r="J3720">
        <v>4.0999999999999996</v>
      </c>
      <c r="K3720" t="s">
        <v>33</v>
      </c>
      <c r="L3720" t="s">
        <v>19</v>
      </c>
      <c r="O3720"/>
    </row>
    <row r="3721" spans="1:15" x14ac:dyDescent="0.3">
      <c r="A3721" t="s">
        <v>3745</v>
      </c>
      <c r="B3721" s="1">
        <v>45978</v>
      </c>
      <c r="C3721" t="s">
        <v>22</v>
      </c>
      <c r="D3721" t="s">
        <v>14</v>
      </c>
      <c r="E3721" s="2">
        <v>2.4900000000000002</v>
      </c>
      <c r="F3721" s="3">
        <v>9.7100000000000009</v>
      </c>
      <c r="G3721" s="4">
        <v>42.4</v>
      </c>
      <c r="H3721">
        <v>2</v>
      </c>
      <c r="I3721" s="4">
        <v>84.8</v>
      </c>
      <c r="J3721">
        <v>3.8</v>
      </c>
      <c r="K3721" t="s">
        <v>15</v>
      </c>
      <c r="L3721" t="s">
        <v>19</v>
      </c>
      <c r="O3721"/>
    </row>
    <row r="3722" spans="1:15" x14ac:dyDescent="0.3">
      <c r="A3722" t="s">
        <v>3746</v>
      </c>
      <c r="B3722" s="1">
        <v>45961</v>
      </c>
      <c r="C3722" t="s">
        <v>21</v>
      </c>
      <c r="D3722" t="s">
        <v>25</v>
      </c>
      <c r="E3722" s="2">
        <v>27.18</v>
      </c>
      <c r="F3722" s="3">
        <v>102.83</v>
      </c>
      <c r="G3722" s="4">
        <v>491.62</v>
      </c>
      <c r="H3722">
        <v>2</v>
      </c>
      <c r="I3722" s="4">
        <v>983.24</v>
      </c>
      <c r="J3722">
        <v>5</v>
      </c>
      <c r="K3722" t="s">
        <v>33</v>
      </c>
      <c r="L3722" t="s">
        <v>26</v>
      </c>
      <c r="O3722"/>
    </row>
    <row r="3723" spans="1:15" x14ac:dyDescent="0.3">
      <c r="A3723" t="s">
        <v>3747</v>
      </c>
      <c r="B3723" s="1">
        <v>45861</v>
      </c>
      <c r="C3723" t="s">
        <v>21</v>
      </c>
      <c r="D3723" t="s">
        <v>25</v>
      </c>
      <c r="E3723" s="2">
        <v>1.82</v>
      </c>
      <c r="F3723" s="3">
        <v>3.96</v>
      </c>
      <c r="G3723" s="4">
        <v>30.02</v>
      </c>
      <c r="H3723">
        <v>2</v>
      </c>
      <c r="I3723" s="4">
        <v>60.04</v>
      </c>
      <c r="J3723">
        <v>3.7</v>
      </c>
      <c r="K3723" t="s">
        <v>33</v>
      </c>
      <c r="L3723" t="s">
        <v>28</v>
      </c>
      <c r="O3723"/>
    </row>
    <row r="3724" spans="1:15" x14ac:dyDescent="0.3">
      <c r="A3724" t="s">
        <v>3748</v>
      </c>
      <c r="B3724" s="1">
        <v>45792</v>
      </c>
      <c r="C3724" t="s">
        <v>14</v>
      </c>
      <c r="D3724" t="s">
        <v>25</v>
      </c>
      <c r="E3724" s="2">
        <v>7.7</v>
      </c>
      <c r="F3724" s="3">
        <v>25.4</v>
      </c>
      <c r="G3724" s="4">
        <v>95.7</v>
      </c>
      <c r="H3724">
        <v>1</v>
      </c>
      <c r="I3724" s="4">
        <v>95.7</v>
      </c>
      <c r="J3724">
        <v>4.5999999999999996</v>
      </c>
      <c r="K3724" t="s">
        <v>33</v>
      </c>
      <c r="L3724" t="s">
        <v>16</v>
      </c>
      <c r="O3724"/>
    </row>
    <row r="3725" spans="1:15" x14ac:dyDescent="0.3">
      <c r="A3725" t="s">
        <v>3749</v>
      </c>
      <c r="B3725" s="1">
        <v>45751</v>
      </c>
      <c r="C3725" t="s">
        <v>21</v>
      </c>
      <c r="D3725" t="s">
        <v>14</v>
      </c>
      <c r="E3725" s="2">
        <v>6.15</v>
      </c>
      <c r="F3725" s="3">
        <v>23.08</v>
      </c>
      <c r="G3725" s="4">
        <v>93.84</v>
      </c>
      <c r="H3725">
        <v>1.2</v>
      </c>
      <c r="I3725" s="4">
        <v>112.61</v>
      </c>
      <c r="J3725">
        <v>3.7</v>
      </c>
      <c r="K3725" t="s">
        <v>18</v>
      </c>
      <c r="L3725" t="s">
        <v>19</v>
      </c>
      <c r="O3725"/>
    </row>
    <row r="3726" spans="1:15" x14ac:dyDescent="0.3">
      <c r="A3726" t="s">
        <v>3750</v>
      </c>
      <c r="B3726" s="1">
        <v>45881</v>
      </c>
      <c r="C3726" t="s">
        <v>25</v>
      </c>
      <c r="D3726" t="s">
        <v>22</v>
      </c>
      <c r="E3726" s="2">
        <v>6</v>
      </c>
      <c r="F3726" s="3">
        <v>12.22</v>
      </c>
      <c r="G3726" s="4">
        <v>65.63</v>
      </c>
      <c r="H3726">
        <v>1.5</v>
      </c>
      <c r="I3726" s="4">
        <v>98.44</v>
      </c>
      <c r="J3726">
        <v>4.0999999999999996</v>
      </c>
      <c r="K3726" t="s">
        <v>36</v>
      </c>
      <c r="L3726" t="s">
        <v>16</v>
      </c>
      <c r="O3726"/>
    </row>
    <row r="3727" spans="1:15" x14ac:dyDescent="0.3">
      <c r="A3727" t="s">
        <v>3751</v>
      </c>
      <c r="B3727" s="1">
        <v>45979</v>
      </c>
      <c r="C3727" t="s">
        <v>21</v>
      </c>
      <c r="D3727" t="s">
        <v>25</v>
      </c>
      <c r="E3727" s="2">
        <v>27.01</v>
      </c>
      <c r="F3727" s="3">
        <v>103.26</v>
      </c>
      <c r="G3727" s="4">
        <v>523.28</v>
      </c>
      <c r="H3727">
        <v>1</v>
      </c>
      <c r="I3727" s="4">
        <v>523.28</v>
      </c>
      <c r="J3727">
        <v>4.4000000000000004</v>
      </c>
      <c r="K3727" t="s">
        <v>18</v>
      </c>
      <c r="L3727" t="s">
        <v>19</v>
      </c>
      <c r="O3727"/>
    </row>
    <row r="3728" spans="1:15" x14ac:dyDescent="0.3">
      <c r="A3728" t="s">
        <v>3752</v>
      </c>
      <c r="B3728" s="1">
        <v>45669</v>
      </c>
      <c r="C3728" t="s">
        <v>13</v>
      </c>
      <c r="D3728" t="s">
        <v>25</v>
      </c>
      <c r="E3728" s="2">
        <v>16.37</v>
      </c>
      <c r="F3728" s="3">
        <v>37.020000000000003</v>
      </c>
      <c r="G3728" s="4">
        <v>186.14</v>
      </c>
      <c r="H3728">
        <v>2</v>
      </c>
      <c r="I3728" s="4">
        <v>372.28</v>
      </c>
      <c r="J3728">
        <v>4</v>
      </c>
      <c r="K3728" t="s">
        <v>18</v>
      </c>
      <c r="L3728" t="s">
        <v>16</v>
      </c>
      <c r="O3728"/>
    </row>
    <row r="3729" spans="1:15" x14ac:dyDescent="0.3">
      <c r="A3729" t="s">
        <v>3753</v>
      </c>
      <c r="B3729" s="1">
        <v>45890</v>
      </c>
      <c r="C3729" t="s">
        <v>14</v>
      </c>
      <c r="D3729" t="s">
        <v>25</v>
      </c>
      <c r="E3729" s="2">
        <v>25.2</v>
      </c>
      <c r="F3729" s="3">
        <v>64.34</v>
      </c>
      <c r="G3729" s="4">
        <v>369.45</v>
      </c>
      <c r="H3729">
        <v>1.5</v>
      </c>
      <c r="I3729" s="4">
        <v>554.16999999999996</v>
      </c>
      <c r="J3729">
        <v>4.9000000000000004</v>
      </c>
      <c r="K3729" t="s">
        <v>33</v>
      </c>
      <c r="L3729" t="s">
        <v>26</v>
      </c>
      <c r="O3729"/>
    </row>
    <row r="3730" spans="1:15" x14ac:dyDescent="0.3">
      <c r="A3730" t="s">
        <v>3754</v>
      </c>
      <c r="B3730" s="1">
        <v>45818</v>
      </c>
      <c r="C3730" t="s">
        <v>13</v>
      </c>
      <c r="D3730" t="s">
        <v>21</v>
      </c>
      <c r="E3730" s="2">
        <v>10.5</v>
      </c>
      <c r="F3730" s="3">
        <v>30.33</v>
      </c>
      <c r="G3730" s="4">
        <v>152.79</v>
      </c>
      <c r="H3730">
        <v>1.2</v>
      </c>
      <c r="I3730" s="4">
        <v>183.35</v>
      </c>
      <c r="J3730">
        <v>3.7</v>
      </c>
      <c r="K3730" t="s">
        <v>15</v>
      </c>
      <c r="L3730" t="s">
        <v>28</v>
      </c>
      <c r="O3730"/>
    </row>
    <row r="3731" spans="1:15" x14ac:dyDescent="0.3">
      <c r="A3731" t="s">
        <v>3755</v>
      </c>
      <c r="B3731" s="1">
        <v>45818</v>
      </c>
      <c r="C3731" t="s">
        <v>25</v>
      </c>
      <c r="D3731" t="s">
        <v>14</v>
      </c>
      <c r="E3731" s="2">
        <v>1.79</v>
      </c>
      <c r="F3731" s="3">
        <v>6.12</v>
      </c>
      <c r="G3731" s="4">
        <v>33.74</v>
      </c>
      <c r="H3731">
        <v>2</v>
      </c>
      <c r="I3731" s="4">
        <v>67.48</v>
      </c>
      <c r="J3731">
        <v>4.9000000000000004</v>
      </c>
      <c r="K3731" t="s">
        <v>30</v>
      </c>
      <c r="L3731" t="s">
        <v>26</v>
      </c>
      <c r="O3731"/>
    </row>
    <row r="3732" spans="1:15" x14ac:dyDescent="0.3">
      <c r="A3732" t="s">
        <v>3756</v>
      </c>
      <c r="B3732" s="1">
        <v>45729</v>
      </c>
      <c r="C3732" t="s">
        <v>22</v>
      </c>
      <c r="D3732" t="s">
        <v>14</v>
      </c>
      <c r="E3732" s="2">
        <v>5.73</v>
      </c>
      <c r="F3732" s="3">
        <v>13.99</v>
      </c>
      <c r="G3732" s="4">
        <v>70.78</v>
      </c>
      <c r="H3732">
        <v>2</v>
      </c>
      <c r="I3732" s="4">
        <v>141.56</v>
      </c>
      <c r="J3732">
        <v>3.4</v>
      </c>
      <c r="K3732" t="s">
        <v>33</v>
      </c>
      <c r="L3732" t="s">
        <v>26</v>
      </c>
      <c r="O3732"/>
    </row>
    <row r="3733" spans="1:15" x14ac:dyDescent="0.3">
      <c r="A3733" t="s">
        <v>3757</v>
      </c>
      <c r="B3733" s="1">
        <v>45773</v>
      </c>
      <c r="C3733" t="s">
        <v>25</v>
      </c>
      <c r="D3733" t="s">
        <v>22</v>
      </c>
      <c r="E3733" s="2">
        <v>16.13</v>
      </c>
      <c r="F3733" s="3">
        <v>38.46</v>
      </c>
      <c r="G3733" s="4">
        <v>204.22</v>
      </c>
      <c r="H3733">
        <v>1</v>
      </c>
      <c r="I3733" s="4">
        <v>204.22</v>
      </c>
      <c r="J3733">
        <v>4.5999999999999996</v>
      </c>
      <c r="K3733" t="s">
        <v>30</v>
      </c>
      <c r="L3733" t="s">
        <v>16</v>
      </c>
      <c r="O3733"/>
    </row>
    <row r="3734" spans="1:15" x14ac:dyDescent="0.3">
      <c r="A3734" t="s">
        <v>3758</v>
      </c>
      <c r="B3734" s="1">
        <v>45779</v>
      </c>
      <c r="C3734" t="s">
        <v>14</v>
      </c>
      <c r="D3734" t="s">
        <v>21</v>
      </c>
      <c r="E3734" s="2">
        <v>13.76</v>
      </c>
      <c r="F3734" s="3">
        <v>38.32</v>
      </c>
      <c r="G3734" s="4">
        <v>215.31</v>
      </c>
      <c r="H3734">
        <v>2</v>
      </c>
      <c r="I3734" s="4">
        <v>430.62</v>
      </c>
      <c r="J3734">
        <v>4.0999999999999996</v>
      </c>
      <c r="K3734" t="s">
        <v>18</v>
      </c>
      <c r="L3734" t="s">
        <v>16</v>
      </c>
      <c r="O3734"/>
    </row>
    <row r="3735" spans="1:15" x14ac:dyDescent="0.3">
      <c r="A3735" t="s">
        <v>3759</v>
      </c>
      <c r="B3735" s="1">
        <v>45794</v>
      </c>
      <c r="C3735" t="s">
        <v>13</v>
      </c>
      <c r="D3735" t="s">
        <v>14</v>
      </c>
      <c r="E3735" s="2">
        <v>1.71</v>
      </c>
      <c r="F3735" s="3">
        <v>4.28</v>
      </c>
      <c r="G3735" s="4">
        <v>18.670000000000002</v>
      </c>
      <c r="H3735">
        <v>2</v>
      </c>
      <c r="I3735" s="4">
        <v>37.340000000000003</v>
      </c>
      <c r="J3735">
        <v>3.7</v>
      </c>
      <c r="K3735" t="s">
        <v>36</v>
      </c>
      <c r="L3735" t="s">
        <v>16</v>
      </c>
      <c r="O3735"/>
    </row>
    <row r="3736" spans="1:15" x14ac:dyDescent="0.3">
      <c r="A3736" t="s">
        <v>3760</v>
      </c>
      <c r="B3736" s="1">
        <v>45875</v>
      </c>
      <c r="C3736" t="s">
        <v>21</v>
      </c>
      <c r="D3736" t="s">
        <v>21</v>
      </c>
      <c r="E3736" s="2">
        <v>21.77</v>
      </c>
      <c r="F3736" s="3">
        <v>70.14</v>
      </c>
      <c r="G3736" s="4">
        <v>403.29</v>
      </c>
      <c r="H3736">
        <v>1</v>
      </c>
      <c r="I3736" s="4">
        <v>403.29</v>
      </c>
      <c r="J3736">
        <v>4.4000000000000004</v>
      </c>
      <c r="K3736" t="s">
        <v>15</v>
      </c>
      <c r="L3736" t="s">
        <v>28</v>
      </c>
      <c r="O3736"/>
    </row>
    <row r="3737" spans="1:15" x14ac:dyDescent="0.3">
      <c r="A3737" t="s">
        <v>3761</v>
      </c>
      <c r="B3737" s="1">
        <v>45742</v>
      </c>
      <c r="C3737" t="s">
        <v>21</v>
      </c>
      <c r="D3737" t="s">
        <v>25</v>
      </c>
      <c r="E3737" s="2">
        <v>12.58</v>
      </c>
      <c r="F3737" s="3">
        <v>35.25</v>
      </c>
      <c r="G3737" s="4">
        <v>176.79</v>
      </c>
      <c r="H3737">
        <v>1.5</v>
      </c>
      <c r="I3737" s="4">
        <v>265.18</v>
      </c>
      <c r="J3737">
        <v>4.9000000000000004</v>
      </c>
      <c r="K3737" t="s">
        <v>18</v>
      </c>
      <c r="L3737" t="s">
        <v>19</v>
      </c>
      <c r="O3737"/>
    </row>
    <row r="3738" spans="1:15" x14ac:dyDescent="0.3">
      <c r="A3738" t="s">
        <v>3762</v>
      </c>
      <c r="B3738" s="1">
        <v>45976</v>
      </c>
      <c r="C3738" t="s">
        <v>14</v>
      </c>
      <c r="D3738" t="s">
        <v>21</v>
      </c>
      <c r="E3738" s="2">
        <v>5.0199999999999996</v>
      </c>
      <c r="F3738" s="3">
        <v>13.46</v>
      </c>
      <c r="G3738" s="4">
        <v>66.23</v>
      </c>
      <c r="H3738">
        <v>1</v>
      </c>
      <c r="I3738" s="4">
        <v>66.23</v>
      </c>
      <c r="J3738">
        <v>4.5999999999999996</v>
      </c>
      <c r="K3738" t="s">
        <v>18</v>
      </c>
      <c r="L3738" t="s">
        <v>28</v>
      </c>
      <c r="O3738"/>
    </row>
    <row r="3739" spans="1:15" x14ac:dyDescent="0.3">
      <c r="A3739" t="s">
        <v>3763</v>
      </c>
      <c r="B3739" s="1">
        <v>45706</v>
      </c>
      <c r="C3739" t="s">
        <v>14</v>
      </c>
      <c r="D3739" t="s">
        <v>14</v>
      </c>
      <c r="E3739" s="2">
        <v>9.48</v>
      </c>
      <c r="F3739" s="3">
        <v>35.39</v>
      </c>
      <c r="G3739" s="4">
        <v>126.98</v>
      </c>
      <c r="H3739">
        <v>1.5</v>
      </c>
      <c r="I3739" s="4">
        <v>190.47</v>
      </c>
      <c r="J3739">
        <v>4.3</v>
      </c>
      <c r="K3739" t="s">
        <v>18</v>
      </c>
      <c r="L3739" t="s">
        <v>16</v>
      </c>
      <c r="O3739"/>
    </row>
    <row r="3740" spans="1:15" x14ac:dyDescent="0.3">
      <c r="A3740" t="s">
        <v>3764</v>
      </c>
      <c r="B3740" s="1">
        <v>45881</v>
      </c>
      <c r="C3740" t="s">
        <v>21</v>
      </c>
      <c r="D3740" t="s">
        <v>13</v>
      </c>
      <c r="E3740" s="2">
        <v>5.0199999999999996</v>
      </c>
      <c r="F3740" s="3">
        <v>11.96</v>
      </c>
      <c r="G3740" s="4">
        <v>58.01</v>
      </c>
      <c r="H3740">
        <v>1</v>
      </c>
      <c r="I3740" s="4">
        <v>58.01</v>
      </c>
      <c r="J3740">
        <v>3.4</v>
      </c>
      <c r="K3740" t="s">
        <v>15</v>
      </c>
      <c r="L3740" t="s">
        <v>19</v>
      </c>
      <c r="O3740"/>
    </row>
    <row r="3741" spans="1:15" x14ac:dyDescent="0.3">
      <c r="A3741" t="s">
        <v>3765</v>
      </c>
      <c r="B3741" s="1">
        <v>45877</v>
      </c>
      <c r="C3741" t="s">
        <v>21</v>
      </c>
      <c r="D3741" t="s">
        <v>14</v>
      </c>
      <c r="E3741" s="2">
        <v>20.02</v>
      </c>
      <c r="F3741" s="3">
        <v>72.22</v>
      </c>
      <c r="G3741" s="4">
        <v>286.85000000000002</v>
      </c>
      <c r="H3741">
        <v>1.2</v>
      </c>
      <c r="I3741" s="4">
        <v>344.22</v>
      </c>
      <c r="J3741">
        <v>4.5999999999999996</v>
      </c>
      <c r="K3741" t="s">
        <v>33</v>
      </c>
      <c r="L3741" t="s">
        <v>16</v>
      </c>
      <c r="O3741"/>
    </row>
    <row r="3742" spans="1:15" x14ac:dyDescent="0.3">
      <c r="A3742" t="s">
        <v>3766</v>
      </c>
      <c r="B3742" s="1">
        <v>45665</v>
      </c>
      <c r="C3742" t="s">
        <v>25</v>
      </c>
      <c r="D3742" t="s">
        <v>25</v>
      </c>
      <c r="E3742" s="2">
        <v>17.52</v>
      </c>
      <c r="F3742" s="3">
        <v>42.35</v>
      </c>
      <c r="G3742" s="4">
        <v>235.33</v>
      </c>
      <c r="H3742">
        <v>1.5</v>
      </c>
      <c r="I3742" s="4">
        <v>353</v>
      </c>
      <c r="J3742">
        <v>4.8</v>
      </c>
      <c r="K3742" t="s">
        <v>18</v>
      </c>
      <c r="L3742" t="s">
        <v>26</v>
      </c>
      <c r="O3742"/>
    </row>
    <row r="3743" spans="1:15" x14ac:dyDescent="0.3">
      <c r="A3743" t="s">
        <v>3767</v>
      </c>
      <c r="B3743" s="1">
        <v>45916</v>
      </c>
      <c r="C3743" t="s">
        <v>14</v>
      </c>
      <c r="D3743" t="s">
        <v>25</v>
      </c>
      <c r="E3743" s="2">
        <v>29.98</v>
      </c>
      <c r="F3743" s="3">
        <v>99.09</v>
      </c>
      <c r="G3743" s="4">
        <v>411.45</v>
      </c>
      <c r="H3743">
        <v>2</v>
      </c>
      <c r="I3743" s="4">
        <v>822.9</v>
      </c>
      <c r="J3743">
        <v>3.8</v>
      </c>
      <c r="K3743" t="s">
        <v>33</v>
      </c>
      <c r="L3743" t="s">
        <v>16</v>
      </c>
      <c r="O3743"/>
    </row>
    <row r="3744" spans="1:15" x14ac:dyDescent="0.3">
      <c r="A3744" t="s">
        <v>3768</v>
      </c>
      <c r="B3744" s="1">
        <v>45779</v>
      </c>
      <c r="C3744" t="s">
        <v>21</v>
      </c>
      <c r="D3744" t="s">
        <v>22</v>
      </c>
      <c r="E3744" s="2">
        <v>26.27</v>
      </c>
      <c r="F3744" s="3">
        <v>77.36</v>
      </c>
      <c r="G3744" s="4">
        <v>355.54</v>
      </c>
      <c r="H3744">
        <v>1.5</v>
      </c>
      <c r="I3744" s="4">
        <v>533.30999999999995</v>
      </c>
      <c r="J3744">
        <v>4.9000000000000004</v>
      </c>
      <c r="K3744" t="s">
        <v>15</v>
      </c>
      <c r="L3744" t="s">
        <v>19</v>
      </c>
      <c r="O3744"/>
    </row>
    <row r="3745" spans="1:15" x14ac:dyDescent="0.3">
      <c r="A3745" t="s">
        <v>3769</v>
      </c>
      <c r="B3745" s="1">
        <v>46018</v>
      </c>
      <c r="C3745" t="s">
        <v>14</v>
      </c>
      <c r="D3745" t="s">
        <v>13</v>
      </c>
      <c r="E3745" s="2">
        <v>4.46</v>
      </c>
      <c r="F3745" s="3">
        <v>11.69</v>
      </c>
      <c r="G3745" s="4">
        <v>63.97</v>
      </c>
      <c r="H3745">
        <v>1.2</v>
      </c>
      <c r="I3745" s="4">
        <v>76.760000000000005</v>
      </c>
      <c r="J3745">
        <v>4.2</v>
      </c>
      <c r="K3745" t="s">
        <v>33</v>
      </c>
      <c r="L3745" t="s">
        <v>28</v>
      </c>
      <c r="O3745"/>
    </row>
    <row r="3746" spans="1:15" x14ac:dyDescent="0.3">
      <c r="A3746" t="s">
        <v>3770</v>
      </c>
      <c r="B3746" s="1">
        <v>45920</v>
      </c>
      <c r="C3746" t="s">
        <v>21</v>
      </c>
      <c r="D3746" t="s">
        <v>22</v>
      </c>
      <c r="E3746" s="2">
        <v>1.18</v>
      </c>
      <c r="F3746" s="3">
        <v>3.85</v>
      </c>
      <c r="G3746" s="4">
        <v>19.05</v>
      </c>
      <c r="H3746">
        <v>1</v>
      </c>
      <c r="I3746" s="4">
        <v>19.05</v>
      </c>
      <c r="J3746">
        <v>3.4</v>
      </c>
      <c r="K3746" t="s">
        <v>36</v>
      </c>
      <c r="L3746" t="s">
        <v>19</v>
      </c>
      <c r="O3746"/>
    </row>
    <row r="3747" spans="1:15" x14ac:dyDescent="0.3">
      <c r="A3747" t="s">
        <v>3771</v>
      </c>
      <c r="B3747" s="1">
        <v>46012</v>
      </c>
      <c r="C3747" t="s">
        <v>13</v>
      </c>
      <c r="D3747" t="s">
        <v>13</v>
      </c>
      <c r="E3747" s="2">
        <v>1.74</v>
      </c>
      <c r="F3747" s="3">
        <v>4.24</v>
      </c>
      <c r="G3747" s="4">
        <v>29.44</v>
      </c>
      <c r="H3747">
        <v>1.5</v>
      </c>
      <c r="I3747" s="4">
        <v>44.16</v>
      </c>
      <c r="J3747">
        <v>4.5</v>
      </c>
      <c r="K3747" t="s">
        <v>36</v>
      </c>
      <c r="L3747" t="s">
        <v>26</v>
      </c>
      <c r="O3747"/>
    </row>
    <row r="3748" spans="1:15" x14ac:dyDescent="0.3">
      <c r="A3748" t="s">
        <v>3772</v>
      </c>
      <c r="B3748" s="1">
        <v>45889</v>
      </c>
      <c r="C3748" t="s">
        <v>21</v>
      </c>
      <c r="D3748" t="s">
        <v>21</v>
      </c>
      <c r="E3748" s="2">
        <v>18.91</v>
      </c>
      <c r="F3748" s="3">
        <v>57.42</v>
      </c>
      <c r="G3748" s="4">
        <v>333.06</v>
      </c>
      <c r="H3748">
        <v>1</v>
      </c>
      <c r="I3748" s="4">
        <v>333.06</v>
      </c>
      <c r="J3748">
        <v>4.0999999999999996</v>
      </c>
      <c r="K3748" t="s">
        <v>36</v>
      </c>
      <c r="L3748" t="s">
        <v>28</v>
      </c>
      <c r="O3748"/>
    </row>
    <row r="3749" spans="1:15" x14ac:dyDescent="0.3">
      <c r="A3749" t="s">
        <v>3773</v>
      </c>
      <c r="B3749" s="1">
        <v>45944</v>
      </c>
      <c r="C3749" t="s">
        <v>14</v>
      </c>
      <c r="D3749" t="s">
        <v>25</v>
      </c>
      <c r="E3749" s="2">
        <v>2.65</v>
      </c>
      <c r="F3749" s="3">
        <v>5.51</v>
      </c>
      <c r="G3749" s="4">
        <v>52.66</v>
      </c>
      <c r="H3749">
        <v>1.5</v>
      </c>
      <c r="I3749" s="4">
        <v>78.989999999999995</v>
      </c>
      <c r="J3749">
        <v>3.1</v>
      </c>
      <c r="K3749" t="s">
        <v>30</v>
      </c>
      <c r="L3749" t="s">
        <v>28</v>
      </c>
      <c r="O3749"/>
    </row>
    <row r="3750" spans="1:15" x14ac:dyDescent="0.3">
      <c r="A3750" t="s">
        <v>3774</v>
      </c>
      <c r="B3750" s="1">
        <v>45820</v>
      </c>
      <c r="C3750" t="s">
        <v>25</v>
      </c>
      <c r="D3750" t="s">
        <v>22</v>
      </c>
      <c r="E3750" s="2">
        <v>3.8</v>
      </c>
      <c r="F3750" s="3">
        <v>8.1300000000000008</v>
      </c>
      <c r="G3750" s="4">
        <v>44.09</v>
      </c>
      <c r="H3750">
        <v>1</v>
      </c>
      <c r="I3750" s="4">
        <v>44.09</v>
      </c>
      <c r="J3750">
        <v>3.4</v>
      </c>
      <c r="K3750" t="s">
        <v>18</v>
      </c>
      <c r="L3750" t="s">
        <v>19</v>
      </c>
      <c r="O3750"/>
    </row>
    <row r="3751" spans="1:15" x14ac:dyDescent="0.3">
      <c r="A3751" t="s">
        <v>3775</v>
      </c>
      <c r="B3751" s="1">
        <v>45837</v>
      </c>
      <c r="C3751" t="s">
        <v>22</v>
      </c>
      <c r="D3751" t="s">
        <v>14</v>
      </c>
      <c r="E3751" s="2">
        <v>13.94</v>
      </c>
      <c r="F3751" s="3">
        <v>43.54</v>
      </c>
      <c r="G3751" s="4">
        <v>139.44999999999999</v>
      </c>
      <c r="H3751">
        <v>1.5</v>
      </c>
      <c r="I3751" s="4">
        <v>209.18</v>
      </c>
      <c r="J3751">
        <v>5</v>
      </c>
      <c r="K3751" t="s">
        <v>30</v>
      </c>
      <c r="L3751" t="s">
        <v>19</v>
      </c>
      <c r="O3751"/>
    </row>
    <row r="3752" spans="1:15" x14ac:dyDescent="0.3">
      <c r="A3752" t="s">
        <v>3776</v>
      </c>
      <c r="B3752" s="1">
        <v>45766</v>
      </c>
      <c r="C3752" t="s">
        <v>14</v>
      </c>
      <c r="D3752" t="s">
        <v>22</v>
      </c>
      <c r="E3752" s="2">
        <v>2.5499999999999998</v>
      </c>
      <c r="F3752" s="3">
        <v>5.78</v>
      </c>
      <c r="G3752" s="4">
        <v>31.41</v>
      </c>
      <c r="H3752">
        <v>1.5</v>
      </c>
      <c r="I3752" s="4">
        <v>47.12</v>
      </c>
      <c r="J3752">
        <v>4.5</v>
      </c>
      <c r="K3752" t="s">
        <v>18</v>
      </c>
      <c r="L3752" t="s">
        <v>28</v>
      </c>
      <c r="O3752"/>
    </row>
    <row r="3753" spans="1:15" x14ac:dyDescent="0.3">
      <c r="A3753" t="s">
        <v>3777</v>
      </c>
      <c r="B3753" s="1">
        <v>45795</v>
      </c>
      <c r="C3753" t="s">
        <v>14</v>
      </c>
      <c r="D3753" t="s">
        <v>14</v>
      </c>
      <c r="E3753" s="2">
        <v>4.8499999999999996</v>
      </c>
      <c r="F3753" s="3">
        <v>16.86</v>
      </c>
      <c r="G3753" s="4">
        <v>89.97</v>
      </c>
      <c r="H3753">
        <v>2</v>
      </c>
      <c r="I3753" s="4">
        <v>179.94</v>
      </c>
      <c r="J3753">
        <v>4.9000000000000004</v>
      </c>
      <c r="K3753" t="s">
        <v>33</v>
      </c>
      <c r="L3753" t="s">
        <v>16</v>
      </c>
      <c r="O3753"/>
    </row>
    <row r="3754" spans="1:15" x14ac:dyDescent="0.3">
      <c r="A3754" t="s">
        <v>3778</v>
      </c>
      <c r="B3754" s="1">
        <v>45926</v>
      </c>
      <c r="C3754" t="s">
        <v>13</v>
      </c>
      <c r="D3754" t="s">
        <v>14</v>
      </c>
      <c r="E3754" s="2">
        <v>13.78</v>
      </c>
      <c r="F3754" s="3">
        <v>45.75</v>
      </c>
      <c r="G3754" s="4">
        <v>272.64</v>
      </c>
      <c r="H3754">
        <v>2</v>
      </c>
      <c r="I3754" s="4">
        <v>545.28</v>
      </c>
      <c r="J3754">
        <v>3.7</v>
      </c>
      <c r="K3754" t="s">
        <v>30</v>
      </c>
      <c r="L3754" t="s">
        <v>28</v>
      </c>
      <c r="O3754"/>
    </row>
    <row r="3755" spans="1:15" x14ac:dyDescent="0.3">
      <c r="A3755" t="s">
        <v>3779</v>
      </c>
      <c r="B3755" s="1">
        <v>45672</v>
      </c>
      <c r="C3755" t="s">
        <v>25</v>
      </c>
      <c r="D3755" t="s">
        <v>21</v>
      </c>
      <c r="E3755" s="2">
        <v>18.86</v>
      </c>
      <c r="F3755" s="3">
        <v>71.319999999999993</v>
      </c>
      <c r="G3755" s="4">
        <v>345.34</v>
      </c>
      <c r="H3755">
        <v>2</v>
      </c>
      <c r="I3755" s="4">
        <v>690.68</v>
      </c>
      <c r="J3755">
        <v>3.7</v>
      </c>
      <c r="K3755" t="s">
        <v>30</v>
      </c>
      <c r="L3755" t="s">
        <v>16</v>
      </c>
      <c r="O3755"/>
    </row>
    <row r="3756" spans="1:15" x14ac:dyDescent="0.3">
      <c r="A3756" t="s">
        <v>3780</v>
      </c>
      <c r="B3756" s="1">
        <v>45755</v>
      </c>
      <c r="C3756" t="s">
        <v>14</v>
      </c>
      <c r="D3756" t="s">
        <v>14</v>
      </c>
      <c r="E3756" s="2">
        <v>22.01</v>
      </c>
      <c r="F3756" s="3">
        <v>47.66</v>
      </c>
      <c r="G3756" s="4">
        <v>350.2</v>
      </c>
      <c r="H3756">
        <v>1</v>
      </c>
      <c r="I3756" s="4">
        <v>350.2</v>
      </c>
      <c r="J3756">
        <v>3.4</v>
      </c>
      <c r="K3756" t="s">
        <v>18</v>
      </c>
      <c r="L3756" t="s">
        <v>19</v>
      </c>
      <c r="O3756"/>
    </row>
    <row r="3757" spans="1:15" x14ac:dyDescent="0.3">
      <c r="A3757" t="s">
        <v>3781</v>
      </c>
      <c r="B3757" s="1">
        <v>45917</v>
      </c>
      <c r="C3757" t="s">
        <v>21</v>
      </c>
      <c r="D3757" t="s">
        <v>25</v>
      </c>
      <c r="E3757" s="2">
        <v>25.54</v>
      </c>
      <c r="F3757" s="3">
        <v>74.31</v>
      </c>
      <c r="G3757" s="4">
        <v>453.37</v>
      </c>
      <c r="H3757">
        <v>1.2</v>
      </c>
      <c r="I3757" s="4">
        <v>544.04</v>
      </c>
      <c r="J3757">
        <v>3.5</v>
      </c>
      <c r="K3757" t="s">
        <v>30</v>
      </c>
      <c r="L3757" t="s">
        <v>16</v>
      </c>
      <c r="O3757"/>
    </row>
    <row r="3758" spans="1:15" x14ac:dyDescent="0.3">
      <c r="A3758" t="s">
        <v>3782</v>
      </c>
      <c r="B3758" s="1">
        <v>45817</v>
      </c>
      <c r="C3758" t="s">
        <v>13</v>
      </c>
      <c r="D3758" t="s">
        <v>21</v>
      </c>
      <c r="E3758" s="2">
        <v>3.16</v>
      </c>
      <c r="F3758" s="3">
        <v>8.52</v>
      </c>
      <c r="G3758" s="4">
        <v>38.74</v>
      </c>
      <c r="H3758">
        <v>2</v>
      </c>
      <c r="I3758" s="4">
        <v>77.48</v>
      </c>
      <c r="J3758">
        <v>3.1</v>
      </c>
      <c r="K3758" t="s">
        <v>30</v>
      </c>
      <c r="L3758" t="s">
        <v>28</v>
      </c>
      <c r="O3758"/>
    </row>
    <row r="3759" spans="1:15" x14ac:dyDescent="0.3">
      <c r="A3759" t="s">
        <v>3783</v>
      </c>
      <c r="B3759" s="1">
        <v>45703</v>
      </c>
      <c r="C3759" t="s">
        <v>14</v>
      </c>
      <c r="D3759" t="s">
        <v>22</v>
      </c>
      <c r="E3759" s="2">
        <v>15.94</v>
      </c>
      <c r="F3759" s="3">
        <v>34.64</v>
      </c>
      <c r="G3759" s="4">
        <v>276.62</v>
      </c>
      <c r="H3759">
        <v>2</v>
      </c>
      <c r="I3759" s="4">
        <v>553.24</v>
      </c>
      <c r="J3759">
        <v>4.4000000000000004</v>
      </c>
      <c r="K3759" t="s">
        <v>36</v>
      </c>
      <c r="L3759" t="s">
        <v>19</v>
      </c>
      <c r="O3759"/>
    </row>
    <row r="3760" spans="1:15" x14ac:dyDescent="0.3">
      <c r="A3760" t="s">
        <v>3784</v>
      </c>
      <c r="B3760" s="1">
        <v>45695</v>
      </c>
      <c r="C3760" t="s">
        <v>21</v>
      </c>
      <c r="D3760" t="s">
        <v>14</v>
      </c>
      <c r="E3760" s="2">
        <v>17.59</v>
      </c>
      <c r="F3760" s="3">
        <v>61.69</v>
      </c>
      <c r="G3760" s="4">
        <v>308.18</v>
      </c>
      <c r="H3760">
        <v>2</v>
      </c>
      <c r="I3760" s="4">
        <v>616.36</v>
      </c>
      <c r="J3760">
        <v>4.8</v>
      </c>
      <c r="K3760" t="s">
        <v>15</v>
      </c>
      <c r="L3760" t="s">
        <v>19</v>
      </c>
      <c r="O3760"/>
    </row>
    <row r="3761" spans="1:15" x14ac:dyDescent="0.3">
      <c r="A3761" t="s">
        <v>3785</v>
      </c>
      <c r="B3761" s="1">
        <v>45854</v>
      </c>
      <c r="C3761" t="s">
        <v>21</v>
      </c>
      <c r="D3761" t="s">
        <v>22</v>
      </c>
      <c r="E3761" s="2">
        <v>3.06</v>
      </c>
      <c r="F3761" s="3">
        <v>8.08</v>
      </c>
      <c r="G3761" s="4">
        <v>45.09</v>
      </c>
      <c r="H3761">
        <v>1.5</v>
      </c>
      <c r="I3761" s="4">
        <v>67.64</v>
      </c>
      <c r="J3761">
        <v>4.0999999999999996</v>
      </c>
      <c r="K3761" t="s">
        <v>36</v>
      </c>
      <c r="L3761" t="s">
        <v>28</v>
      </c>
      <c r="O3761"/>
    </row>
    <row r="3762" spans="1:15" x14ac:dyDescent="0.3">
      <c r="A3762" t="s">
        <v>3786</v>
      </c>
      <c r="B3762" s="1">
        <v>45822</v>
      </c>
      <c r="C3762" t="s">
        <v>14</v>
      </c>
      <c r="D3762" t="s">
        <v>25</v>
      </c>
      <c r="E3762" s="2">
        <v>22.06</v>
      </c>
      <c r="F3762" s="3">
        <v>74.709999999999994</v>
      </c>
      <c r="G3762" s="4">
        <v>265.70999999999998</v>
      </c>
      <c r="H3762">
        <v>1.5</v>
      </c>
      <c r="I3762" s="4">
        <v>398.56</v>
      </c>
      <c r="J3762">
        <v>4.9000000000000004</v>
      </c>
      <c r="K3762" t="s">
        <v>36</v>
      </c>
      <c r="L3762" t="s">
        <v>16</v>
      </c>
      <c r="O3762"/>
    </row>
    <row r="3763" spans="1:15" x14ac:dyDescent="0.3">
      <c r="A3763" t="s">
        <v>3787</v>
      </c>
      <c r="B3763" s="1">
        <v>45713</v>
      </c>
      <c r="C3763" t="s">
        <v>21</v>
      </c>
      <c r="D3763" t="s">
        <v>14</v>
      </c>
      <c r="E3763" s="2">
        <v>15.68</v>
      </c>
      <c r="F3763" s="3">
        <v>39.22</v>
      </c>
      <c r="G3763" s="4">
        <v>262.31</v>
      </c>
      <c r="H3763">
        <v>1.5</v>
      </c>
      <c r="I3763" s="4">
        <v>393.46</v>
      </c>
      <c r="J3763">
        <v>3.8</v>
      </c>
      <c r="K3763" t="s">
        <v>18</v>
      </c>
      <c r="L3763" t="s">
        <v>16</v>
      </c>
      <c r="O3763"/>
    </row>
    <row r="3764" spans="1:15" x14ac:dyDescent="0.3">
      <c r="A3764" t="s">
        <v>3788</v>
      </c>
      <c r="B3764" s="1">
        <v>45949</v>
      </c>
      <c r="C3764" t="s">
        <v>22</v>
      </c>
      <c r="D3764" t="s">
        <v>25</v>
      </c>
      <c r="E3764" s="2">
        <v>5.7</v>
      </c>
      <c r="F3764" s="3">
        <v>12.58</v>
      </c>
      <c r="G3764" s="4">
        <v>72.349999999999994</v>
      </c>
      <c r="H3764">
        <v>1</v>
      </c>
      <c r="I3764" s="4">
        <v>72.349999999999994</v>
      </c>
      <c r="J3764">
        <v>3</v>
      </c>
      <c r="K3764" t="s">
        <v>18</v>
      </c>
      <c r="L3764" t="s">
        <v>26</v>
      </c>
      <c r="O3764"/>
    </row>
    <row r="3765" spans="1:15" x14ac:dyDescent="0.3">
      <c r="A3765" t="s">
        <v>3789</v>
      </c>
      <c r="B3765" s="1">
        <v>45967</v>
      </c>
      <c r="C3765" t="s">
        <v>25</v>
      </c>
      <c r="D3765" t="s">
        <v>21</v>
      </c>
      <c r="E3765" s="2">
        <v>22.63</v>
      </c>
      <c r="F3765" s="3">
        <v>53.08</v>
      </c>
      <c r="G3765" s="4">
        <v>363.4</v>
      </c>
      <c r="H3765">
        <v>2</v>
      </c>
      <c r="I3765" s="4">
        <v>726.8</v>
      </c>
      <c r="J3765">
        <v>3.8</v>
      </c>
      <c r="K3765" t="s">
        <v>18</v>
      </c>
      <c r="L3765" t="s">
        <v>28</v>
      </c>
      <c r="O3765"/>
    </row>
    <row r="3766" spans="1:15" x14ac:dyDescent="0.3">
      <c r="A3766" t="s">
        <v>3790</v>
      </c>
      <c r="B3766" s="1">
        <v>45826</v>
      </c>
      <c r="C3766" t="s">
        <v>14</v>
      </c>
      <c r="D3766" t="s">
        <v>14</v>
      </c>
      <c r="E3766" s="2">
        <v>5.73</v>
      </c>
      <c r="F3766" s="3">
        <v>16.7</v>
      </c>
      <c r="G3766" s="4">
        <v>103.18</v>
      </c>
      <c r="H3766">
        <v>1.2</v>
      </c>
      <c r="I3766" s="4">
        <v>123.82</v>
      </c>
      <c r="J3766">
        <v>4.5999999999999996</v>
      </c>
      <c r="K3766" t="s">
        <v>15</v>
      </c>
      <c r="L3766" t="s">
        <v>16</v>
      </c>
      <c r="O3766"/>
    </row>
    <row r="3767" spans="1:15" x14ac:dyDescent="0.3">
      <c r="A3767" t="s">
        <v>3791</v>
      </c>
      <c r="B3767" s="1">
        <v>46008</v>
      </c>
      <c r="C3767" t="s">
        <v>21</v>
      </c>
      <c r="D3767" t="s">
        <v>14</v>
      </c>
      <c r="E3767" s="2">
        <v>18.489999999999998</v>
      </c>
      <c r="F3767" s="3">
        <v>53.64</v>
      </c>
      <c r="G3767" s="4">
        <v>220.34</v>
      </c>
      <c r="H3767">
        <v>1.2</v>
      </c>
      <c r="I3767" s="4">
        <v>264.41000000000003</v>
      </c>
      <c r="J3767">
        <v>4.4000000000000004</v>
      </c>
      <c r="K3767" t="s">
        <v>33</v>
      </c>
      <c r="L3767" t="s">
        <v>19</v>
      </c>
      <c r="O3767"/>
    </row>
    <row r="3768" spans="1:15" x14ac:dyDescent="0.3">
      <c r="A3768" t="s">
        <v>3792</v>
      </c>
      <c r="B3768" s="1">
        <v>45944</v>
      </c>
      <c r="C3768" t="s">
        <v>21</v>
      </c>
      <c r="D3768" t="s">
        <v>21</v>
      </c>
      <c r="E3768" s="2">
        <v>22.14</v>
      </c>
      <c r="F3768" s="3">
        <v>72.44</v>
      </c>
      <c r="G3768" s="4">
        <v>442.37</v>
      </c>
      <c r="H3768">
        <v>1.5</v>
      </c>
      <c r="I3768" s="4">
        <v>663.56</v>
      </c>
      <c r="J3768">
        <v>4</v>
      </c>
      <c r="K3768" t="s">
        <v>36</v>
      </c>
      <c r="L3768" t="s">
        <v>28</v>
      </c>
      <c r="O3768"/>
    </row>
    <row r="3769" spans="1:15" x14ac:dyDescent="0.3">
      <c r="A3769" t="s">
        <v>3793</v>
      </c>
      <c r="B3769" s="1">
        <v>45774</v>
      </c>
      <c r="C3769" t="s">
        <v>21</v>
      </c>
      <c r="D3769" t="s">
        <v>13</v>
      </c>
      <c r="E3769" s="2">
        <v>11.44</v>
      </c>
      <c r="F3769" s="3">
        <v>31.15</v>
      </c>
      <c r="G3769" s="4">
        <v>145.94999999999999</v>
      </c>
      <c r="H3769">
        <v>1.2</v>
      </c>
      <c r="I3769" s="4">
        <v>175.14</v>
      </c>
      <c r="J3769">
        <v>3.8</v>
      </c>
      <c r="K3769" t="s">
        <v>18</v>
      </c>
      <c r="L3769" t="s">
        <v>16</v>
      </c>
      <c r="O3769"/>
    </row>
    <row r="3770" spans="1:15" x14ac:dyDescent="0.3">
      <c r="A3770" t="s">
        <v>3794</v>
      </c>
      <c r="B3770" s="1">
        <v>45841</v>
      </c>
      <c r="C3770" t="s">
        <v>25</v>
      </c>
      <c r="D3770" t="s">
        <v>22</v>
      </c>
      <c r="E3770" s="2">
        <v>10.18</v>
      </c>
      <c r="F3770" s="3">
        <v>26.57</v>
      </c>
      <c r="G3770" s="4">
        <v>112.34</v>
      </c>
      <c r="H3770">
        <v>1.2</v>
      </c>
      <c r="I3770" s="4">
        <v>134.81</v>
      </c>
      <c r="J3770">
        <v>4</v>
      </c>
      <c r="K3770" t="s">
        <v>18</v>
      </c>
      <c r="L3770" t="s">
        <v>19</v>
      </c>
      <c r="O3770"/>
    </row>
    <row r="3771" spans="1:15" x14ac:dyDescent="0.3">
      <c r="A3771" t="s">
        <v>3795</v>
      </c>
      <c r="B3771" s="1">
        <v>45676</v>
      </c>
      <c r="C3771" t="s">
        <v>14</v>
      </c>
      <c r="D3771" t="s">
        <v>22</v>
      </c>
      <c r="E3771" s="2">
        <v>17.61</v>
      </c>
      <c r="F3771" s="3">
        <v>66.930000000000007</v>
      </c>
      <c r="G3771" s="4">
        <v>247.97</v>
      </c>
      <c r="H3771">
        <v>2</v>
      </c>
      <c r="I3771" s="4">
        <v>495.94</v>
      </c>
      <c r="J3771">
        <v>4.2</v>
      </c>
      <c r="K3771" t="s">
        <v>36</v>
      </c>
      <c r="L3771" t="s">
        <v>28</v>
      </c>
      <c r="O3771"/>
    </row>
    <row r="3772" spans="1:15" x14ac:dyDescent="0.3">
      <c r="A3772" t="s">
        <v>3796</v>
      </c>
      <c r="B3772" s="1">
        <v>45735</v>
      </c>
      <c r="C3772" t="s">
        <v>14</v>
      </c>
      <c r="D3772" t="s">
        <v>21</v>
      </c>
      <c r="E3772" s="2">
        <v>13.5</v>
      </c>
      <c r="F3772" s="3">
        <v>37.6</v>
      </c>
      <c r="G3772" s="4">
        <v>268.75</v>
      </c>
      <c r="H3772">
        <v>1</v>
      </c>
      <c r="I3772" s="4">
        <v>268.75</v>
      </c>
      <c r="J3772">
        <v>4.0999999999999996</v>
      </c>
      <c r="K3772" t="s">
        <v>15</v>
      </c>
      <c r="L3772" t="s">
        <v>16</v>
      </c>
      <c r="O3772"/>
    </row>
    <row r="3773" spans="1:15" x14ac:dyDescent="0.3">
      <c r="A3773" t="s">
        <v>3797</v>
      </c>
      <c r="B3773" s="1">
        <v>45936</v>
      </c>
      <c r="C3773" t="s">
        <v>21</v>
      </c>
      <c r="D3773" t="s">
        <v>13</v>
      </c>
      <c r="E3773" s="2">
        <v>14.01</v>
      </c>
      <c r="F3773" s="3">
        <v>52.2</v>
      </c>
      <c r="G3773" s="4">
        <v>261.91000000000003</v>
      </c>
      <c r="H3773">
        <v>2</v>
      </c>
      <c r="I3773" s="4">
        <v>523.82000000000005</v>
      </c>
      <c r="J3773">
        <v>4.5999999999999996</v>
      </c>
      <c r="K3773" t="s">
        <v>15</v>
      </c>
      <c r="L3773" t="s">
        <v>28</v>
      </c>
      <c r="O3773"/>
    </row>
    <row r="3774" spans="1:15" x14ac:dyDescent="0.3">
      <c r="A3774" t="s">
        <v>3798</v>
      </c>
      <c r="B3774" s="1">
        <v>45814</v>
      </c>
      <c r="C3774" t="s">
        <v>25</v>
      </c>
      <c r="D3774" t="s">
        <v>21</v>
      </c>
      <c r="E3774" s="2">
        <v>1.1000000000000001</v>
      </c>
      <c r="F3774" s="3">
        <v>3.04</v>
      </c>
      <c r="G3774" s="4">
        <v>17.61</v>
      </c>
      <c r="H3774">
        <v>1</v>
      </c>
      <c r="I3774" s="4">
        <v>17.61</v>
      </c>
      <c r="J3774">
        <v>4.2</v>
      </c>
      <c r="K3774" t="s">
        <v>15</v>
      </c>
      <c r="L3774" t="s">
        <v>28</v>
      </c>
      <c r="O3774"/>
    </row>
    <row r="3775" spans="1:15" x14ac:dyDescent="0.3">
      <c r="A3775" t="s">
        <v>3799</v>
      </c>
      <c r="B3775" s="1">
        <v>45674</v>
      </c>
      <c r="C3775" t="s">
        <v>25</v>
      </c>
      <c r="D3775" t="s">
        <v>13</v>
      </c>
      <c r="E3775" s="2">
        <v>4.62</v>
      </c>
      <c r="F3775" s="3">
        <v>10.82</v>
      </c>
      <c r="G3775" s="4">
        <v>85.57</v>
      </c>
      <c r="H3775">
        <v>1.5</v>
      </c>
      <c r="I3775" s="4">
        <v>128.35</v>
      </c>
      <c r="J3775">
        <v>3.4</v>
      </c>
      <c r="K3775" t="s">
        <v>30</v>
      </c>
      <c r="L3775" t="s">
        <v>26</v>
      </c>
      <c r="O3775"/>
    </row>
    <row r="3776" spans="1:15" x14ac:dyDescent="0.3">
      <c r="A3776" t="s">
        <v>3800</v>
      </c>
      <c r="B3776" s="1">
        <v>45885</v>
      </c>
      <c r="C3776" t="s">
        <v>21</v>
      </c>
      <c r="D3776" t="s">
        <v>14</v>
      </c>
      <c r="E3776" s="2">
        <v>20.260000000000002</v>
      </c>
      <c r="F3776" s="3">
        <v>64.739999999999995</v>
      </c>
      <c r="G3776" s="4">
        <v>243.71</v>
      </c>
      <c r="H3776">
        <v>1</v>
      </c>
      <c r="I3776" s="4">
        <v>243.71</v>
      </c>
      <c r="J3776">
        <v>3</v>
      </c>
      <c r="K3776" t="s">
        <v>33</v>
      </c>
      <c r="L3776" t="s">
        <v>28</v>
      </c>
      <c r="O3776"/>
    </row>
    <row r="3777" spans="1:15" x14ac:dyDescent="0.3">
      <c r="A3777" t="s">
        <v>3801</v>
      </c>
      <c r="B3777" s="1">
        <v>45855</v>
      </c>
      <c r="C3777" t="s">
        <v>14</v>
      </c>
      <c r="D3777" t="s">
        <v>21</v>
      </c>
      <c r="E3777" s="2">
        <v>16.579999999999998</v>
      </c>
      <c r="F3777" s="3">
        <v>33.78</v>
      </c>
      <c r="G3777" s="4">
        <v>323.89999999999998</v>
      </c>
      <c r="H3777">
        <v>2</v>
      </c>
      <c r="I3777" s="4">
        <v>647.79999999999995</v>
      </c>
      <c r="J3777">
        <v>3.3</v>
      </c>
      <c r="K3777" t="s">
        <v>36</v>
      </c>
      <c r="L3777" t="s">
        <v>28</v>
      </c>
      <c r="O3777"/>
    </row>
    <row r="3778" spans="1:15" x14ac:dyDescent="0.3">
      <c r="A3778" t="s">
        <v>3802</v>
      </c>
      <c r="B3778" s="1">
        <v>45658</v>
      </c>
      <c r="C3778" t="s">
        <v>21</v>
      </c>
      <c r="D3778" t="s">
        <v>14</v>
      </c>
      <c r="E3778" s="2">
        <v>18.88</v>
      </c>
      <c r="F3778" s="3">
        <v>72.62</v>
      </c>
      <c r="G3778" s="4">
        <v>206.93</v>
      </c>
      <c r="H3778">
        <v>1.2</v>
      </c>
      <c r="I3778" s="4">
        <v>248.32</v>
      </c>
      <c r="J3778">
        <v>3.1</v>
      </c>
      <c r="K3778" t="s">
        <v>36</v>
      </c>
      <c r="L3778" t="s">
        <v>16</v>
      </c>
      <c r="O3778"/>
    </row>
    <row r="3779" spans="1:15" x14ac:dyDescent="0.3">
      <c r="A3779" t="s">
        <v>3803</v>
      </c>
      <c r="B3779" s="1">
        <v>45756</v>
      </c>
      <c r="C3779" t="s">
        <v>14</v>
      </c>
      <c r="D3779" t="s">
        <v>22</v>
      </c>
      <c r="E3779" s="2">
        <v>25.23</v>
      </c>
      <c r="F3779" s="3">
        <v>69.67</v>
      </c>
      <c r="G3779" s="4">
        <v>268.36</v>
      </c>
      <c r="H3779">
        <v>2</v>
      </c>
      <c r="I3779" s="4">
        <v>536.72</v>
      </c>
      <c r="J3779">
        <v>3.3</v>
      </c>
      <c r="K3779" t="s">
        <v>36</v>
      </c>
      <c r="L3779" t="s">
        <v>26</v>
      </c>
      <c r="O3779"/>
    </row>
    <row r="3780" spans="1:15" x14ac:dyDescent="0.3">
      <c r="A3780" t="s">
        <v>3804</v>
      </c>
      <c r="B3780" s="1">
        <v>45938</v>
      </c>
      <c r="C3780" t="s">
        <v>22</v>
      </c>
      <c r="D3780" t="s">
        <v>22</v>
      </c>
      <c r="E3780" s="2">
        <v>28.42</v>
      </c>
      <c r="F3780" s="3">
        <v>78.08</v>
      </c>
      <c r="G3780" s="4">
        <v>563.53</v>
      </c>
      <c r="H3780">
        <v>1.5</v>
      </c>
      <c r="I3780" s="4">
        <v>845.3</v>
      </c>
      <c r="J3780">
        <v>4.4000000000000004</v>
      </c>
      <c r="K3780" t="s">
        <v>30</v>
      </c>
      <c r="L3780" t="s">
        <v>16</v>
      </c>
      <c r="O3780"/>
    </row>
    <row r="3781" spans="1:15" x14ac:dyDescent="0.3">
      <c r="A3781" t="s">
        <v>3805</v>
      </c>
      <c r="B3781" s="1">
        <v>45976</v>
      </c>
      <c r="C3781" t="s">
        <v>25</v>
      </c>
      <c r="D3781" t="s">
        <v>21</v>
      </c>
      <c r="E3781" s="2">
        <v>8.7200000000000006</v>
      </c>
      <c r="F3781" s="3">
        <v>19.7</v>
      </c>
      <c r="G3781" s="4">
        <v>137.56</v>
      </c>
      <c r="H3781">
        <v>1.2</v>
      </c>
      <c r="I3781" s="4">
        <v>165.07</v>
      </c>
      <c r="J3781">
        <v>3.7</v>
      </c>
      <c r="K3781" t="s">
        <v>18</v>
      </c>
      <c r="L3781" t="s">
        <v>28</v>
      </c>
      <c r="O3781"/>
    </row>
    <row r="3782" spans="1:15" x14ac:dyDescent="0.3">
      <c r="A3782" t="s">
        <v>3806</v>
      </c>
      <c r="B3782" s="1">
        <v>46005</v>
      </c>
      <c r="C3782" t="s">
        <v>14</v>
      </c>
      <c r="D3782" t="s">
        <v>14</v>
      </c>
      <c r="E3782" s="2">
        <v>16.66</v>
      </c>
      <c r="F3782" s="3">
        <v>46.4</v>
      </c>
      <c r="G3782" s="4">
        <v>196.89</v>
      </c>
      <c r="H3782">
        <v>2</v>
      </c>
      <c r="I3782" s="4">
        <v>393.78</v>
      </c>
      <c r="J3782">
        <v>3.9</v>
      </c>
      <c r="K3782" t="s">
        <v>30</v>
      </c>
      <c r="L3782" t="s">
        <v>26</v>
      </c>
      <c r="O3782"/>
    </row>
    <row r="3783" spans="1:15" x14ac:dyDescent="0.3">
      <c r="A3783" t="s">
        <v>3807</v>
      </c>
      <c r="B3783" s="1">
        <v>45773</v>
      </c>
      <c r="C3783" t="s">
        <v>13</v>
      </c>
      <c r="D3783" t="s">
        <v>25</v>
      </c>
      <c r="E3783" s="2">
        <v>18.399999999999999</v>
      </c>
      <c r="F3783" s="3">
        <v>59.27</v>
      </c>
      <c r="G3783" s="4">
        <v>278.18</v>
      </c>
      <c r="H3783">
        <v>2</v>
      </c>
      <c r="I3783" s="4">
        <v>556.36</v>
      </c>
      <c r="J3783">
        <v>3.9</v>
      </c>
      <c r="K3783" t="s">
        <v>18</v>
      </c>
      <c r="L3783" t="s">
        <v>16</v>
      </c>
      <c r="O3783"/>
    </row>
    <row r="3784" spans="1:15" x14ac:dyDescent="0.3">
      <c r="A3784" t="s">
        <v>3808</v>
      </c>
      <c r="B3784" s="1">
        <v>45781</v>
      </c>
      <c r="C3784" t="s">
        <v>14</v>
      </c>
      <c r="D3784" t="s">
        <v>25</v>
      </c>
      <c r="E3784" s="2">
        <v>4.07</v>
      </c>
      <c r="F3784" s="3">
        <v>8.34</v>
      </c>
      <c r="G3784" s="4">
        <v>74.260000000000005</v>
      </c>
      <c r="H3784">
        <v>1.5</v>
      </c>
      <c r="I3784" s="4">
        <v>111.39</v>
      </c>
      <c r="J3784">
        <v>4.3</v>
      </c>
      <c r="K3784" t="s">
        <v>36</v>
      </c>
      <c r="L3784" t="s">
        <v>19</v>
      </c>
      <c r="O3784"/>
    </row>
    <row r="3785" spans="1:15" x14ac:dyDescent="0.3">
      <c r="A3785" t="s">
        <v>3809</v>
      </c>
      <c r="B3785" s="1">
        <v>46009</v>
      </c>
      <c r="C3785" t="s">
        <v>25</v>
      </c>
      <c r="D3785" t="s">
        <v>21</v>
      </c>
      <c r="E3785" s="2">
        <v>9.06</v>
      </c>
      <c r="F3785" s="3">
        <v>27.06</v>
      </c>
      <c r="G3785" s="4">
        <v>130.16</v>
      </c>
      <c r="H3785">
        <v>1.5</v>
      </c>
      <c r="I3785" s="4">
        <v>195.24</v>
      </c>
      <c r="J3785">
        <v>3.7</v>
      </c>
      <c r="K3785" t="s">
        <v>15</v>
      </c>
      <c r="L3785" t="s">
        <v>19</v>
      </c>
      <c r="O3785"/>
    </row>
    <row r="3786" spans="1:15" x14ac:dyDescent="0.3">
      <c r="A3786" t="s">
        <v>3810</v>
      </c>
      <c r="B3786" s="1">
        <v>46019</v>
      </c>
      <c r="C3786" t="s">
        <v>13</v>
      </c>
      <c r="D3786" t="s">
        <v>13</v>
      </c>
      <c r="E3786" s="2">
        <v>4.67</v>
      </c>
      <c r="F3786" s="3">
        <v>9.84</v>
      </c>
      <c r="G3786" s="4">
        <v>82.55</v>
      </c>
      <c r="H3786">
        <v>2</v>
      </c>
      <c r="I3786" s="4">
        <v>165.1</v>
      </c>
      <c r="J3786">
        <v>4.5999999999999996</v>
      </c>
      <c r="K3786" t="s">
        <v>15</v>
      </c>
      <c r="L3786" t="s">
        <v>19</v>
      </c>
      <c r="O3786"/>
    </row>
    <row r="3787" spans="1:15" x14ac:dyDescent="0.3">
      <c r="A3787" t="s">
        <v>3811</v>
      </c>
      <c r="B3787" s="1">
        <v>45674</v>
      </c>
      <c r="C3787" t="s">
        <v>22</v>
      </c>
      <c r="D3787" t="s">
        <v>25</v>
      </c>
      <c r="E3787" s="2">
        <v>6.06</v>
      </c>
      <c r="F3787" s="3">
        <v>14.99</v>
      </c>
      <c r="G3787" s="4">
        <v>95.46</v>
      </c>
      <c r="H3787">
        <v>2</v>
      </c>
      <c r="I3787" s="4">
        <v>190.92</v>
      </c>
      <c r="J3787">
        <v>4</v>
      </c>
      <c r="K3787" t="s">
        <v>18</v>
      </c>
      <c r="L3787" t="s">
        <v>28</v>
      </c>
      <c r="O3787"/>
    </row>
    <row r="3788" spans="1:15" x14ac:dyDescent="0.3">
      <c r="A3788" t="s">
        <v>3812</v>
      </c>
      <c r="B3788" s="1">
        <v>45968</v>
      </c>
      <c r="C3788" t="s">
        <v>13</v>
      </c>
      <c r="D3788" t="s">
        <v>25</v>
      </c>
      <c r="E3788" s="2">
        <v>15.11</v>
      </c>
      <c r="F3788" s="3">
        <v>48.18</v>
      </c>
      <c r="G3788" s="4">
        <v>189.03</v>
      </c>
      <c r="H3788">
        <v>1</v>
      </c>
      <c r="I3788" s="4">
        <v>189.03</v>
      </c>
      <c r="J3788">
        <v>3.8</v>
      </c>
      <c r="K3788" t="s">
        <v>18</v>
      </c>
      <c r="L3788" t="s">
        <v>26</v>
      </c>
      <c r="O3788"/>
    </row>
    <row r="3789" spans="1:15" x14ac:dyDescent="0.3">
      <c r="A3789" t="s">
        <v>3813</v>
      </c>
      <c r="B3789" s="1">
        <v>45704</v>
      </c>
      <c r="C3789" t="s">
        <v>14</v>
      </c>
      <c r="D3789" t="s">
        <v>14</v>
      </c>
      <c r="E3789" s="2">
        <v>3.38</v>
      </c>
      <c r="F3789" s="3">
        <v>10.32</v>
      </c>
      <c r="G3789" s="4">
        <v>62.18</v>
      </c>
      <c r="H3789">
        <v>2</v>
      </c>
      <c r="I3789" s="4">
        <v>124.36</v>
      </c>
      <c r="J3789">
        <v>4.4000000000000004</v>
      </c>
      <c r="K3789" t="s">
        <v>15</v>
      </c>
      <c r="L3789" t="s">
        <v>19</v>
      </c>
      <c r="O3789"/>
    </row>
    <row r="3790" spans="1:15" x14ac:dyDescent="0.3">
      <c r="A3790" t="s">
        <v>3814</v>
      </c>
      <c r="B3790" s="1">
        <v>45744</v>
      </c>
      <c r="C3790" t="s">
        <v>13</v>
      </c>
      <c r="D3790" t="s">
        <v>14</v>
      </c>
      <c r="E3790" s="2">
        <v>3.33</v>
      </c>
      <c r="F3790" s="3">
        <v>12.31</v>
      </c>
      <c r="G3790" s="4">
        <v>35.99</v>
      </c>
      <c r="H3790">
        <v>1</v>
      </c>
      <c r="I3790" s="4">
        <v>35.99</v>
      </c>
      <c r="J3790">
        <v>4.9000000000000004</v>
      </c>
      <c r="K3790" t="s">
        <v>18</v>
      </c>
      <c r="L3790" t="s">
        <v>28</v>
      </c>
      <c r="O3790"/>
    </row>
    <row r="3791" spans="1:15" x14ac:dyDescent="0.3">
      <c r="A3791" t="s">
        <v>3815</v>
      </c>
      <c r="B3791" s="1">
        <v>45754</v>
      </c>
      <c r="C3791" t="s">
        <v>25</v>
      </c>
      <c r="D3791" t="s">
        <v>22</v>
      </c>
      <c r="E3791" s="2">
        <v>10.53</v>
      </c>
      <c r="F3791" s="3">
        <v>22.99</v>
      </c>
      <c r="G3791" s="4">
        <v>166.97</v>
      </c>
      <c r="H3791">
        <v>1</v>
      </c>
      <c r="I3791" s="4">
        <v>166.97</v>
      </c>
      <c r="J3791">
        <v>3.8</v>
      </c>
      <c r="K3791" t="s">
        <v>33</v>
      </c>
      <c r="L3791" t="s">
        <v>26</v>
      </c>
      <c r="O3791"/>
    </row>
    <row r="3792" spans="1:15" x14ac:dyDescent="0.3">
      <c r="A3792" t="s">
        <v>3816</v>
      </c>
      <c r="B3792" s="1">
        <v>45989</v>
      </c>
      <c r="C3792" t="s">
        <v>25</v>
      </c>
      <c r="D3792" t="s">
        <v>21</v>
      </c>
      <c r="E3792" s="2">
        <v>10.02</v>
      </c>
      <c r="F3792" s="3">
        <v>27.43</v>
      </c>
      <c r="G3792" s="4">
        <v>132.31</v>
      </c>
      <c r="H3792">
        <v>1</v>
      </c>
      <c r="I3792" s="4">
        <v>132.31</v>
      </c>
      <c r="J3792">
        <v>4.4000000000000004</v>
      </c>
      <c r="K3792" t="s">
        <v>15</v>
      </c>
      <c r="L3792" t="s">
        <v>28</v>
      </c>
      <c r="O3792"/>
    </row>
    <row r="3793" spans="1:15" x14ac:dyDescent="0.3">
      <c r="A3793" t="s">
        <v>3817</v>
      </c>
      <c r="B3793" s="1">
        <v>45838</v>
      </c>
      <c r="C3793" t="s">
        <v>25</v>
      </c>
      <c r="D3793" t="s">
        <v>22</v>
      </c>
      <c r="E3793" s="2">
        <v>20.59</v>
      </c>
      <c r="F3793" s="3">
        <v>53.36</v>
      </c>
      <c r="G3793" s="4">
        <v>278.14</v>
      </c>
      <c r="H3793">
        <v>1.5</v>
      </c>
      <c r="I3793" s="4">
        <v>417.21</v>
      </c>
      <c r="J3793">
        <v>3.7</v>
      </c>
      <c r="K3793" t="s">
        <v>30</v>
      </c>
      <c r="L3793" t="s">
        <v>16</v>
      </c>
      <c r="O3793"/>
    </row>
    <row r="3794" spans="1:15" x14ac:dyDescent="0.3">
      <c r="A3794" t="s">
        <v>3818</v>
      </c>
      <c r="B3794" s="1">
        <v>45967</v>
      </c>
      <c r="C3794" t="s">
        <v>13</v>
      </c>
      <c r="D3794" t="s">
        <v>14</v>
      </c>
      <c r="E3794" s="2">
        <v>15.27</v>
      </c>
      <c r="F3794" s="3">
        <v>38.35</v>
      </c>
      <c r="G3794" s="4">
        <v>161.27000000000001</v>
      </c>
      <c r="H3794">
        <v>1.5</v>
      </c>
      <c r="I3794" s="4">
        <v>241.91</v>
      </c>
      <c r="J3794">
        <v>4.8</v>
      </c>
      <c r="K3794" t="s">
        <v>18</v>
      </c>
      <c r="L3794" t="s">
        <v>28</v>
      </c>
      <c r="O3794"/>
    </row>
    <row r="3795" spans="1:15" x14ac:dyDescent="0.3">
      <c r="A3795" t="s">
        <v>3819</v>
      </c>
      <c r="B3795" s="1">
        <v>45945</v>
      </c>
      <c r="C3795" t="s">
        <v>21</v>
      </c>
      <c r="D3795" t="s">
        <v>21</v>
      </c>
      <c r="E3795" s="2">
        <v>13.36</v>
      </c>
      <c r="F3795" s="3">
        <v>48.83</v>
      </c>
      <c r="G3795" s="4">
        <v>155.88</v>
      </c>
      <c r="H3795">
        <v>1.5</v>
      </c>
      <c r="I3795" s="4">
        <v>233.82</v>
      </c>
      <c r="J3795">
        <v>4</v>
      </c>
      <c r="K3795" t="s">
        <v>30</v>
      </c>
      <c r="L3795" t="s">
        <v>26</v>
      </c>
      <c r="O3795"/>
    </row>
    <row r="3796" spans="1:15" x14ac:dyDescent="0.3">
      <c r="A3796" t="s">
        <v>3820</v>
      </c>
      <c r="B3796" s="1">
        <v>45872</v>
      </c>
      <c r="C3796" t="s">
        <v>21</v>
      </c>
      <c r="D3796" t="s">
        <v>13</v>
      </c>
      <c r="E3796" s="2">
        <v>18.079999999999998</v>
      </c>
      <c r="F3796" s="3">
        <v>60.95</v>
      </c>
      <c r="G3796" s="4">
        <v>344.43</v>
      </c>
      <c r="H3796">
        <v>1.5</v>
      </c>
      <c r="I3796" s="4">
        <v>516.64</v>
      </c>
      <c r="J3796">
        <v>3.2</v>
      </c>
      <c r="K3796" t="s">
        <v>36</v>
      </c>
      <c r="L3796" t="s">
        <v>19</v>
      </c>
      <c r="O3796"/>
    </row>
    <row r="3797" spans="1:15" x14ac:dyDescent="0.3">
      <c r="A3797" t="s">
        <v>3821</v>
      </c>
      <c r="B3797" s="1">
        <v>45689</v>
      </c>
      <c r="C3797" t="s">
        <v>25</v>
      </c>
      <c r="D3797" t="s">
        <v>14</v>
      </c>
      <c r="E3797" s="2">
        <v>17.600000000000001</v>
      </c>
      <c r="F3797" s="3">
        <v>42.31</v>
      </c>
      <c r="G3797" s="4">
        <v>297.27999999999997</v>
      </c>
      <c r="H3797">
        <v>1.2</v>
      </c>
      <c r="I3797" s="4">
        <v>356.74</v>
      </c>
      <c r="J3797">
        <v>4.2</v>
      </c>
      <c r="K3797" t="s">
        <v>36</v>
      </c>
      <c r="L3797" t="s">
        <v>26</v>
      </c>
      <c r="O3797"/>
    </row>
    <row r="3798" spans="1:15" x14ac:dyDescent="0.3">
      <c r="A3798" t="s">
        <v>3822</v>
      </c>
      <c r="B3798" s="1">
        <v>45738</v>
      </c>
      <c r="C3798" t="s">
        <v>14</v>
      </c>
      <c r="D3798" t="s">
        <v>22</v>
      </c>
      <c r="E3798" s="2">
        <v>19.78</v>
      </c>
      <c r="F3798" s="3">
        <v>75.11</v>
      </c>
      <c r="G3798" s="4">
        <v>286.85000000000002</v>
      </c>
      <c r="H3798">
        <v>1.5</v>
      </c>
      <c r="I3798" s="4">
        <v>430.28</v>
      </c>
      <c r="J3798">
        <v>3.2</v>
      </c>
      <c r="K3798" t="s">
        <v>36</v>
      </c>
      <c r="L3798" t="s">
        <v>19</v>
      </c>
      <c r="O3798"/>
    </row>
    <row r="3799" spans="1:15" x14ac:dyDescent="0.3">
      <c r="A3799" t="s">
        <v>3823</v>
      </c>
      <c r="B3799" s="1">
        <v>45843</v>
      </c>
      <c r="C3799" t="s">
        <v>21</v>
      </c>
      <c r="D3799" t="s">
        <v>22</v>
      </c>
      <c r="E3799" s="2">
        <v>5.53</v>
      </c>
      <c r="F3799" s="3">
        <v>16.86</v>
      </c>
      <c r="G3799" s="4">
        <v>88.28</v>
      </c>
      <c r="H3799">
        <v>1.5</v>
      </c>
      <c r="I3799" s="4">
        <v>132.41999999999999</v>
      </c>
      <c r="J3799">
        <v>4.5999999999999996</v>
      </c>
      <c r="K3799" t="s">
        <v>36</v>
      </c>
      <c r="L3799" t="s">
        <v>28</v>
      </c>
      <c r="O3799"/>
    </row>
    <row r="3800" spans="1:15" x14ac:dyDescent="0.3">
      <c r="A3800" t="s">
        <v>3824</v>
      </c>
      <c r="B3800" s="1">
        <v>45982</v>
      </c>
      <c r="C3800" t="s">
        <v>25</v>
      </c>
      <c r="D3800" t="s">
        <v>13</v>
      </c>
      <c r="E3800" s="2">
        <v>6.89</v>
      </c>
      <c r="F3800" s="3">
        <v>25.66</v>
      </c>
      <c r="G3800" s="4">
        <v>92.5</v>
      </c>
      <c r="H3800">
        <v>2</v>
      </c>
      <c r="I3800" s="4">
        <v>185</v>
      </c>
      <c r="J3800">
        <v>3.1</v>
      </c>
      <c r="K3800" t="s">
        <v>30</v>
      </c>
      <c r="L3800" t="s">
        <v>19</v>
      </c>
      <c r="O3800"/>
    </row>
    <row r="3801" spans="1:15" x14ac:dyDescent="0.3">
      <c r="A3801" t="s">
        <v>3825</v>
      </c>
      <c r="B3801" s="1">
        <v>45690</v>
      </c>
      <c r="C3801" t="s">
        <v>22</v>
      </c>
      <c r="D3801" t="s">
        <v>25</v>
      </c>
      <c r="E3801" s="2">
        <v>15.1</v>
      </c>
      <c r="F3801" s="3">
        <v>48.23</v>
      </c>
      <c r="G3801" s="4">
        <v>188.4</v>
      </c>
      <c r="H3801">
        <v>2</v>
      </c>
      <c r="I3801" s="4">
        <v>376.8</v>
      </c>
      <c r="J3801">
        <v>3.7</v>
      </c>
      <c r="K3801" t="s">
        <v>30</v>
      </c>
      <c r="L3801" t="s">
        <v>16</v>
      </c>
      <c r="O3801"/>
    </row>
    <row r="3802" spans="1:15" x14ac:dyDescent="0.3">
      <c r="A3802" t="s">
        <v>3826</v>
      </c>
      <c r="B3802" s="1">
        <v>45944</v>
      </c>
      <c r="C3802" t="s">
        <v>25</v>
      </c>
      <c r="D3802" t="s">
        <v>13</v>
      </c>
      <c r="E3802" s="2">
        <v>18.64</v>
      </c>
      <c r="F3802" s="3">
        <v>55.6</v>
      </c>
      <c r="G3802" s="4">
        <v>222.94</v>
      </c>
      <c r="H3802">
        <v>2</v>
      </c>
      <c r="I3802" s="4">
        <v>445.88</v>
      </c>
      <c r="J3802">
        <v>4.4000000000000004</v>
      </c>
      <c r="K3802" t="s">
        <v>15</v>
      </c>
      <c r="L3802" t="s">
        <v>16</v>
      </c>
      <c r="O3802"/>
    </row>
    <row r="3803" spans="1:15" x14ac:dyDescent="0.3">
      <c r="A3803" t="s">
        <v>3827</v>
      </c>
      <c r="B3803" s="1">
        <v>45880</v>
      </c>
      <c r="C3803" t="s">
        <v>25</v>
      </c>
      <c r="D3803" t="s">
        <v>25</v>
      </c>
      <c r="E3803" s="2">
        <v>8.23</v>
      </c>
      <c r="F3803" s="3">
        <v>27.59</v>
      </c>
      <c r="G3803" s="4">
        <v>92.66</v>
      </c>
      <c r="H3803">
        <v>1.5</v>
      </c>
      <c r="I3803" s="4">
        <v>138.99</v>
      </c>
      <c r="J3803">
        <v>4.9000000000000004</v>
      </c>
      <c r="K3803" t="s">
        <v>36</v>
      </c>
      <c r="L3803" t="s">
        <v>26</v>
      </c>
      <c r="O3803"/>
    </row>
    <row r="3804" spans="1:15" x14ac:dyDescent="0.3">
      <c r="A3804" t="s">
        <v>3828</v>
      </c>
      <c r="B3804" s="1">
        <v>45919</v>
      </c>
      <c r="C3804" t="s">
        <v>14</v>
      </c>
      <c r="D3804" t="s">
        <v>14</v>
      </c>
      <c r="E3804" s="2">
        <v>11.48</v>
      </c>
      <c r="F3804" s="3">
        <v>37.49</v>
      </c>
      <c r="G3804" s="4">
        <v>114.92</v>
      </c>
      <c r="H3804">
        <v>2</v>
      </c>
      <c r="I3804" s="4">
        <v>229.84</v>
      </c>
      <c r="J3804">
        <v>4.9000000000000004</v>
      </c>
      <c r="K3804" t="s">
        <v>18</v>
      </c>
      <c r="L3804" t="s">
        <v>16</v>
      </c>
      <c r="O3804"/>
    </row>
    <row r="3805" spans="1:15" x14ac:dyDescent="0.3">
      <c r="A3805" t="s">
        <v>3829</v>
      </c>
      <c r="B3805" s="1">
        <v>45710</v>
      </c>
      <c r="C3805" t="s">
        <v>21</v>
      </c>
      <c r="D3805" t="s">
        <v>21</v>
      </c>
      <c r="E3805" s="2">
        <v>14.55</v>
      </c>
      <c r="F3805" s="3">
        <v>48.67</v>
      </c>
      <c r="G3805" s="4">
        <v>183.51</v>
      </c>
      <c r="H3805">
        <v>1</v>
      </c>
      <c r="I3805" s="4">
        <v>183.51</v>
      </c>
      <c r="J3805">
        <v>3.4</v>
      </c>
      <c r="K3805" t="s">
        <v>30</v>
      </c>
      <c r="L3805" t="s">
        <v>19</v>
      </c>
      <c r="O3805"/>
    </row>
    <row r="3806" spans="1:15" x14ac:dyDescent="0.3">
      <c r="A3806" t="s">
        <v>3830</v>
      </c>
      <c r="B3806" s="1">
        <v>45920</v>
      </c>
      <c r="C3806" t="s">
        <v>21</v>
      </c>
      <c r="D3806" t="s">
        <v>22</v>
      </c>
      <c r="E3806" s="2">
        <v>24.97</v>
      </c>
      <c r="F3806" s="3">
        <v>63.48</v>
      </c>
      <c r="G3806" s="4">
        <v>385.48</v>
      </c>
      <c r="H3806">
        <v>2</v>
      </c>
      <c r="I3806" s="4">
        <v>770.96</v>
      </c>
      <c r="J3806">
        <v>4.9000000000000004</v>
      </c>
      <c r="K3806" t="s">
        <v>18</v>
      </c>
      <c r="L3806" t="s">
        <v>16</v>
      </c>
      <c r="O3806"/>
    </row>
    <row r="3807" spans="1:15" x14ac:dyDescent="0.3">
      <c r="A3807" t="s">
        <v>3831</v>
      </c>
      <c r="B3807" s="1">
        <v>45799</v>
      </c>
      <c r="C3807" t="s">
        <v>25</v>
      </c>
      <c r="D3807" t="s">
        <v>21</v>
      </c>
      <c r="E3807" s="2">
        <v>5.65</v>
      </c>
      <c r="F3807" s="3">
        <v>17.07</v>
      </c>
      <c r="G3807" s="4">
        <v>78.41</v>
      </c>
      <c r="H3807">
        <v>1.5</v>
      </c>
      <c r="I3807" s="4">
        <v>117.62</v>
      </c>
      <c r="J3807">
        <v>4.3</v>
      </c>
      <c r="K3807" t="s">
        <v>33</v>
      </c>
      <c r="L3807" t="s">
        <v>28</v>
      </c>
      <c r="O3807"/>
    </row>
    <row r="3808" spans="1:15" x14ac:dyDescent="0.3">
      <c r="A3808" t="s">
        <v>3832</v>
      </c>
      <c r="B3808" s="1">
        <v>45916</v>
      </c>
      <c r="C3808" t="s">
        <v>21</v>
      </c>
      <c r="D3808" t="s">
        <v>22</v>
      </c>
      <c r="E3808" s="2">
        <v>11.14</v>
      </c>
      <c r="F3808" s="3">
        <v>32.83</v>
      </c>
      <c r="G3808" s="4">
        <v>198.9</v>
      </c>
      <c r="H3808">
        <v>2</v>
      </c>
      <c r="I3808" s="4">
        <v>397.8</v>
      </c>
      <c r="J3808">
        <v>4.4000000000000004</v>
      </c>
      <c r="K3808" t="s">
        <v>33</v>
      </c>
      <c r="L3808" t="s">
        <v>26</v>
      </c>
      <c r="O3808"/>
    </row>
    <row r="3809" spans="1:15" x14ac:dyDescent="0.3">
      <c r="A3809" t="s">
        <v>3833</v>
      </c>
      <c r="B3809" s="1">
        <v>45972</v>
      </c>
      <c r="C3809" t="s">
        <v>13</v>
      </c>
      <c r="D3809" t="s">
        <v>25</v>
      </c>
      <c r="E3809" s="2">
        <v>5.57</v>
      </c>
      <c r="F3809" s="3">
        <v>11.93</v>
      </c>
      <c r="G3809" s="4">
        <v>56.25</v>
      </c>
      <c r="H3809">
        <v>1.2</v>
      </c>
      <c r="I3809" s="4">
        <v>67.5</v>
      </c>
      <c r="J3809">
        <v>4.5</v>
      </c>
      <c r="K3809" t="s">
        <v>33</v>
      </c>
      <c r="L3809" t="s">
        <v>16</v>
      </c>
      <c r="O3809"/>
    </row>
    <row r="3810" spans="1:15" x14ac:dyDescent="0.3">
      <c r="A3810" t="s">
        <v>3834</v>
      </c>
      <c r="B3810" s="1">
        <v>45907</v>
      </c>
      <c r="C3810" t="s">
        <v>25</v>
      </c>
      <c r="D3810" t="s">
        <v>22</v>
      </c>
      <c r="E3810" s="2">
        <v>7.99</v>
      </c>
      <c r="F3810" s="3">
        <v>17.010000000000002</v>
      </c>
      <c r="G3810" s="4">
        <v>122.24</v>
      </c>
      <c r="H3810">
        <v>1.5</v>
      </c>
      <c r="I3810" s="4">
        <v>183.36</v>
      </c>
      <c r="J3810">
        <v>3.3</v>
      </c>
      <c r="K3810" t="s">
        <v>30</v>
      </c>
      <c r="L3810" t="s">
        <v>16</v>
      </c>
      <c r="O3810"/>
    </row>
    <row r="3811" spans="1:15" x14ac:dyDescent="0.3">
      <c r="A3811" t="s">
        <v>3835</v>
      </c>
      <c r="B3811" s="1">
        <v>45826</v>
      </c>
      <c r="C3811" t="s">
        <v>21</v>
      </c>
      <c r="D3811" t="s">
        <v>13</v>
      </c>
      <c r="E3811" s="2">
        <v>1.23</v>
      </c>
      <c r="F3811" s="3">
        <v>4.53</v>
      </c>
      <c r="G3811" s="4">
        <v>24.04</v>
      </c>
      <c r="H3811">
        <v>1.2</v>
      </c>
      <c r="I3811" s="4">
        <v>28.85</v>
      </c>
      <c r="J3811">
        <v>3.2</v>
      </c>
      <c r="K3811" t="s">
        <v>33</v>
      </c>
      <c r="L3811" t="s">
        <v>19</v>
      </c>
      <c r="O3811"/>
    </row>
    <row r="3812" spans="1:15" x14ac:dyDescent="0.3">
      <c r="A3812" t="s">
        <v>3836</v>
      </c>
      <c r="B3812" s="1">
        <v>45988</v>
      </c>
      <c r="C3812" t="s">
        <v>25</v>
      </c>
      <c r="D3812" t="s">
        <v>22</v>
      </c>
      <c r="E3812" s="2">
        <v>28.07</v>
      </c>
      <c r="F3812" s="3">
        <v>67.88</v>
      </c>
      <c r="G3812" s="4">
        <v>559.87</v>
      </c>
      <c r="H3812">
        <v>1</v>
      </c>
      <c r="I3812" s="4">
        <v>559.87</v>
      </c>
      <c r="J3812">
        <v>4.5</v>
      </c>
      <c r="K3812" t="s">
        <v>30</v>
      </c>
      <c r="L3812" t="s">
        <v>16</v>
      </c>
      <c r="O3812"/>
    </row>
    <row r="3813" spans="1:15" x14ac:dyDescent="0.3">
      <c r="A3813" t="s">
        <v>3837</v>
      </c>
      <c r="B3813" s="1">
        <v>45793</v>
      </c>
      <c r="C3813" t="s">
        <v>21</v>
      </c>
      <c r="D3813" t="s">
        <v>21</v>
      </c>
      <c r="E3813" s="2">
        <v>11.47</v>
      </c>
      <c r="F3813" s="3">
        <v>35.46</v>
      </c>
      <c r="G3813" s="4">
        <v>189.7</v>
      </c>
      <c r="H3813">
        <v>2</v>
      </c>
      <c r="I3813" s="4">
        <v>379.4</v>
      </c>
      <c r="J3813">
        <v>3.9</v>
      </c>
      <c r="K3813" t="s">
        <v>15</v>
      </c>
      <c r="L3813" t="s">
        <v>16</v>
      </c>
      <c r="O3813"/>
    </row>
    <row r="3814" spans="1:15" x14ac:dyDescent="0.3">
      <c r="A3814" t="s">
        <v>3838</v>
      </c>
      <c r="B3814" s="1">
        <v>45760</v>
      </c>
      <c r="C3814" t="s">
        <v>22</v>
      </c>
      <c r="D3814" t="s">
        <v>22</v>
      </c>
      <c r="E3814" s="2">
        <v>3.39</v>
      </c>
      <c r="F3814" s="3">
        <v>9.19</v>
      </c>
      <c r="G3814" s="4">
        <v>48.61</v>
      </c>
      <c r="H3814">
        <v>1</v>
      </c>
      <c r="I3814" s="4">
        <v>48.61</v>
      </c>
      <c r="J3814">
        <v>3.4</v>
      </c>
      <c r="K3814" t="s">
        <v>15</v>
      </c>
      <c r="L3814" t="s">
        <v>19</v>
      </c>
      <c r="O3814"/>
    </row>
    <row r="3815" spans="1:15" x14ac:dyDescent="0.3">
      <c r="A3815" t="s">
        <v>3839</v>
      </c>
      <c r="B3815" s="1">
        <v>45969</v>
      </c>
      <c r="C3815" t="s">
        <v>22</v>
      </c>
      <c r="D3815" t="s">
        <v>14</v>
      </c>
      <c r="E3815" s="2">
        <v>5.03</v>
      </c>
      <c r="F3815" s="3">
        <v>13.75</v>
      </c>
      <c r="G3815" s="4">
        <v>75.12</v>
      </c>
      <c r="H3815">
        <v>1.5</v>
      </c>
      <c r="I3815" s="4">
        <v>112.68</v>
      </c>
      <c r="J3815">
        <v>4.4000000000000004</v>
      </c>
      <c r="K3815" t="s">
        <v>33</v>
      </c>
      <c r="L3815" t="s">
        <v>19</v>
      </c>
      <c r="O3815"/>
    </row>
    <row r="3816" spans="1:15" x14ac:dyDescent="0.3">
      <c r="A3816" t="s">
        <v>3840</v>
      </c>
      <c r="B3816" s="1">
        <v>45784</v>
      </c>
      <c r="C3816" t="s">
        <v>14</v>
      </c>
      <c r="D3816" t="s">
        <v>14</v>
      </c>
      <c r="E3816" s="2">
        <v>23.19</v>
      </c>
      <c r="F3816" s="3">
        <v>80.28</v>
      </c>
      <c r="G3816" s="4">
        <v>271.99</v>
      </c>
      <c r="H3816">
        <v>1.2</v>
      </c>
      <c r="I3816" s="4">
        <v>326.39</v>
      </c>
      <c r="J3816">
        <v>3.5</v>
      </c>
      <c r="K3816" t="s">
        <v>18</v>
      </c>
      <c r="L3816" t="s">
        <v>26</v>
      </c>
      <c r="O3816"/>
    </row>
    <row r="3817" spans="1:15" x14ac:dyDescent="0.3">
      <c r="A3817" t="s">
        <v>3841</v>
      </c>
      <c r="B3817" s="1">
        <v>46007</v>
      </c>
      <c r="C3817" t="s">
        <v>25</v>
      </c>
      <c r="D3817" t="s">
        <v>25</v>
      </c>
      <c r="E3817" s="2">
        <v>29.49</v>
      </c>
      <c r="F3817" s="3">
        <v>103.08</v>
      </c>
      <c r="G3817" s="4">
        <v>464.69</v>
      </c>
      <c r="H3817">
        <v>1.5</v>
      </c>
      <c r="I3817" s="4">
        <v>697.04</v>
      </c>
      <c r="J3817">
        <v>3.1</v>
      </c>
      <c r="K3817" t="s">
        <v>15</v>
      </c>
      <c r="L3817" t="s">
        <v>19</v>
      </c>
      <c r="O3817"/>
    </row>
    <row r="3818" spans="1:15" x14ac:dyDescent="0.3">
      <c r="A3818" t="s">
        <v>3842</v>
      </c>
      <c r="B3818" s="1">
        <v>45976</v>
      </c>
      <c r="C3818" t="s">
        <v>21</v>
      </c>
      <c r="D3818" t="s">
        <v>21</v>
      </c>
      <c r="E3818" s="2">
        <v>1.44</v>
      </c>
      <c r="F3818" s="3">
        <v>4.87</v>
      </c>
      <c r="G3818" s="4">
        <v>15.82</v>
      </c>
      <c r="H3818">
        <v>1</v>
      </c>
      <c r="I3818" s="4">
        <v>15.82</v>
      </c>
      <c r="J3818">
        <v>4.8</v>
      </c>
      <c r="K3818" t="s">
        <v>30</v>
      </c>
      <c r="L3818" t="s">
        <v>28</v>
      </c>
      <c r="O3818"/>
    </row>
    <row r="3819" spans="1:15" x14ac:dyDescent="0.3">
      <c r="A3819" t="s">
        <v>3843</v>
      </c>
      <c r="B3819" s="1">
        <v>45952</v>
      </c>
      <c r="C3819" t="s">
        <v>13</v>
      </c>
      <c r="D3819" t="s">
        <v>25</v>
      </c>
      <c r="E3819" s="2">
        <v>8.85</v>
      </c>
      <c r="F3819" s="3">
        <v>28.83</v>
      </c>
      <c r="G3819" s="4">
        <v>169.69</v>
      </c>
      <c r="H3819">
        <v>2</v>
      </c>
      <c r="I3819" s="4">
        <v>339.38</v>
      </c>
      <c r="J3819">
        <v>4.2</v>
      </c>
      <c r="K3819" t="s">
        <v>33</v>
      </c>
      <c r="L3819" t="s">
        <v>19</v>
      </c>
      <c r="O3819"/>
    </row>
    <row r="3820" spans="1:15" x14ac:dyDescent="0.3">
      <c r="A3820" t="s">
        <v>3844</v>
      </c>
      <c r="B3820" s="1">
        <v>45978</v>
      </c>
      <c r="C3820" t="s">
        <v>22</v>
      </c>
      <c r="D3820" t="s">
        <v>25</v>
      </c>
      <c r="E3820" s="2">
        <v>4.09</v>
      </c>
      <c r="F3820" s="3">
        <v>9.25</v>
      </c>
      <c r="G3820" s="4">
        <v>43.44</v>
      </c>
      <c r="H3820">
        <v>1.5</v>
      </c>
      <c r="I3820" s="4">
        <v>65.16</v>
      </c>
      <c r="J3820">
        <v>4.9000000000000004</v>
      </c>
      <c r="K3820" t="s">
        <v>30</v>
      </c>
      <c r="L3820" t="s">
        <v>19</v>
      </c>
      <c r="O3820"/>
    </row>
    <row r="3821" spans="1:15" x14ac:dyDescent="0.3">
      <c r="A3821" t="s">
        <v>3845</v>
      </c>
      <c r="B3821" s="1">
        <v>45963</v>
      </c>
      <c r="C3821" t="s">
        <v>22</v>
      </c>
      <c r="D3821" t="s">
        <v>14</v>
      </c>
      <c r="E3821" s="2">
        <v>10.31</v>
      </c>
      <c r="F3821" s="3">
        <v>35.19</v>
      </c>
      <c r="G3821" s="4">
        <v>192.82</v>
      </c>
      <c r="H3821">
        <v>2</v>
      </c>
      <c r="I3821" s="4">
        <v>385.64</v>
      </c>
      <c r="J3821">
        <v>3.6</v>
      </c>
      <c r="K3821" t="s">
        <v>15</v>
      </c>
      <c r="L3821" t="s">
        <v>16</v>
      </c>
      <c r="O3821"/>
    </row>
    <row r="3822" spans="1:15" x14ac:dyDescent="0.3">
      <c r="A3822" t="s">
        <v>3846</v>
      </c>
      <c r="B3822" s="1">
        <v>45889</v>
      </c>
      <c r="C3822" t="s">
        <v>25</v>
      </c>
      <c r="D3822" t="s">
        <v>25</v>
      </c>
      <c r="E3822" s="2">
        <v>3.97</v>
      </c>
      <c r="F3822" s="3">
        <v>13.58</v>
      </c>
      <c r="G3822" s="4">
        <v>54.1</v>
      </c>
      <c r="H3822">
        <v>2</v>
      </c>
      <c r="I3822" s="4">
        <v>108.2</v>
      </c>
      <c r="J3822">
        <v>3.5</v>
      </c>
      <c r="K3822" t="s">
        <v>36</v>
      </c>
      <c r="L3822" t="s">
        <v>16</v>
      </c>
      <c r="O3822"/>
    </row>
    <row r="3823" spans="1:15" x14ac:dyDescent="0.3">
      <c r="A3823" t="s">
        <v>3847</v>
      </c>
      <c r="B3823" s="1">
        <v>45862</v>
      </c>
      <c r="C3823" t="s">
        <v>21</v>
      </c>
      <c r="D3823" t="s">
        <v>25</v>
      </c>
      <c r="E3823" s="2">
        <v>10.81</v>
      </c>
      <c r="F3823" s="3">
        <v>26.34</v>
      </c>
      <c r="G3823" s="4">
        <v>202.3</v>
      </c>
      <c r="H3823">
        <v>2</v>
      </c>
      <c r="I3823" s="4">
        <v>404.6</v>
      </c>
      <c r="J3823">
        <v>3.3</v>
      </c>
      <c r="K3823" t="s">
        <v>36</v>
      </c>
      <c r="L3823" t="s">
        <v>28</v>
      </c>
      <c r="O3823"/>
    </row>
    <row r="3824" spans="1:15" x14ac:dyDescent="0.3">
      <c r="A3824" t="s">
        <v>3848</v>
      </c>
      <c r="B3824" s="1">
        <v>45977</v>
      </c>
      <c r="C3824" t="s">
        <v>14</v>
      </c>
      <c r="D3824" t="s">
        <v>14</v>
      </c>
      <c r="E3824" s="2">
        <v>11.29</v>
      </c>
      <c r="F3824" s="3">
        <v>35.67</v>
      </c>
      <c r="G3824" s="4">
        <v>195.71</v>
      </c>
      <c r="H3824">
        <v>1.5</v>
      </c>
      <c r="I3824" s="4">
        <v>293.56</v>
      </c>
      <c r="J3824">
        <v>3.8</v>
      </c>
      <c r="K3824" t="s">
        <v>30</v>
      </c>
      <c r="L3824" t="s">
        <v>28</v>
      </c>
      <c r="O3824"/>
    </row>
    <row r="3825" spans="1:15" x14ac:dyDescent="0.3">
      <c r="A3825" t="s">
        <v>3849</v>
      </c>
      <c r="B3825" s="1">
        <v>45776</v>
      </c>
      <c r="C3825" t="s">
        <v>13</v>
      </c>
      <c r="D3825" t="s">
        <v>13</v>
      </c>
      <c r="E3825" s="2">
        <v>28.63</v>
      </c>
      <c r="F3825" s="3">
        <v>72.27</v>
      </c>
      <c r="G3825" s="4">
        <v>546.5</v>
      </c>
      <c r="H3825">
        <v>1.2</v>
      </c>
      <c r="I3825" s="4">
        <v>655.8</v>
      </c>
      <c r="J3825">
        <v>4.8</v>
      </c>
      <c r="K3825" t="s">
        <v>36</v>
      </c>
      <c r="L3825" t="s">
        <v>19</v>
      </c>
      <c r="O3825"/>
    </row>
    <row r="3826" spans="1:15" x14ac:dyDescent="0.3">
      <c r="A3826" t="s">
        <v>3850</v>
      </c>
      <c r="B3826" s="1">
        <v>45662</v>
      </c>
      <c r="C3826" t="s">
        <v>14</v>
      </c>
      <c r="D3826" t="s">
        <v>21</v>
      </c>
      <c r="E3826" s="2">
        <v>22.87</v>
      </c>
      <c r="F3826" s="3">
        <v>56.66</v>
      </c>
      <c r="G3826" s="4">
        <v>397.39</v>
      </c>
      <c r="H3826">
        <v>1.2</v>
      </c>
      <c r="I3826" s="4">
        <v>476.87</v>
      </c>
      <c r="J3826">
        <v>4.5999999999999996</v>
      </c>
      <c r="K3826" t="s">
        <v>18</v>
      </c>
      <c r="L3826" t="s">
        <v>16</v>
      </c>
      <c r="O3826"/>
    </row>
    <row r="3827" spans="1:15" x14ac:dyDescent="0.3">
      <c r="A3827" t="s">
        <v>3851</v>
      </c>
      <c r="B3827" s="1">
        <v>45957</v>
      </c>
      <c r="C3827" t="s">
        <v>21</v>
      </c>
      <c r="D3827" t="s">
        <v>25</v>
      </c>
      <c r="E3827" s="2">
        <v>21.76</v>
      </c>
      <c r="F3827" s="3">
        <v>78.86</v>
      </c>
      <c r="G3827" s="4">
        <v>295.63</v>
      </c>
      <c r="H3827">
        <v>1.2</v>
      </c>
      <c r="I3827" s="4">
        <v>354.76</v>
      </c>
      <c r="J3827">
        <v>4.0999999999999996</v>
      </c>
      <c r="K3827" t="s">
        <v>15</v>
      </c>
      <c r="L3827" t="s">
        <v>16</v>
      </c>
      <c r="O3827"/>
    </row>
    <row r="3828" spans="1:15" x14ac:dyDescent="0.3">
      <c r="A3828" t="s">
        <v>3852</v>
      </c>
      <c r="B3828" s="1">
        <v>45933</v>
      </c>
      <c r="C3828" t="s">
        <v>21</v>
      </c>
      <c r="D3828" t="s">
        <v>25</v>
      </c>
      <c r="E3828" s="2">
        <v>29.75</v>
      </c>
      <c r="F3828" s="3">
        <v>79.47</v>
      </c>
      <c r="G3828" s="4">
        <v>360.05</v>
      </c>
      <c r="H3828">
        <v>2</v>
      </c>
      <c r="I3828" s="4">
        <v>720.1</v>
      </c>
      <c r="J3828">
        <v>4.0999999999999996</v>
      </c>
      <c r="K3828" t="s">
        <v>15</v>
      </c>
      <c r="L3828" t="s">
        <v>28</v>
      </c>
      <c r="O3828"/>
    </row>
    <row r="3829" spans="1:15" x14ac:dyDescent="0.3">
      <c r="A3829" t="s">
        <v>3853</v>
      </c>
      <c r="B3829" s="1">
        <v>46022</v>
      </c>
      <c r="C3829" t="s">
        <v>14</v>
      </c>
      <c r="D3829" t="s">
        <v>22</v>
      </c>
      <c r="E3829" s="2">
        <v>5.73</v>
      </c>
      <c r="F3829" s="3">
        <v>16.98</v>
      </c>
      <c r="G3829" s="4">
        <v>83.86</v>
      </c>
      <c r="H3829">
        <v>2</v>
      </c>
      <c r="I3829" s="4">
        <v>167.72</v>
      </c>
      <c r="J3829">
        <v>3.9</v>
      </c>
      <c r="K3829" t="s">
        <v>36</v>
      </c>
      <c r="L3829" t="s">
        <v>16</v>
      </c>
      <c r="O3829"/>
    </row>
    <row r="3830" spans="1:15" x14ac:dyDescent="0.3">
      <c r="A3830" t="s">
        <v>3854</v>
      </c>
      <c r="B3830" s="1">
        <v>45922</v>
      </c>
      <c r="C3830" t="s">
        <v>13</v>
      </c>
      <c r="D3830" t="s">
        <v>22</v>
      </c>
      <c r="E3830" s="2">
        <v>18.57</v>
      </c>
      <c r="F3830" s="3">
        <v>41.89</v>
      </c>
      <c r="G3830" s="4">
        <v>370.75</v>
      </c>
      <c r="H3830">
        <v>2</v>
      </c>
      <c r="I3830" s="4">
        <v>741.5</v>
      </c>
      <c r="J3830">
        <v>4</v>
      </c>
      <c r="K3830" t="s">
        <v>18</v>
      </c>
      <c r="L3830" t="s">
        <v>26</v>
      </c>
      <c r="O3830"/>
    </row>
    <row r="3831" spans="1:15" x14ac:dyDescent="0.3">
      <c r="A3831" t="s">
        <v>3855</v>
      </c>
      <c r="B3831" s="1">
        <v>45830</v>
      </c>
      <c r="C3831" t="s">
        <v>25</v>
      </c>
      <c r="D3831" t="s">
        <v>22</v>
      </c>
      <c r="E3831" s="2">
        <v>13.01</v>
      </c>
      <c r="F3831" s="3">
        <v>39.090000000000003</v>
      </c>
      <c r="G3831" s="4">
        <v>198.02</v>
      </c>
      <c r="H3831">
        <v>1.2</v>
      </c>
      <c r="I3831" s="4">
        <v>237.62</v>
      </c>
      <c r="J3831">
        <v>3.2</v>
      </c>
      <c r="K3831" t="s">
        <v>15</v>
      </c>
      <c r="L3831" t="s">
        <v>28</v>
      </c>
      <c r="O3831"/>
    </row>
    <row r="3832" spans="1:15" x14ac:dyDescent="0.3">
      <c r="A3832" t="s">
        <v>3856</v>
      </c>
      <c r="B3832" s="1">
        <v>45935</v>
      </c>
      <c r="C3832" t="s">
        <v>14</v>
      </c>
      <c r="D3832" t="s">
        <v>22</v>
      </c>
      <c r="E3832" s="2">
        <v>27.19</v>
      </c>
      <c r="F3832" s="3">
        <v>63.28</v>
      </c>
      <c r="G3832" s="4">
        <v>295.37</v>
      </c>
      <c r="H3832">
        <v>1.2</v>
      </c>
      <c r="I3832" s="4">
        <v>354.44</v>
      </c>
      <c r="J3832">
        <v>3.5</v>
      </c>
      <c r="K3832" t="s">
        <v>15</v>
      </c>
      <c r="L3832" t="s">
        <v>26</v>
      </c>
      <c r="O3832"/>
    </row>
    <row r="3833" spans="1:15" x14ac:dyDescent="0.3">
      <c r="A3833" t="s">
        <v>3857</v>
      </c>
      <c r="B3833" s="1">
        <v>45790</v>
      </c>
      <c r="C3833" t="s">
        <v>14</v>
      </c>
      <c r="D3833" t="s">
        <v>22</v>
      </c>
      <c r="E3833" s="2">
        <v>27.69</v>
      </c>
      <c r="F3833" s="3">
        <v>75.45</v>
      </c>
      <c r="G3833" s="4">
        <v>361.82</v>
      </c>
      <c r="H3833">
        <v>1.5</v>
      </c>
      <c r="I3833" s="4">
        <v>542.73</v>
      </c>
      <c r="J3833">
        <v>4.0999999999999996</v>
      </c>
      <c r="K3833" t="s">
        <v>30</v>
      </c>
      <c r="L3833" t="s">
        <v>28</v>
      </c>
      <c r="O3833"/>
    </row>
    <row r="3834" spans="1:15" x14ac:dyDescent="0.3">
      <c r="A3834" t="s">
        <v>3858</v>
      </c>
      <c r="B3834" s="1">
        <v>45864</v>
      </c>
      <c r="C3834" t="s">
        <v>14</v>
      </c>
      <c r="D3834" t="s">
        <v>14</v>
      </c>
      <c r="E3834" s="2">
        <v>5.89</v>
      </c>
      <c r="F3834" s="3">
        <v>16.75</v>
      </c>
      <c r="G3834" s="4">
        <v>113.57</v>
      </c>
      <c r="H3834">
        <v>1.2</v>
      </c>
      <c r="I3834" s="4">
        <v>136.28</v>
      </c>
      <c r="J3834">
        <v>3.5</v>
      </c>
      <c r="K3834" t="s">
        <v>36</v>
      </c>
      <c r="L3834" t="s">
        <v>16</v>
      </c>
      <c r="O3834"/>
    </row>
    <row r="3835" spans="1:15" x14ac:dyDescent="0.3">
      <c r="A3835" t="s">
        <v>3859</v>
      </c>
      <c r="B3835" s="1">
        <v>45829</v>
      </c>
      <c r="C3835" t="s">
        <v>21</v>
      </c>
      <c r="D3835" t="s">
        <v>13</v>
      </c>
      <c r="E3835" s="2">
        <v>8.7899999999999991</v>
      </c>
      <c r="F3835" s="3">
        <v>20.3</v>
      </c>
      <c r="G3835" s="4">
        <v>134.82</v>
      </c>
      <c r="H3835">
        <v>1.2</v>
      </c>
      <c r="I3835" s="4">
        <v>161.78</v>
      </c>
      <c r="J3835">
        <v>4.7</v>
      </c>
      <c r="K3835" t="s">
        <v>15</v>
      </c>
      <c r="L3835" t="s">
        <v>16</v>
      </c>
      <c r="O3835"/>
    </row>
    <row r="3836" spans="1:15" x14ac:dyDescent="0.3">
      <c r="A3836" t="s">
        <v>3860</v>
      </c>
      <c r="B3836" s="1">
        <v>45785</v>
      </c>
      <c r="C3836" t="s">
        <v>25</v>
      </c>
      <c r="D3836" t="s">
        <v>22</v>
      </c>
      <c r="E3836" s="2">
        <v>20.39</v>
      </c>
      <c r="F3836" s="3">
        <v>70.48</v>
      </c>
      <c r="G3836" s="4">
        <v>397.25</v>
      </c>
      <c r="H3836">
        <v>1.2</v>
      </c>
      <c r="I3836" s="4">
        <v>476.7</v>
      </c>
      <c r="J3836">
        <v>3.5</v>
      </c>
      <c r="K3836" t="s">
        <v>15</v>
      </c>
      <c r="L3836" t="s">
        <v>26</v>
      </c>
      <c r="O3836"/>
    </row>
    <row r="3837" spans="1:15" x14ac:dyDescent="0.3">
      <c r="A3837" t="s">
        <v>3861</v>
      </c>
      <c r="B3837" s="1">
        <v>45781</v>
      </c>
      <c r="C3837" t="s">
        <v>13</v>
      </c>
      <c r="D3837" t="s">
        <v>13</v>
      </c>
      <c r="E3837" s="2">
        <v>20.83</v>
      </c>
      <c r="F3837" s="3">
        <v>75.3</v>
      </c>
      <c r="G3837" s="4">
        <v>248.18</v>
      </c>
      <c r="H3837">
        <v>1.5</v>
      </c>
      <c r="I3837" s="4">
        <v>372.27</v>
      </c>
      <c r="J3837">
        <v>4</v>
      </c>
      <c r="K3837" t="s">
        <v>36</v>
      </c>
      <c r="L3837" t="s">
        <v>26</v>
      </c>
      <c r="O3837"/>
    </row>
    <row r="3838" spans="1:15" x14ac:dyDescent="0.3">
      <c r="A3838" t="s">
        <v>3862</v>
      </c>
      <c r="B3838" s="1">
        <v>45994</v>
      </c>
      <c r="C3838" t="s">
        <v>25</v>
      </c>
      <c r="D3838" t="s">
        <v>21</v>
      </c>
      <c r="E3838" s="2">
        <v>26.43</v>
      </c>
      <c r="F3838" s="3">
        <v>55.33</v>
      </c>
      <c r="G3838" s="4">
        <v>344.57</v>
      </c>
      <c r="H3838">
        <v>2</v>
      </c>
      <c r="I3838" s="4">
        <v>689.14</v>
      </c>
      <c r="J3838">
        <v>3.1</v>
      </c>
      <c r="K3838" t="s">
        <v>18</v>
      </c>
      <c r="L3838" t="s">
        <v>16</v>
      </c>
      <c r="O3838"/>
    </row>
    <row r="3839" spans="1:15" x14ac:dyDescent="0.3">
      <c r="A3839" t="s">
        <v>3863</v>
      </c>
      <c r="B3839" s="1">
        <v>45999</v>
      </c>
      <c r="C3839" t="s">
        <v>22</v>
      </c>
      <c r="D3839" t="s">
        <v>13</v>
      </c>
      <c r="E3839" s="2">
        <v>22.6</v>
      </c>
      <c r="F3839" s="3">
        <v>83.08</v>
      </c>
      <c r="G3839" s="4">
        <v>274.12</v>
      </c>
      <c r="H3839">
        <v>1.5</v>
      </c>
      <c r="I3839" s="4">
        <v>411.18</v>
      </c>
      <c r="J3839">
        <v>4</v>
      </c>
      <c r="K3839" t="s">
        <v>33</v>
      </c>
      <c r="L3839" t="s">
        <v>28</v>
      </c>
      <c r="O3839"/>
    </row>
    <row r="3840" spans="1:15" x14ac:dyDescent="0.3">
      <c r="A3840" t="s">
        <v>3864</v>
      </c>
      <c r="B3840" s="1">
        <v>45712</v>
      </c>
      <c r="C3840" t="s">
        <v>22</v>
      </c>
      <c r="D3840" t="s">
        <v>21</v>
      </c>
      <c r="E3840" s="2">
        <v>28.88</v>
      </c>
      <c r="F3840" s="3">
        <v>64.489999999999995</v>
      </c>
      <c r="G3840" s="4">
        <v>493.72</v>
      </c>
      <c r="H3840">
        <v>1</v>
      </c>
      <c r="I3840" s="4">
        <v>493.72</v>
      </c>
      <c r="J3840">
        <v>3.5</v>
      </c>
      <c r="K3840" t="s">
        <v>33</v>
      </c>
      <c r="L3840" t="s">
        <v>26</v>
      </c>
      <c r="O3840"/>
    </row>
    <row r="3841" spans="1:15" x14ac:dyDescent="0.3">
      <c r="A3841" t="s">
        <v>3865</v>
      </c>
      <c r="B3841" s="1">
        <v>45932</v>
      </c>
      <c r="C3841" t="s">
        <v>22</v>
      </c>
      <c r="D3841" t="s">
        <v>22</v>
      </c>
      <c r="E3841" s="2">
        <v>12.37</v>
      </c>
      <c r="F3841" s="3">
        <v>26.47</v>
      </c>
      <c r="G3841" s="4">
        <v>148.71</v>
      </c>
      <c r="H3841">
        <v>1.5</v>
      </c>
      <c r="I3841" s="4">
        <v>223.06</v>
      </c>
      <c r="J3841">
        <v>4.8</v>
      </c>
      <c r="K3841" t="s">
        <v>18</v>
      </c>
      <c r="L3841" t="s">
        <v>19</v>
      </c>
      <c r="O3841"/>
    </row>
    <row r="3842" spans="1:15" x14ac:dyDescent="0.3">
      <c r="A3842" t="s">
        <v>3866</v>
      </c>
      <c r="B3842" s="1">
        <v>46017</v>
      </c>
      <c r="C3842" t="s">
        <v>21</v>
      </c>
      <c r="D3842" t="s">
        <v>14</v>
      </c>
      <c r="E3842" s="2">
        <v>9.1999999999999993</v>
      </c>
      <c r="F3842" s="3">
        <v>21.9</v>
      </c>
      <c r="G3842" s="4">
        <v>94.46</v>
      </c>
      <c r="H3842">
        <v>1</v>
      </c>
      <c r="I3842" s="4">
        <v>94.46</v>
      </c>
      <c r="J3842">
        <v>3.7</v>
      </c>
      <c r="K3842" t="s">
        <v>18</v>
      </c>
      <c r="L3842" t="s">
        <v>19</v>
      </c>
      <c r="O3842"/>
    </row>
    <row r="3843" spans="1:15" x14ac:dyDescent="0.3">
      <c r="A3843" t="s">
        <v>3867</v>
      </c>
      <c r="B3843" s="1">
        <v>45744</v>
      </c>
      <c r="C3843" t="s">
        <v>21</v>
      </c>
      <c r="D3843" t="s">
        <v>25</v>
      </c>
      <c r="E3843" s="2">
        <v>28.75</v>
      </c>
      <c r="F3843" s="3">
        <v>107.17</v>
      </c>
      <c r="G3843" s="4">
        <v>385.38</v>
      </c>
      <c r="H3843">
        <v>2</v>
      </c>
      <c r="I3843" s="4">
        <v>770.76</v>
      </c>
      <c r="J3843">
        <v>3.8</v>
      </c>
      <c r="K3843" t="s">
        <v>33</v>
      </c>
      <c r="L3843" t="s">
        <v>19</v>
      </c>
      <c r="O3843"/>
    </row>
    <row r="3844" spans="1:15" x14ac:dyDescent="0.3">
      <c r="A3844" t="s">
        <v>3868</v>
      </c>
      <c r="B3844" s="1">
        <v>46005</v>
      </c>
      <c r="C3844" t="s">
        <v>25</v>
      </c>
      <c r="D3844" t="s">
        <v>22</v>
      </c>
      <c r="E3844" s="2">
        <v>1.78</v>
      </c>
      <c r="F3844" s="3">
        <v>4.09</v>
      </c>
      <c r="G3844" s="4">
        <v>21.96</v>
      </c>
      <c r="H3844">
        <v>2</v>
      </c>
      <c r="I3844" s="4">
        <v>43.92</v>
      </c>
      <c r="J3844">
        <v>4.5999999999999996</v>
      </c>
      <c r="K3844" t="s">
        <v>36</v>
      </c>
      <c r="L3844" t="s">
        <v>19</v>
      </c>
      <c r="O3844"/>
    </row>
    <row r="3845" spans="1:15" x14ac:dyDescent="0.3">
      <c r="A3845" t="s">
        <v>3869</v>
      </c>
      <c r="B3845" s="1">
        <v>45809</v>
      </c>
      <c r="C3845" t="s">
        <v>14</v>
      </c>
      <c r="D3845" t="s">
        <v>14</v>
      </c>
      <c r="E3845" s="2">
        <v>9.77</v>
      </c>
      <c r="F3845" s="3">
        <v>30.58</v>
      </c>
      <c r="G3845" s="4">
        <v>109.93</v>
      </c>
      <c r="H3845">
        <v>1</v>
      </c>
      <c r="I3845" s="4">
        <v>109.93</v>
      </c>
      <c r="J3845">
        <v>4.5999999999999996</v>
      </c>
      <c r="K3845" t="s">
        <v>33</v>
      </c>
      <c r="L3845" t="s">
        <v>26</v>
      </c>
      <c r="O3845"/>
    </row>
    <row r="3846" spans="1:15" x14ac:dyDescent="0.3">
      <c r="A3846" t="s">
        <v>3870</v>
      </c>
      <c r="B3846" s="1">
        <v>46009</v>
      </c>
      <c r="C3846" t="s">
        <v>13</v>
      </c>
      <c r="D3846" t="s">
        <v>22</v>
      </c>
      <c r="E3846" s="2">
        <v>7.28</v>
      </c>
      <c r="F3846" s="3">
        <v>23.39</v>
      </c>
      <c r="G3846" s="4">
        <v>109.44</v>
      </c>
      <c r="H3846">
        <v>2</v>
      </c>
      <c r="I3846" s="4">
        <v>218.88</v>
      </c>
      <c r="J3846">
        <v>3.4</v>
      </c>
      <c r="K3846" t="s">
        <v>15</v>
      </c>
      <c r="L3846" t="s">
        <v>19</v>
      </c>
      <c r="O3846"/>
    </row>
    <row r="3847" spans="1:15" x14ac:dyDescent="0.3">
      <c r="A3847" t="s">
        <v>3871</v>
      </c>
      <c r="B3847" s="1">
        <v>45967</v>
      </c>
      <c r="C3847" t="s">
        <v>21</v>
      </c>
      <c r="D3847" t="s">
        <v>25</v>
      </c>
      <c r="E3847" s="2">
        <v>21.57</v>
      </c>
      <c r="F3847" s="3">
        <v>55.62</v>
      </c>
      <c r="G3847" s="4">
        <v>229.08</v>
      </c>
      <c r="H3847">
        <v>1.2</v>
      </c>
      <c r="I3847" s="4">
        <v>274.89999999999998</v>
      </c>
      <c r="J3847">
        <v>3.6</v>
      </c>
      <c r="K3847" t="s">
        <v>18</v>
      </c>
      <c r="L3847" t="s">
        <v>26</v>
      </c>
      <c r="O3847"/>
    </row>
    <row r="3848" spans="1:15" x14ac:dyDescent="0.3">
      <c r="A3848" t="s">
        <v>3872</v>
      </c>
      <c r="B3848" s="1">
        <v>45953</v>
      </c>
      <c r="C3848" t="s">
        <v>25</v>
      </c>
      <c r="D3848" t="s">
        <v>21</v>
      </c>
      <c r="E3848" s="2">
        <v>6.68</v>
      </c>
      <c r="F3848" s="3">
        <v>20.25</v>
      </c>
      <c r="G3848" s="4">
        <v>127.6</v>
      </c>
      <c r="H3848">
        <v>1</v>
      </c>
      <c r="I3848" s="4">
        <v>127.6</v>
      </c>
      <c r="J3848">
        <v>4.5</v>
      </c>
      <c r="K3848" t="s">
        <v>18</v>
      </c>
      <c r="L3848" t="s">
        <v>28</v>
      </c>
      <c r="O3848"/>
    </row>
    <row r="3849" spans="1:15" x14ac:dyDescent="0.3">
      <c r="A3849" t="s">
        <v>3873</v>
      </c>
      <c r="B3849" s="1">
        <v>45733</v>
      </c>
      <c r="C3849" t="s">
        <v>14</v>
      </c>
      <c r="D3849" t="s">
        <v>22</v>
      </c>
      <c r="E3849" s="2">
        <v>17.600000000000001</v>
      </c>
      <c r="F3849" s="3">
        <v>50.18</v>
      </c>
      <c r="G3849" s="4">
        <v>306.95999999999998</v>
      </c>
      <c r="H3849">
        <v>1</v>
      </c>
      <c r="I3849" s="4">
        <v>306.95999999999998</v>
      </c>
      <c r="J3849">
        <v>4.8</v>
      </c>
      <c r="K3849" t="s">
        <v>18</v>
      </c>
      <c r="L3849" t="s">
        <v>16</v>
      </c>
      <c r="O3849"/>
    </row>
    <row r="3850" spans="1:15" x14ac:dyDescent="0.3">
      <c r="A3850" t="s">
        <v>3874</v>
      </c>
      <c r="B3850" s="1">
        <v>46012</v>
      </c>
      <c r="C3850" t="s">
        <v>14</v>
      </c>
      <c r="D3850" t="s">
        <v>14</v>
      </c>
      <c r="E3850" s="2">
        <v>5.17</v>
      </c>
      <c r="F3850" s="3">
        <v>19.78</v>
      </c>
      <c r="G3850" s="4">
        <v>86.28</v>
      </c>
      <c r="H3850">
        <v>1</v>
      </c>
      <c r="I3850" s="4">
        <v>86.28</v>
      </c>
      <c r="J3850">
        <v>4.4000000000000004</v>
      </c>
      <c r="K3850" t="s">
        <v>15</v>
      </c>
      <c r="L3850" t="s">
        <v>19</v>
      </c>
      <c r="O3850"/>
    </row>
    <row r="3851" spans="1:15" x14ac:dyDescent="0.3">
      <c r="A3851" t="s">
        <v>3875</v>
      </c>
      <c r="B3851" s="1">
        <v>45673</v>
      </c>
      <c r="C3851" t="s">
        <v>21</v>
      </c>
      <c r="D3851" t="s">
        <v>25</v>
      </c>
      <c r="E3851" s="2">
        <v>22.62</v>
      </c>
      <c r="F3851" s="3">
        <v>80.209999999999994</v>
      </c>
      <c r="G3851" s="4">
        <v>434.28</v>
      </c>
      <c r="H3851">
        <v>2</v>
      </c>
      <c r="I3851" s="4">
        <v>868.56</v>
      </c>
      <c r="J3851">
        <v>3.7</v>
      </c>
      <c r="K3851" t="s">
        <v>30</v>
      </c>
      <c r="L3851" t="s">
        <v>26</v>
      </c>
      <c r="O3851"/>
    </row>
    <row r="3852" spans="1:15" x14ac:dyDescent="0.3">
      <c r="A3852" t="s">
        <v>3876</v>
      </c>
      <c r="B3852" s="1">
        <v>45889</v>
      </c>
      <c r="C3852" t="s">
        <v>21</v>
      </c>
      <c r="D3852" t="s">
        <v>25</v>
      </c>
      <c r="E3852" s="2">
        <v>19.55</v>
      </c>
      <c r="F3852" s="3">
        <v>55.35</v>
      </c>
      <c r="G3852" s="4">
        <v>311.74</v>
      </c>
      <c r="H3852">
        <v>1.2</v>
      </c>
      <c r="I3852" s="4">
        <v>374.09</v>
      </c>
      <c r="J3852">
        <v>4.3</v>
      </c>
      <c r="K3852" t="s">
        <v>30</v>
      </c>
      <c r="L3852" t="s">
        <v>19</v>
      </c>
      <c r="O3852"/>
    </row>
    <row r="3853" spans="1:15" x14ac:dyDescent="0.3">
      <c r="A3853" t="s">
        <v>3877</v>
      </c>
      <c r="B3853" s="1">
        <v>45689</v>
      </c>
      <c r="C3853" t="s">
        <v>21</v>
      </c>
      <c r="D3853" t="s">
        <v>21</v>
      </c>
      <c r="E3853" s="2">
        <v>3.03</v>
      </c>
      <c r="F3853" s="3">
        <v>7.85</v>
      </c>
      <c r="G3853" s="4">
        <v>51.28</v>
      </c>
      <c r="H3853">
        <v>1.2</v>
      </c>
      <c r="I3853" s="4">
        <v>61.54</v>
      </c>
      <c r="J3853">
        <v>3.3</v>
      </c>
      <c r="K3853" t="s">
        <v>36</v>
      </c>
      <c r="L3853" t="s">
        <v>16</v>
      </c>
      <c r="O3853"/>
    </row>
    <row r="3854" spans="1:15" x14ac:dyDescent="0.3">
      <c r="A3854" t="s">
        <v>3878</v>
      </c>
      <c r="B3854" s="1">
        <v>45985</v>
      </c>
      <c r="C3854" t="s">
        <v>25</v>
      </c>
      <c r="D3854" t="s">
        <v>25</v>
      </c>
      <c r="E3854" s="2">
        <v>7.34</v>
      </c>
      <c r="F3854" s="3">
        <v>24.51</v>
      </c>
      <c r="G3854" s="4">
        <v>94.39</v>
      </c>
      <c r="H3854">
        <v>1.2</v>
      </c>
      <c r="I3854" s="4">
        <v>113.27</v>
      </c>
      <c r="J3854">
        <v>4</v>
      </c>
      <c r="K3854" t="s">
        <v>30</v>
      </c>
      <c r="L3854" t="s">
        <v>26</v>
      </c>
      <c r="O3854"/>
    </row>
    <row r="3855" spans="1:15" x14ac:dyDescent="0.3">
      <c r="A3855" t="s">
        <v>3879</v>
      </c>
      <c r="B3855" s="1">
        <v>45774</v>
      </c>
      <c r="C3855" t="s">
        <v>21</v>
      </c>
      <c r="D3855" t="s">
        <v>25</v>
      </c>
      <c r="E3855" s="2">
        <v>24</v>
      </c>
      <c r="F3855" s="3">
        <v>63.98</v>
      </c>
      <c r="G3855" s="4">
        <v>353.38</v>
      </c>
      <c r="H3855">
        <v>1.2</v>
      </c>
      <c r="I3855" s="4">
        <v>424.06</v>
      </c>
      <c r="J3855">
        <v>3.4</v>
      </c>
      <c r="K3855" t="s">
        <v>36</v>
      </c>
      <c r="L3855" t="s">
        <v>28</v>
      </c>
      <c r="O3855"/>
    </row>
    <row r="3856" spans="1:15" x14ac:dyDescent="0.3">
      <c r="A3856" t="s">
        <v>3880</v>
      </c>
      <c r="B3856" s="1">
        <v>45801</v>
      </c>
      <c r="C3856" t="s">
        <v>14</v>
      </c>
      <c r="D3856" t="s">
        <v>22</v>
      </c>
      <c r="E3856" s="2">
        <v>9.4</v>
      </c>
      <c r="F3856" s="3">
        <v>25.74</v>
      </c>
      <c r="G3856" s="4">
        <v>147.05000000000001</v>
      </c>
      <c r="H3856">
        <v>2</v>
      </c>
      <c r="I3856" s="4">
        <v>294.10000000000002</v>
      </c>
      <c r="J3856">
        <v>4.5</v>
      </c>
      <c r="K3856" t="s">
        <v>30</v>
      </c>
      <c r="L3856" t="s">
        <v>26</v>
      </c>
      <c r="O3856"/>
    </row>
    <row r="3857" spans="1:15" x14ac:dyDescent="0.3">
      <c r="A3857" t="s">
        <v>3881</v>
      </c>
      <c r="B3857" s="1">
        <v>45917</v>
      </c>
      <c r="C3857" t="s">
        <v>13</v>
      </c>
      <c r="D3857" t="s">
        <v>14</v>
      </c>
      <c r="E3857" s="2">
        <v>3.03</v>
      </c>
      <c r="F3857" s="3">
        <v>9.7799999999999994</v>
      </c>
      <c r="G3857" s="4">
        <v>31.58</v>
      </c>
      <c r="H3857">
        <v>1.5</v>
      </c>
      <c r="I3857" s="4">
        <v>47.37</v>
      </c>
      <c r="J3857">
        <v>3.8</v>
      </c>
      <c r="K3857" t="s">
        <v>15</v>
      </c>
      <c r="L3857" t="s">
        <v>16</v>
      </c>
      <c r="O3857"/>
    </row>
    <row r="3858" spans="1:15" x14ac:dyDescent="0.3">
      <c r="A3858" t="s">
        <v>3882</v>
      </c>
      <c r="B3858" s="1">
        <v>45722</v>
      </c>
      <c r="C3858" t="s">
        <v>14</v>
      </c>
      <c r="D3858" t="s">
        <v>14</v>
      </c>
      <c r="E3858" s="2">
        <v>28.45</v>
      </c>
      <c r="F3858" s="3">
        <v>106.08</v>
      </c>
      <c r="G3858" s="4">
        <v>290.85000000000002</v>
      </c>
      <c r="H3858">
        <v>1.2</v>
      </c>
      <c r="I3858" s="4">
        <v>349.02</v>
      </c>
      <c r="J3858">
        <v>3.1</v>
      </c>
      <c r="K3858" t="s">
        <v>36</v>
      </c>
      <c r="L3858" t="s">
        <v>19</v>
      </c>
      <c r="O3858"/>
    </row>
    <row r="3859" spans="1:15" x14ac:dyDescent="0.3">
      <c r="A3859" t="s">
        <v>3883</v>
      </c>
      <c r="B3859" s="1">
        <v>45771</v>
      </c>
      <c r="C3859" t="s">
        <v>14</v>
      </c>
      <c r="D3859" t="s">
        <v>14</v>
      </c>
      <c r="E3859" s="2">
        <v>15.37</v>
      </c>
      <c r="F3859" s="3">
        <v>49.26</v>
      </c>
      <c r="G3859" s="4">
        <v>257.95</v>
      </c>
      <c r="H3859">
        <v>1.2</v>
      </c>
      <c r="I3859" s="4">
        <v>309.54000000000002</v>
      </c>
      <c r="J3859">
        <v>4.8</v>
      </c>
      <c r="K3859" t="s">
        <v>18</v>
      </c>
      <c r="L3859" t="s">
        <v>26</v>
      </c>
      <c r="O3859"/>
    </row>
    <row r="3860" spans="1:15" x14ac:dyDescent="0.3">
      <c r="A3860" t="s">
        <v>3884</v>
      </c>
      <c r="B3860" s="1">
        <v>45938</v>
      </c>
      <c r="C3860" t="s">
        <v>21</v>
      </c>
      <c r="D3860" t="s">
        <v>21</v>
      </c>
      <c r="E3860" s="2">
        <v>24.91</v>
      </c>
      <c r="F3860" s="3">
        <v>98.99</v>
      </c>
      <c r="G3860" s="4">
        <v>323.88</v>
      </c>
      <c r="H3860">
        <v>2</v>
      </c>
      <c r="I3860" s="4">
        <v>647.76</v>
      </c>
      <c r="J3860">
        <v>4</v>
      </c>
      <c r="K3860" t="s">
        <v>30</v>
      </c>
      <c r="L3860" t="s">
        <v>16</v>
      </c>
      <c r="O3860"/>
    </row>
    <row r="3861" spans="1:15" x14ac:dyDescent="0.3">
      <c r="A3861" t="s">
        <v>3885</v>
      </c>
      <c r="B3861" s="1">
        <v>45873</v>
      </c>
      <c r="C3861" t="s">
        <v>13</v>
      </c>
      <c r="D3861" t="s">
        <v>22</v>
      </c>
      <c r="E3861" s="2">
        <v>29.38</v>
      </c>
      <c r="F3861" s="3">
        <v>65.62</v>
      </c>
      <c r="G3861" s="4">
        <v>420.64</v>
      </c>
      <c r="H3861">
        <v>2</v>
      </c>
      <c r="I3861" s="4">
        <v>841.28</v>
      </c>
      <c r="J3861">
        <v>3.9</v>
      </c>
      <c r="K3861" t="s">
        <v>36</v>
      </c>
      <c r="L3861" t="s">
        <v>28</v>
      </c>
      <c r="O3861"/>
    </row>
    <row r="3862" spans="1:15" x14ac:dyDescent="0.3">
      <c r="A3862" t="s">
        <v>3886</v>
      </c>
      <c r="B3862" s="1">
        <v>45681</v>
      </c>
      <c r="C3862" t="s">
        <v>22</v>
      </c>
      <c r="D3862" t="s">
        <v>25</v>
      </c>
      <c r="E3862" s="2">
        <v>28.51</v>
      </c>
      <c r="F3862" s="3">
        <v>85.47</v>
      </c>
      <c r="G3862" s="4">
        <v>401.85</v>
      </c>
      <c r="H3862">
        <v>1.2</v>
      </c>
      <c r="I3862" s="4">
        <v>482.22</v>
      </c>
      <c r="J3862">
        <v>4.9000000000000004</v>
      </c>
      <c r="K3862" t="s">
        <v>33</v>
      </c>
      <c r="L3862" t="s">
        <v>26</v>
      </c>
      <c r="O3862"/>
    </row>
    <row r="3863" spans="1:15" x14ac:dyDescent="0.3">
      <c r="A3863" t="s">
        <v>3887</v>
      </c>
      <c r="B3863" s="1">
        <v>45807</v>
      </c>
      <c r="C3863" t="s">
        <v>25</v>
      </c>
      <c r="D3863" t="s">
        <v>13</v>
      </c>
      <c r="E3863" s="2">
        <v>26.86</v>
      </c>
      <c r="F3863" s="3">
        <v>74.790000000000006</v>
      </c>
      <c r="G3863" s="4">
        <v>418.86</v>
      </c>
      <c r="H3863">
        <v>1.5</v>
      </c>
      <c r="I3863" s="4">
        <v>628.29</v>
      </c>
      <c r="J3863">
        <v>3.1</v>
      </c>
      <c r="K3863" t="s">
        <v>36</v>
      </c>
      <c r="L3863" t="s">
        <v>26</v>
      </c>
      <c r="O3863"/>
    </row>
    <row r="3864" spans="1:15" x14ac:dyDescent="0.3">
      <c r="A3864" t="s">
        <v>3888</v>
      </c>
      <c r="B3864" s="1">
        <v>45968</v>
      </c>
      <c r="C3864" t="s">
        <v>25</v>
      </c>
      <c r="D3864" t="s">
        <v>13</v>
      </c>
      <c r="E3864" s="2">
        <v>28.32</v>
      </c>
      <c r="F3864" s="3">
        <v>110.51</v>
      </c>
      <c r="G3864" s="4">
        <v>518.58000000000004</v>
      </c>
      <c r="H3864">
        <v>1</v>
      </c>
      <c r="I3864" s="4">
        <v>518.58000000000004</v>
      </c>
      <c r="J3864">
        <v>4.7</v>
      </c>
      <c r="K3864" t="s">
        <v>36</v>
      </c>
      <c r="L3864" t="s">
        <v>19</v>
      </c>
      <c r="O3864"/>
    </row>
    <row r="3865" spans="1:15" x14ac:dyDescent="0.3">
      <c r="A3865" t="s">
        <v>3889</v>
      </c>
      <c r="B3865" s="1">
        <v>45903</v>
      </c>
      <c r="C3865" t="s">
        <v>25</v>
      </c>
      <c r="D3865" t="s">
        <v>21</v>
      </c>
      <c r="E3865" s="2">
        <v>2.83</v>
      </c>
      <c r="F3865" s="3">
        <v>6.08</v>
      </c>
      <c r="G3865" s="4">
        <v>35.42</v>
      </c>
      <c r="H3865">
        <v>1</v>
      </c>
      <c r="I3865" s="4">
        <v>35.42</v>
      </c>
      <c r="J3865">
        <v>5</v>
      </c>
      <c r="K3865" t="s">
        <v>15</v>
      </c>
      <c r="L3865" t="s">
        <v>28</v>
      </c>
      <c r="O3865"/>
    </row>
    <row r="3866" spans="1:15" x14ac:dyDescent="0.3">
      <c r="A3866" t="s">
        <v>3890</v>
      </c>
      <c r="B3866" s="1">
        <v>46016</v>
      </c>
      <c r="C3866" t="s">
        <v>22</v>
      </c>
      <c r="D3866" t="s">
        <v>21</v>
      </c>
      <c r="E3866" s="2">
        <v>10.33</v>
      </c>
      <c r="F3866" s="3">
        <v>37.29</v>
      </c>
      <c r="G3866" s="4">
        <v>121.26</v>
      </c>
      <c r="H3866">
        <v>1.2</v>
      </c>
      <c r="I3866" s="4">
        <v>145.51</v>
      </c>
      <c r="J3866">
        <v>4.3</v>
      </c>
      <c r="K3866" t="s">
        <v>15</v>
      </c>
      <c r="L3866" t="s">
        <v>16</v>
      </c>
      <c r="O3866"/>
    </row>
    <row r="3867" spans="1:15" x14ac:dyDescent="0.3">
      <c r="A3867" t="s">
        <v>3891</v>
      </c>
      <c r="B3867" s="1">
        <v>45739</v>
      </c>
      <c r="C3867" t="s">
        <v>13</v>
      </c>
      <c r="D3867" t="s">
        <v>13</v>
      </c>
      <c r="E3867" s="2">
        <v>27.82</v>
      </c>
      <c r="F3867" s="3">
        <v>68.36</v>
      </c>
      <c r="G3867" s="4">
        <v>415.55</v>
      </c>
      <c r="H3867">
        <v>1.2</v>
      </c>
      <c r="I3867" s="4">
        <v>498.66</v>
      </c>
      <c r="J3867">
        <v>4.3</v>
      </c>
      <c r="K3867" t="s">
        <v>36</v>
      </c>
      <c r="L3867" t="s">
        <v>28</v>
      </c>
      <c r="O3867"/>
    </row>
    <row r="3868" spans="1:15" x14ac:dyDescent="0.3">
      <c r="A3868" t="s">
        <v>3892</v>
      </c>
      <c r="B3868" s="1">
        <v>45929</v>
      </c>
      <c r="C3868" t="s">
        <v>13</v>
      </c>
      <c r="D3868" t="s">
        <v>21</v>
      </c>
      <c r="E3868" s="2">
        <v>2.62</v>
      </c>
      <c r="F3868" s="3">
        <v>6.46</v>
      </c>
      <c r="G3868" s="4">
        <v>42.79</v>
      </c>
      <c r="H3868">
        <v>1</v>
      </c>
      <c r="I3868" s="4">
        <v>42.79</v>
      </c>
      <c r="J3868">
        <v>3</v>
      </c>
      <c r="K3868" t="s">
        <v>18</v>
      </c>
      <c r="L3868" t="s">
        <v>28</v>
      </c>
      <c r="O3868"/>
    </row>
    <row r="3869" spans="1:15" x14ac:dyDescent="0.3">
      <c r="A3869" t="s">
        <v>3893</v>
      </c>
      <c r="B3869" s="1">
        <v>45909</v>
      </c>
      <c r="C3869" t="s">
        <v>13</v>
      </c>
      <c r="D3869" t="s">
        <v>14</v>
      </c>
      <c r="E3869" s="2">
        <v>14.31</v>
      </c>
      <c r="F3869" s="3">
        <v>46.18</v>
      </c>
      <c r="G3869" s="4">
        <v>178.67</v>
      </c>
      <c r="H3869">
        <v>1.2</v>
      </c>
      <c r="I3869" s="4">
        <v>214.4</v>
      </c>
      <c r="J3869">
        <v>4.8</v>
      </c>
      <c r="K3869" t="s">
        <v>15</v>
      </c>
      <c r="L3869" t="s">
        <v>16</v>
      </c>
      <c r="O3869"/>
    </row>
    <row r="3870" spans="1:15" x14ac:dyDescent="0.3">
      <c r="A3870" t="s">
        <v>3894</v>
      </c>
      <c r="B3870" s="1">
        <v>46015</v>
      </c>
      <c r="C3870" t="s">
        <v>13</v>
      </c>
      <c r="D3870" t="s">
        <v>25</v>
      </c>
      <c r="E3870" s="2">
        <v>28.43</v>
      </c>
      <c r="F3870" s="3">
        <v>95.23</v>
      </c>
      <c r="G3870" s="4">
        <v>506.88</v>
      </c>
      <c r="H3870">
        <v>1</v>
      </c>
      <c r="I3870" s="4">
        <v>506.88</v>
      </c>
      <c r="J3870">
        <v>4.0999999999999996</v>
      </c>
      <c r="K3870" t="s">
        <v>30</v>
      </c>
      <c r="L3870" t="s">
        <v>26</v>
      </c>
      <c r="O3870"/>
    </row>
    <row r="3871" spans="1:15" x14ac:dyDescent="0.3">
      <c r="A3871" t="s">
        <v>3895</v>
      </c>
      <c r="B3871" s="1">
        <v>45659</v>
      </c>
      <c r="C3871" t="s">
        <v>25</v>
      </c>
      <c r="D3871" t="s">
        <v>25</v>
      </c>
      <c r="E3871" s="2">
        <v>12.49</v>
      </c>
      <c r="F3871" s="3">
        <v>36.57</v>
      </c>
      <c r="G3871" s="4">
        <v>150.91999999999999</v>
      </c>
      <c r="H3871">
        <v>1.2</v>
      </c>
      <c r="I3871" s="4">
        <v>181.1</v>
      </c>
      <c r="J3871">
        <v>5</v>
      </c>
      <c r="K3871" t="s">
        <v>18</v>
      </c>
      <c r="L3871" t="s">
        <v>16</v>
      </c>
      <c r="O3871"/>
    </row>
    <row r="3872" spans="1:15" x14ac:dyDescent="0.3">
      <c r="A3872" t="s">
        <v>3896</v>
      </c>
      <c r="B3872" s="1">
        <v>45896</v>
      </c>
      <c r="C3872" t="s">
        <v>14</v>
      </c>
      <c r="D3872" t="s">
        <v>22</v>
      </c>
      <c r="E3872" s="2">
        <v>13.46</v>
      </c>
      <c r="F3872" s="3">
        <v>53.24</v>
      </c>
      <c r="G3872" s="4">
        <v>142.30000000000001</v>
      </c>
      <c r="H3872">
        <v>1.5</v>
      </c>
      <c r="I3872" s="4">
        <v>213.45</v>
      </c>
      <c r="J3872">
        <v>3.3</v>
      </c>
      <c r="K3872" t="s">
        <v>36</v>
      </c>
      <c r="L3872" t="s">
        <v>28</v>
      </c>
      <c r="O3872"/>
    </row>
    <row r="3873" spans="1:15" x14ac:dyDescent="0.3">
      <c r="A3873" t="s">
        <v>3897</v>
      </c>
      <c r="B3873" s="1">
        <v>45660</v>
      </c>
      <c r="C3873" t="s">
        <v>22</v>
      </c>
      <c r="D3873" t="s">
        <v>22</v>
      </c>
      <c r="E3873" s="2">
        <v>2.0499999999999998</v>
      </c>
      <c r="F3873" s="3">
        <v>5.0199999999999996</v>
      </c>
      <c r="G3873" s="4">
        <v>39.06</v>
      </c>
      <c r="H3873">
        <v>2</v>
      </c>
      <c r="I3873" s="4">
        <v>78.12</v>
      </c>
      <c r="J3873">
        <v>4.9000000000000004</v>
      </c>
      <c r="K3873" t="s">
        <v>18</v>
      </c>
      <c r="L3873" t="s">
        <v>16</v>
      </c>
      <c r="O3873"/>
    </row>
    <row r="3874" spans="1:15" x14ac:dyDescent="0.3">
      <c r="A3874" t="s">
        <v>3898</v>
      </c>
      <c r="B3874" s="1">
        <v>45792</v>
      </c>
      <c r="C3874" t="s">
        <v>14</v>
      </c>
      <c r="D3874" t="s">
        <v>21</v>
      </c>
      <c r="E3874" s="2">
        <v>26.76</v>
      </c>
      <c r="F3874" s="3">
        <v>73.16</v>
      </c>
      <c r="G3874" s="4">
        <v>497.51</v>
      </c>
      <c r="H3874">
        <v>1.5</v>
      </c>
      <c r="I3874" s="4">
        <v>746.26</v>
      </c>
      <c r="J3874">
        <v>3.4</v>
      </c>
      <c r="K3874" t="s">
        <v>33</v>
      </c>
      <c r="L3874" t="s">
        <v>16</v>
      </c>
      <c r="O3874"/>
    </row>
    <row r="3875" spans="1:15" x14ac:dyDescent="0.3">
      <c r="A3875" t="s">
        <v>3899</v>
      </c>
      <c r="B3875" s="1">
        <v>45990</v>
      </c>
      <c r="C3875" t="s">
        <v>25</v>
      </c>
      <c r="D3875" t="s">
        <v>22</v>
      </c>
      <c r="E3875" s="2">
        <v>21.55</v>
      </c>
      <c r="F3875" s="3">
        <v>44.84</v>
      </c>
      <c r="G3875" s="4">
        <v>226.57</v>
      </c>
      <c r="H3875">
        <v>1</v>
      </c>
      <c r="I3875" s="4">
        <v>226.57</v>
      </c>
      <c r="J3875">
        <v>3.1</v>
      </c>
      <c r="K3875" t="s">
        <v>15</v>
      </c>
      <c r="L3875" t="s">
        <v>26</v>
      </c>
      <c r="O3875"/>
    </row>
    <row r="3876" spans="1:15" x14ac:dyDescent="0.3">
      <c r="A3876" t="s">
        <v>3900</v>
      </c>
      <c r="B3876" s="1">
        <v>45704</v>
      </c>
      <c r="C3876" t="s">
        <v>22</v>
      </c>
      <c r="D3876" t="s">
        <v>14</v>
      </c>
      <c r="E3876" s="2">
        <v>20.29</v>
      </c>
      <c r="F3876" s="3">
        <v>55.67</v>
      </c>
      <c r="G3876" s="4">
        <v>366.43</v>
      </c>
      <c r="H3876">
        <v>1.2</v>
      </c>
      <c r="I3876" s="4">
        <v>439.72</v>
      </c>
      <c r="J3876">
        <v>4.5</v>
      </c>
      <c r="K3876" t="s">
        <v>15</v>
      </c>
      <c r="L3876" t="s">
        <v>26</v>
      </c>
      <c r="O3876"/>
    </row>
    <row r="3877" spans="1:15" x14ac:dyDescent="0.3">
      <c r="A3877" t="s">
        <v>3901</v>
      </c>
      <c r="B3877" s="1">
        <v>45699</v>
      </c>
      <c r="C3877" t="s">
        <v>13</v>
      </c>
      <c r="D3877" t="s">
        <v>22</v>
      </c>
      <c r="E3877" s="2">
        <v>24.12</v>
      </c>
      <c r="F3877" s="3">
        <v>94.22</v>
      </c>
      <c r="G3877" s="4">
        <v>255.68</v>
      </c>
      <c r="H3877">
        <v>2</v>
      </c>
      <c r="I3877" s="4">
        <v>511.36</v>
      </c>
      <c r="J3877">
        <v>4.0999999999999996</v>
      </c>
      <c r="K3877" t="s">
        <v>15</v>
      </c>
      <c r="L3877" t="s">
        <v>26</v>
      </c>
      <c r="O3877"/>
    </row>
    <row r="3878" spans="1:15" x14ac:dyDescent="0.3">
      <c r="A3878" t="s">
        <v>3902</v>
      </c>
      <c r="B3878" s="1">
        <v>45856</v>
      </c>
      <c r="C3878" t="s">
        <v>22</v>
      </c>
      <c r="D3878" t="s">
        <v>25</v>
      </c>
      <c r="E3878" s="2">
        <v>26.16</v>
      </c>
      <c r="F3878" s="3">
        <v>67.19</v>
      </c>
      <c r="G3878" s="4">
        <v>466.44</v>
      </c>
      <c r="H3878">
        <v>1.5</v>
      </c>
      <c r="I3878" s="4">
        <v>699.66</v>
      </c>
      <c r="J3878">
        <v>4.8</v>
      </c>
      <c r="K3878" t="s">
        <v>33</v>
      </c>
      <c r="L3878" t="s">
        <v>26</v>
      </c>
      <c r="O3878"/>
    </row>
    <row r="3879" spans="1:15" x14ac:dyDescent="0.3">
      <c r="A3879" t="s">
        <v>3903</v>
      </c>
      <c r="B3879" s="1">
        <v>45740</v>
      </c>
      <c r="C3879" t="s">
        <v>22</v>
      </c>
      <c r="D3879" t="s">
        <v>14</v>
      </c>
      <c r="E3879" s="2">
        <v>6.57</v>
      </c>
      <c r="F3879" s="3">
        <v>16.04</v>
      </c>
      <c r="G3879" s="4">
        <v>68.81</v>
      </c>
      <c r="H3879">
        <v>1.5</v>
      </c>
      <c r="I3879" s="4">
        <v>103.22</v>
      </c>
      <c r="J3879">
        <v>3.9</v>
      </c>
      <c r="K3879" t="s">
        <v>33</v>
      </c>
      <c r="L3879" t="s">
        <v>28</v>
      </c>
      <c r="O3879"/>
    </row>
    <row r="3880" spans="1:15" x14ac:dyDescent="0.3">
      <c r="A3880" t="s">
        <v>3904</v>
      </c>
      <c r="B3880" s="1">
        <v>46019</v>
      </c>
      <c r="C3880" t="s">
        <v>22</v>
      </c>
      <c r="D3880" t="s">
        <v>22</v>
      </c>
      <c r="E3880" s="2">
        <v>25.16</v>
      </c>
      <c r="F3880" s="3">
        <v>68.760000000000005</v>
      </c>
      <c r="G3880" s="4">
        <v>441.46</v>
      </c>
      <c r="H3880">
        <v>1.5</v>
      </c>
      <c r="I3880" s="4">
        <v>662.19</v>
      </c>
      <c r="J3880">
        <v>4.2</v>
      </c>
      <c r="K3880" t="s">
        <v>36</v>
      </c>
      <c r="L3880" t="s">
        <v>28</v>
      </c>
      <c r="O3880"/>
    </row>
    <row r="3881" spans="1:15" x14ac:dyDescent="0.3">
      <c r="A3881" t="s">
        <v>3905</v>
      </c>
      <c r="B3881" s="1">
        <v>45933</v>
      </c>
      <c r="C3881" t="s">
        <v>22</v>
      </c>
      <c r="D3881" t="s">
        <v>13</v>
      </c>
      <c r="E3881" s="2">
        <v>29.31</v>
      </c>
      <c r="F3881" s="3">
        <v>72.680000000000007</v>
      </c>
      <c r="G3881" s="4">
        <v>545.85</v>
      </c>
      <c r="H3881">
        <v>1.2</v>
      </c>
      <c r="I3881" s="4">
        <v>655.02</v>
      </c>
      <c r="J3881">
        <v>3.2</v>
      </c>
      <c r="K3881" t="s">
        <v>15</v>
      </c>
      <c r="L3881" t="s">
        <v>16</v>
      </c>
      <c r="O3881"/>
    </row>
    <row r="3882" spans="1:15" x14ac:dyDescent="0.3">
      <c r="A3882" t="s">
        <v>3906</v>
      </c>
      <c r="B3882" s="1">
        <v>46016</v>
      </c>
      <c r="C3882" t="s">
        <v>13</v>
      </c>
      <c r="D3882" t="s">
        <v>14</v>
      </c>
      <c r="E3882" s="2">
        <v>19.899999999999999</v>
      </c>
      <c r="F3882" s="3">
        <v>56.67</v>
      </c>
      <c r="G3882" s="4">
        <v>244.39</v>
      </c>
      <c r="H3882">
        <v>1.2</v>
      </c>
      <c r="I3882" s="4">
        <v>293.27</v>
      </c>
      <c r="J3882">
        <v>4.5999999999999996</v>
      </c>
      <c r="K3882" t="s">
        <v>15</v>
      </c>
      <c r="L3882" t="s">
        <v>28</v>
      </c>
      <c r="O3882"/>
    </row>
    <row r="3883" spans="1:15" x14ac:dyDescent="0.3">
      <c r="A3883" t="s">
        <v>3907</v>
      </c>
      <c r="B3883" s="1">
        <v>45986</v>
      </c>
      <c r="C3883" t="s">
        <v>21</v>
      </c>
      <c r="D3883" t="s">
        <v>14</v>
      </c>
      <c r="E3883" s="2">
        <v>29.72</v>
      </c>
      <c r="F3883" s="3">
        <v>103.31</v>
      </c>
      <c r="G3883" s="4">
        <v>394.49</v>
      </c>
      <c r="H3883">
        <v>1.5</v>
      </c>
      <c r="I3883" s="4">
        <v>591.74</v>
      </c>
      <c r="J3883">
        <v>4.7</v>
      </c>
      <c r="K3883" t="s">
        <v>33</v>
      </c>
      <c r="L3883" t="s">
        <v>28</v>
      </c>
      <c r="O3883"/>
    </row>
    <row r="3884" spans="1:15" x14ac:dyDescent="0.3">
      <c r="A3884" t="s">
        <v>3908</v>
      </c>
      <c r="B3884" s="1">
        <v>45943</v>
      </c>
      <c r="C3884" t="s">
        <v>21</v>
      </c>
      <c r="D3884" t="s">
        <v>13</v>
      </c>
      <c r="E3884" s="2">
        <v>9.17</v>
      </c>
      <c r="F3884" s="3">
        <v>18.600000000000001</v>
      </c>
      <c r="G3884" s="4">
        <v>102.54</v>
      </c>
      <c r="H3884">
        <v>1.2</v>
      </c>
      <c r="I3884" s="4">
        <v>123.05</v>
      </c>
      <c r="J3884">
        <v>4.2</v>
      </c>
      <c r="K3884" t="s">
        <v>15</v>
      </c>
      <c r="L3884" t="s">
        <v>16</v>
      </c>
      <c r="O3884"/>
    </row>
    <row r="3885" spans="1:15" x14ac:dyDescent="0.3">
      <c r="A3885" t="s">
        <v>3909</v>
      </c>
      <c r="B3885" s="1">
        <v>45960</v>
      </c>
      <c r="C3885" t="s">
        <v>25</v>
      </c>
      <c r="D3885" t="s">
        <v>21</v>
      </c>
      <c r="E3885" s="2">
        <v>12.11</v>
      </c>
      <c r="F3885" s="3">
        <v>27.9</v>
      </c>
      <c r="G3885" s="4">
        <v>142.85</v>
      </c>
      <c r="H3885">
        <v>1.5</v>
      </c>
      <c r="I3885" s="4">
        <v>214.27</v>
      </c>
      <c r="J3885">
        <v>4.5999999999999996</v>
      </c>
      <c r="K3885" t="s">
        <v>33</v>
      </c>
      <c r="L3885" t="s">
        <v>28</v>
      </c>
      <c r="O3885"/>
    </row>
    <row r="3886" spans="1:15" x14ac:dyDescent="0.3">
      <c r="A3886" t="s">
        <v>3910</v>
      </c>
      <c r="B3886" s="1">
        <v>45753</v>
      </c>
      <c r="C3886" t="s">
        <v>22</v>
      </c>
      <c r="D3886" t="s">
        <v>21</v>
      </c>
      <c r="E3886" s="2">
        <v>5.53</v>
      </c>
      <c r="F3886" s="3">
        <v>14.29</v>
      </c>
      <c r="G3886" s="4">
        <v>84.64</v>
      </c>
      <c r="H3886">
        <v>1.5</v>
      </c>
      <c r="I3886" s="4">
        <v>126.96</v>
      </c>
      <c r="J3886">
        <v>4.5999999999999996</v>
      </c>
      <c r="K3886" t="s">
        <v>36</v>
      </c>
      <c r="L3886" t="s">
        <v>16</v>
      </c>
      <c r="O3886"/>
    </row>
    <row r="3887" spans="1:15" x14ac:dyDescent="0.3">
      <c r="A3887" t="s">
        <v>3911</v>
      </c>
      <c r="B3887" s="1">
        <v>45746</v>
      </c>
      <c r="C3887" t="s">
        <v>14</v>
      </c>
      <c r="D3887" t="s">
        <v>22</v>
      </c>
      <c r="E3887" s="2">
        <v>9.84</v>
      </c>
      <c r="F3887" s="3">
        <v>24.04</v>
      </c>
      <c r="G3887" s="4">
        <v>167.13</v>
      </c>
      <c r="H3887">
        <v>1</v>
      </c>
      <c r="I3887" s="4">
        <v>167.13</v>
      </c>
      <c r="J3887">
        <v>3.9</v>
      </c>
      <c r="K3887" t="s">
        <v>36</v>
      </c>
      <c r="L3887" t="s">
        <v>16</v>
      </c>
      <c r="O3887"/>
    </row>
    <row r="3888" spans="1:15" x14ac:dyDescent="0.3">
      <c r="A3888" t="s">
        <v>3912</v>
      </c>
      <c r="B3888" s="1">
        <v>45698</v>
      </c>
      <c r="C3888" t="s">
        <v>14</v>
      </c>
      <c r="D3888" t="s">
        <v>14</v>
      </c>
      <c r="E3888" s="2">
        <v>8.3800000000000008</v>
      </c>
      <c r="F3888" s="3">
        <v>31.2</v>
      </c>
      <c r="G3888" s="4">
        <v>126.57</v>
      </c>
      <c r="H3888">
        <v>1</v>
      </c>
      <c r="I3888" s="4">
        <v>126.57</v>
      </c>
      <c r="J3888">
        <v>4</v>
      </c>
      <c r="K3888" t="s">
        <v>30</v>
      </c>
      <c r="L3888" t="s">
        <v>26</v>
      </c>
      <c r="O3888"/>
    </row>
    <row r="3889" spans="1:15" x14ac:dyDescent="0.3">
      <c r="A3889" t="s">
        <v>3913</v>
      </c>
      <c r="B3889" s="1">
        <v>45803</v>
      </c>
      <c r="C3889" t="s">
        <v>21</v>
      </c>
      <c r="D3889" t="s">
        <v>22</v>
      </c>
      <c r="E3889" s="2">
        <v>26.11</v>
      </c>
      <c r="F3889" s="3">
        <v>79.489999999999995</v>
      </c>
      <c r="G3889" s="4">
        <v>503.21</v>
      </c>
      <c r="H3889">
        <v>1.2</v>
      </c>
      <c r="I3889" s="4">
        <v>603.85</v>
      </c>
      <c r="J3889">
        <v>4.8</v>
      </c>
      <c r="K3889" t="s">
        <v>36</v>
      </c>
      <c r="L3889" t="s">
        <v>16</v>
      </c>
      <c r="O3889"/>
    </row>
    <row r="3890" spans="1:15" x14ac:dyDescent="0.3">
      <c r="A3890" t="s">
        <v>3914</v>
      </c>
      <c r="B3890" s="1">
        <v>45780</v>
      </c>
      <c r="C3890" t="s">
        <v>22</v>
      </c>
      <c r="D3890" t="s">
        <v>22</v>
      </c>
      <c r="E3890" s="2">
        <v>18.309999999999999</v>
      </c>
      <c r="F3890" s="3">
        <v>49.59</v>
      </c>
      <c r="G3890" s="4">
        <v>268.10000000000002</v>
      </c>
      <c r="H3890">
        <v>1.2</v>
      </c>
      <c r="I3890" s="4">
        <v>321.72000000000003</v>
      </c>
      <c r="J3890">
        <v>3.5</v>
      </c>
      <c r="K3890" t="s">
        <v>15</v>
      </c>
      <c r="L3890" t="s">
        <v>26</v>
      </c>
      <c r="O3890"/>
    </row>
    <row r="3891" spans="1:15" x14ac:dyDescent="0.3">
      <c r="A3891" t="s">
        <v>3915</v>
      </c>
      <c r="B3891" s="1">
        <v>45664</v>
      </c>
      <c r="C3891" t="s">
        <v>13</v>
      </c>
      <c r="D3891" t="s">
        <v>22</v>
      </c>
      <c r="E3891" s="2">
        <v>24.86</v>
      </c>
      <c r="F3891" s="3">
        <v>79.23</v>
      </c>
      <c r="G3891" s="4">
        <v>496.54</v>
      </c>
      <c r="H3891">
        <v>1.2</v>
      </c>
      <c r="I3891" s="4">
        <v>595.85</v>
      </c>
      <c r="J3891">
        <v>3.3</v>
      </c>
      <c r="K3891" t="s">
        <v>33</v>
      </c>
      <c r="L3891" t="s">
        <v>28</v>
      </c>
      <c r="O3891"/>
    </row>
    <row r="3892" spans="1:15" x14ac:dyDescent="0.3">
      <c r="A3892" t="s">
        <v>3916</v>
      </c>
      <c r="B3892" s="1">
        <v>45928</v>
      </c>
      <c r="C3892" t="s">
        <v>25</v>
      </c>
      <c r="D3892" t="s">
        <v>25</v>
      </c>
      <c r="E3892" s="2">
        <v>8.67</v>
      </c>
      <c r="F3892" s="3">
        <v>23.16</v>
      </c>
      <c r="G3892" s="4">
        <v>159.81</v>
      </c>
      <c r="H3892">
        <v>1.5</v>
      </c>
      <c r="I3892" s="4">
        <v>239.72</v>
      </c>
      <c r="J3892">
        <v>3.9</v>
      </c>
      <c r="K3892" t="s">
        <v>36</v>
      </c>
      <c r="L3892" t="s">
        <v>28</v>
      </c>
      <c r="O3892"/>
    </row>
    <row r="3893" spans="1:15" x14ac:dyDescent="0.3">
      <c r="A3893" t="s">
        <v>3917</v>
      </c>
      <c r="B3893" s="1">
        <v>45750</v>
      </c>
      <c r="C3893" t="s">
        <v>14</v>
      </c>
      <c r="D3893" t="s">
        <v>25</v>
      </c>
      <c r="E3893" s="2">
        <v>27.24</v>
      </c>
      <c r="F3893" s="3">
        <v>89.34</v>
      </c>
      <c r="G3893" s="4">
        <v>334.19</v>
      </c>
      <c r="H3893">
        <v>1</v>
      </c>
      <c r="I3893" s="4">
        <v>334.19</v>
      </c>
      <c r="J3893">
        <v>4.5</v>
      </c>
      <c r="K3893" t="s">
        <v>15</v>
      </c>
      <c r="L3893" t="s">
        <v>16</v>
      </c>
      <c r="O3893"/>
    </row>
    <row r="3894" spans="1:15" x14ac:dyDescent="0.3">
      <c r="A3894" t="s">
        <v>3918</v>
      </c>
      <c r="B3894" s="1">
        <v>45717</v>
      </c>
      <c r="C3894" t="s">
        <v>13</v>
      </c>
      <c r="D3894" t="s">
        <v>14</v>
      </c>
      <c r="E3894" s="2">
        <v>26.92</v>
      </c>
      <c r="F3894" s="3">
        <v>67.63</v>
      </c>
      <c r="G3894" s="4">
        <v>382.4</v>
      </c>
      <c r="H3894">
        <v>1</v>
      </c>
      <c r="I3894" s="4">
        <v>382.4</v>
      </c>
      <c r="J3894">
        <v>4.7</v>
      </c>
      <c r="K3894" t="s">
        <v>33</v>
      </c>
      <c r="L3894" t="s">
        <v>19</v>
      </c>
      <c r="O3894"/>
    </row>
    <row r="3895" spans="1:15" x14ac:dyDescent="0.3">
      <c r="A3895" t="s">
        <v>3919</v>
      </c>
      <c r="B3895" s="1">
        <v>45742</v>
      </c>
      <c r="C3895" t="s">
        <v>13</v>
      </c>
      <c r="D3895" t="s">
        <v>13</v>
      </c>
      <c r="E3895" s="2">
        <v>24.6</v>
      </c>
      <c r="F3895" s="3">
        <v>74.709999999999994</v>
      </c>
      <c r="G3895" s="4">
        <v>470.24</v>
      </c>
      <c r="H3895">
        <v>1.5</v>
      </c>
      <c r="I3895" s="4">
        <v>705.36</v>
      </c>
      <c r="J3895">
        <v>4.3</v>
      </c>
      <c r="K3895" t="s">
        <v>15</v>
      </c>
      <c r="L3895" t="s">
        <v>28</v>
      </c>
      <c r="O3895"/>
    </row>
    <row r="3896" spans="1:15" x14ac:dyDescent="0.3">
      <c r="A3896" t="s">
        <v>3920</v>
      </c>
      <c r="B3896" s="1">
        <v>45999</v>
      </c>
      <c r="C3896" t="s">
        <v>14</v>
      </c>
      <c r="D3896" t="s">
        <v>13</v>
      </c>
      <c r="E3896" s="2">
        <v>21.55</v>
      </c>
      <c r="F3896" s="3">
        <v>66.349999999999994</v>
      </c>
      <c r="G3896" s="4">
        <v>399.66</v>
      </c>
      <c r="H3896">
        <v>1.5</v>
      </c>
      <c r="I3896" s="4">
        <v>599.49</v>
      </c>
      <c r="J3896">
        <v>3</v>
      </c>
      <c r="K3896" t="s">
        <v>36</v>
      </c>
      <c r="L3896" t="s">
        <v>19</v>
      </c>
      <c r="O3896"/>
    </row>
    <row r="3897" spans="1:15" x14ac:dyDescent="0.3">
      <c r="A3897" t="s">
        <v>3921</v>
      </c>
      <c r="B3897" s="1">
        <v>45688</v>
      </c>
      <c r="C3897" t="s">
        <v>22</v>
      </c>
      <c r="D3897" t="s">
        <v>14</v>
      </c>
      <c r="E3897" s="2">
        <v>9.51</v>
      </c>
      <c r="F3897" s="3">
        <v>31.48</v>
      </c>
      <c r="G3897" s="4">
        <v>98.92</v>
      </c>
      <c r="H3897">
        <v>1.2</v>
      </c>
      <c r="I3897" s="4">
        <v>118.7</v>
      </c>
      <c r="J3897">
        <v>4.2</v>
      </c>
      <c r="K3897" t="s">
        <v>15</v>
      </c>
      <c r="L3897" t="s">
        <v>28</v>
      </c>
      <c r="O3897"/>
    </row>
    <row r="3898" spans="1:15" x14ac:dyDescent="0.3">
      <c r="A3898" t="s">
        <v>3922</v>
      </c>
      <c r="B3898" s="1">
        <v>45768</v>
      </c>
      <c r="C3898" t="s">
        <v>13</v>
      </c>
      <c r="D3898" t="s">
        <v>13</v>
      </c>
      <c r="E3898" s="2">
        <v>11.69</v>
      </c>
      <c r="F3898" s="3">
        <v>28.42</v>
      </c>
      <c r="G3898" s="4">
        <v>179.75</v>
      </c>
      <c r="H3898">
        <v>2</v>
      </c>
      <c r="I3898" s="4">
        <v>359.5</v>
      </c>
      <c r="J3898">
        <v>4.5</v>
      </c>
      <c r="K3898" t="s">
        <v>30</v>
      </c>
      <c r="L3898" t="s">
        <v>28</v>
      </c>
      <c r="O3898"/>
    </row>
    <row r="3899" spans="1:15" x14ac:dyDescent="0.3">
      <c r="A3899" t="s">
        <v>3923</v>
      </c>
      <c r="B3899" s="1">
        <v>45803</v>
      </c>
      <c r="C3899" t="s">
        <v>21</v>
      </c>
      <c r="D3899" t="s">
        <v>25</v>
      </c>
      <c r="E3899" s="2">
        <v>8.32</v>
      </c>
      <c r="F3899" s="3">
        <v>21.28</v>
      </c>
      <c r="G3899" s="4">
        <v>162.16999999999999</v>
      </c>
      <c r="H3899">
        <v>1.5</v>
      </c>
      <c r="I3899" s="4">
        <v>243.26</v>
      </c>
      <c r="J3899">
        <v>3.7</v>
      </c>
      <c r="K3899" t="s">
        <v>15</v>
      </c>
      <c r="L3899" t="s">
        <v>19</v>
      </c>
      <c r="O3899"/>
    </row>
    <row r="3900" spans="1:15" x14ac:dyDescent="0.3">
      <c r="A3900" t="s">
        <v>3924</v>
      </c>
      <c r="B3900" s="1">
        <v>45679</v>
      </c>
      <c r="C3900" t="s">
        <v>22</v>
      </c>
      <c r="D3900" t="s">
        <v>22</v>
      </c>
      <c r="E3900" s="2">
        <v>23.67</v>
      </c>
      <c r="F3900" s="3">
        <v>80.44</v>
      </c>
      <c r="G3900" s="4">
        <v>267.13</v>
      </c>
      <c r="H3900">
        <v>1.5</v>
      </c>
      <c r="I3900" s="4">
        <v>400.7</v>
      </c>
      <c r="J3900">
        <v>4.2</v>
      </c>
      <c r="K3900" t="s">
        <v>36</v>
      </c>
      <c r="L3900" t="s">
        <v>16</v>
      </c>
      <c r="O3900"/>
    </row>
    <row r="3901" spans="1:15" x14ac:dyDescent="0.3">
      <c r="A3901" t="s">
        <v>3925</v>
      </c>
      <c r="B3901" s="1">
        <v>45975</v>
      </c>
      <c r="C3901" t="s">
        <v>13</v>
      </c>
      <c r="D3901" t="s">
        <v>13</v>
      </c>
      <c r="E3901" s="2">
        <v>21.25</v>
      </c>
      <c r="F3901" s="3">
        <v>62.36</v>
      </c>
      <c r="G3901" s="4">
        <v>253.08</v>
      </c>
      <c r="H3901">
        <v>1.5</v>
      </c>
      <c r="I3901" s="4">
        <v>379.62</v>
      </c>
      <c r="J3901">
        <v>3.2</v>
      </c>
      <c r="K3901" t="s">
        <v>36</v>
      </c>
      <c r="L3901" t="s">
        <v>19</v>
      </c>
      <c r="O3901"/>
    </row>
    <row r="3902" spans="1:15" x14ac:dyDescent="0.3">
      <c r="A3902" t="s">
        <v>3926</v>
      </c>
      <c r="B3902" s="1">
        <v>45922</v>
      </c>
      <c r="C3902" t="s">
        <v>14</v>
      </c>
      <c r="D3902" t="s">
        <v>14</v>
      </c>
      <c r="E3902" s="2">
        <v>9.43</v>
      </c>
      <c r="F3902" s="3">
        <v>25.05</v>
      </c>
      <c r="G3902" s="4">
        <v>135.69999999999999</v>
      </c>
      <c r="H3902">
        <v>1.5</v>
      </c>
      <c r="I3902" s="4">
        <v>203.55</v>
      </c>
      <c r="J3902">
        <v>4.3</v>
      </c>
      <c r="K3902" t="s">
        <v>18</v>
      </c>
      <c r="L3902" t="s">
        <v>26</v>
      </c>
      <c r="O3902"/>
    </row>
    <row r="3903" spans="1:15" x14ac:dyDescent="0.3">
      <c r="A3903" t="s">
        <v>3927</v>
      </c>
      <c r="B3903" s="1">
        <v>45958</v>
      </c>
      <c r="C3903" t="s">
        <v>13</v>
      </c>
      <c r="D3903" t="s">
        <v>25</v>
      </c>
      <c r="E3903" s="2">
        <v>14.67</v>
      </c>
      <c r="F3903" s="3">
        <v>29.39</v>
      </c>
      <c r="G3903" s="4">
        <v>196.66</v>
      </c>
      <c r="H3903">
        <v>1.5</v>
      </c>
      <c r="I3903" s="4">
        <v>294.99</v>
      </c>
      <c r="J3903">
        <v>3.1</v>
      </c>
      <c r="K3903" t="s">
        <v>15</v>
      </c>
      <c r="L3903" t="s">
        <v>26</v>
      </c>
      <c r="O3903"/>
    </row>
    <row r="3904" spans="1:15" x14ac:dyDescent="0.3">
      <c r="A3904" t="s">
        <v>3928</v>
      </c>
      <c r="B3904" s="1">
        <v>45946</v>
      </c>
      <c r="C3904" t="s">
        <v>14</v>
      </c>
      <c r="D3904" t="s">
        <v>14</v>
      </c>
      <c r="E3904" s="2">
        <v>29.12</v>
      </c>
      <c r="F3904" s="3">
        <v>115.39</v>
      </c>
      <c r="G3904" s="4">
        <v>373.25</v>
      </c>
      <c r="H3904">
        <v>1.2</v>
      </c>
      <c r="I3904" s="4">
        <v>447.9</v>
      </c>
      <c r="J3904">
        <v>3.3</v>
      </c>
      <c r="K3904" t="s">
        <v>18</v>
      </c>
      <c r="L3904" t="s">
        <v>28</v>
      </c>
      <c r="O3904"/>
    </row>
    <row r="3905" spans="1:15" x14ac:dyDescent="0.3">
      <c r="A3905" t="s">
        <v>3929</v>
      </c>
      <c r="B3905" s="1">
        <v>45944</v>
      </c>
      <c r="C3905" t="s">
        <v>22</v>
      </c>
      <c r="D3905" t="s">
        <v>22</v>
      </c>
      <c r="E3905" s="2">
        <v>26.33</v>
      </c>
      <c r="F3905" s="3">
        <v>82.6</v>
      </c>
      <c r="G3905" s="4">
        <v>364.7</v>
      </c>
      <c r="H3905">
        <v>1</v>
      </c>
      <c r="I3905" s="4">
        <v>364.7</v>
      </c>
      <c r="J3905">
        <v>3.3</v>
      </c>
      <c r="K3905" t="s">
        <v>33</v>
      </c>
      <c r="L3905" t="s">
        <v>16</v>
      </c>
      <c r="O3905"/>
    </row>
    <row r="3906" spans="1:15" x14ac:dyDescent="0.3">
      <c r="A3906" t="s">
        <v>3930</v>
      </c>
      <c r="B3906" s="1">
        <v>45932</v>
      </c>
      <c r="C3906" t="s">
        <v>21</v>
      </c>
      <c r="D3906" t="s">
        <v>13</v>
      </c>
      <c r="E3906" s="2">
        <v>16.38</v>
      </c>
      <c r="F3906" s="3">
        <v>42.03</v>
      </c>
      <c r="G3906" s="4">
        <v>221.17</v>
      </c>
      <c r="H3906">
        <v>1.2</v>
      </c>
      <c r="I3906" s="4">
        <v>265.39999999999998</v>
      </c>
      <c r="J3906">
        <v>4.2</v>
      </c>
      <c r="K3906" t="s">
        <v>18</v>
      </c>
      <c r="L3906" t="s">
        <v>28</v>
      </c>
      <c r="O3906"/>
    </row>
    <row r="3907" spans="1:15" x14ac:dyDescent="0.3">
      <c r="A3907" t="s">
        <v>3931</v>
      </c>
      <c r="B3907" s="1">
        <v>45891</v>
      </c>
      <c r="C3907" t="s">
        <v>21</v>
      </c>
      <c r="D3907" t="s">
        <v>21</v>
      </c>
      <c r="E3907" s="2">
        <v>26.35</v>
      </c>
      <c r="F3907" s="3">
        <v>58.72</v>
      </c>
      <c r="G3907" s="4">
        <v>421.99</v>
      </c>
      <c r="H3907">
        <v>1.2</v>
      </c>
      <c r="I3907" s="4">
        <v>506.39</v>
      </c>
      <c r="J3907">
        <v>3.5</v>
      </c>
      <c r="K3907" t="s">
        <v>33</v>
      </c>
      <c r="L3907" t="s">
        <v>16</v>
      </c>
      <c r="O3907"/>
    </row>
    <row r="3908" spans="1:15" x14ac:dyDescent="0.3">
      <c r="A3908" t="s">
        <v>3932</v>
      </c>
      <c r="B3908" s="1">
        <v>45953</v>
      </c>
      <c r="C3908" t="s">
        <v>22</v>
      </c>
      <c r="D3908" t="s">
        <v>22</v>
      </c>
      <c r="E3908" s="2">
        <v>9.81</v>
      </c>
      <c r="F3908" s="3">
        <v>25.97</v>
      </c>
      <c r="G3908" s="4">
        <v>195.19</v>
      </c>
      <c r="H3908">
        <v>2</v>
      </c>
      <c r="I3908" s="4">
        <v>390.38</v>
      </c>
      <c r="J3908">
        <v>4.7</v>
      </c>
      <c r="K3908" t="s">
        <v>30</v>
      </c>
      <c r="L3908" t="s">
        <v>26</v>
      </c>
      <c r="O3908"/>
    </row>
    <row r="3909" spans="1:15" x14ac:dyDescent="0.3">
      <c r="A3909" t="s">
        <v>3933</v>
      </c>
      <c r="B3909" s="1">
        <v>45715</v>
      </c>
      <c r="C3909" t="s">
        <v>13</v>
      </c>
      <c r="D3909" t="s">
        <v>14</v>
      </c>
      <c r="E3909" s="2">
        <v>28.14</v>
      </c>
      <c r="F3909" s="3">
        <v>85.08</v>
      </c>
      <c r="G3909" s="4">
        <v>282.11</v>
      </c>
      <c r="H3909">
        <v>1.5</v>
      </c>
      <c r="I3909" s="4">
        <v>423.16</v>
      </c>
      <c r="J3909">
        <v>3.7</v>
      </c>
      <c r="K3909" t="s">
        <v>18</v>
      </c>
      <c r="L3909" t="s">
        <v>28</v>
      </c>
      <c r="O3909"/>
    </row>
    <row r="3910" spans="1:15" x14ac:dyDescent="0.3">
      <c r="A3910" t="s">
        <v>3934</v>
      </c>
      <c r="B3910" s="1">
        <v>45788</v>
      </c>
      <c r="C3910" t="s">
        <v>14</v>
      </c>
      <c r="D3910" t="s">
        <v>25</v>
      </c>
      <c r="E3910" s="2">
        <v>13.07</v>
      </c>
      <c r="F3910" s="3">
        <v>46.79</v>
      </c>
      <c r="G3910" s="4">
        <v>188.04</v>
      </c>
      <c r="H3910">
        <v>1.2</v>
      </c>
      <c r="I3910" s="4">
        <v>225.65</v>
      </c>
      <c r="J3910">
        <v>3.9</v>
      </c>
      <c r="K3910" t="s">
        <v>30</v>
      </c>
      <c r="L3910" t="s">
        <v>26</v>
      </c>
      <c r="O3910"/>
    </row>
    <row r="3911" spans="1:15" x14ac:dyDescent="0.3">
      <c r="A3911" t="s">
        <v>3935</v>
      </c>
      <c r="B3911" s="1">
        <v>45808</v>
      </c>
      <c r="C3911" t="s">
        <v>14</v>
      </c>
      <c r="D3911" t="s">
        <v>22</v>
      </c>
      <c r="E3911" s="2">
        <v>20.83</v>
      </c>
      <c r="F3911" s="3">
        <v>44.23</v>
      </c>
      <c r="G3911" s="4">
        <v>306.14999999999998</v>
      </c>
      <c r="H3911">
        <v>1.2</v>
      </c>
      <c r="I3911" s="4">
        <v>367.38</v>
      </c>
      <c r="J3911">
        <v>4.0999999999999996</v>
      </c>
      <c r="K3911" t="s">
        <v>30</v>
      </c>
      <c r="L3911" t="s">
        <v>19</v>
      </c>
      <c r="O3911"/>
    </row>
    <row r="3912" spans="1:15" x14ac:dyDescent="0.3">
      <c r="A3912" t="s">
        <v>3936</v>
      </c>
      <c r="B3912" s="1">
        <v>45957</v>
      </c>
      <c r="C3912" t="s">
        <v>25</v>
      </c>
      <c r="D3912" t="s">
        <v>25</v>
      </c>
      <c r="E3912" s="2">
        <v>11.44</v>
      </c>
      <c r="F3912" s="3">
        <v>25.17</v>
      </c>
      <c r="G3912" s="4">
        <v>119.15</v>
      </c>
      <c r="H3912">
        <v>1.5</v>
      </c>
      <c r="I3912" s="4">
        <v>178.73</v>
      </c>
      <c r="J3912">
        <v>3.5</v>
      </c>
      <c r="K3912" t="s">
        <v>33</v>
      </c>
      <c r="L3912" t="s">
        <v>26</v>
      </c>
      <c r="O3912"/>
    </row>
    <row r="3913" spans="1:15" x14ac:dyDescent="0.3">
      <c r="A3913" t="s">
        <v>3937</v>
      </c>
      <c r="B3913" s="1">
        <v>45895</v>
      </c>
      <c r="C3913" t="s">
        <v>14</v>
      </c>
      <c r="D3913" t="s">
        <v>21</v>
      </c>
      <c r="E3913" s="2">
        <v>19.84</v>
      </c>
      <c r="F3913" s="3">
        <v>73.290000000000006</v>
      </c>
      <c r="G3913" s="4">
        <v>260.41000000000003</v>
      </c>
      <c r="H3913">
        <v>1.5</v>
      </c>
      <c r="I3913" s="4">
        <v>390.62</v>
      </c>
      <c r="J3913">
        <v>3.7</v>
      </c>
      <c r="K3913" t="s">
        <v>33</v>
      </c>
      <c r="L3913" t="s">
        <v>26</v>
      </c>
      <c r="O3913"/>
    </row>
    <row r="3914" spans="1:15" x14ac:dyDescent="0.3">
      <c r="A3914" t="s">
        <v>3938</v>
      </c>
      <c r="B3914" s="1">
        <v>45935</v>
      </c>
      <c r="C3914" t="s">
        <v>14</v>
      </c>
      <c r="D3914" t="s">
        <v>21</v>
      </c>
      <c r="E3914" s="2">
        <v>12.56</v>
      </c>
      <c r="F3914" s="3">
        <v>26.79</v>
      </c>
      <c r="G3914" s="4">
        <v>154.38999999999999</v>
      </c>
      <c r="H3914">
        <v>2</v>
      </c>
      <c r="I3914" s="4">
        <v>308.77999999999997</v>
      </c>
      <c r="J3914">
        <v>3.9</v>
      </c>
      <c r="K3914" t="s">
        <v>33</v>
      </c>
      <c r="L3914" t="s">
        <v>16</v>
      </c>
      <c r="O3914"/>
    </row>
    <row r="3915" spans="1:15" x14ac:dyDescent="0.3">
      <c r="A3915" t="s">
        <v>3939</v>
      </c>
      <c r="B3915" s="1">
        <v>45721</v>
      </c>
      <c r="C3915" t="s">
        <v>14</v>
      </c>
      <c r="D3915" t="s">
        <v>13</v>
      </c>
      <c r="E3915" s="2">
        <v>3.51</v>
      </c>
      <c r="F3915" s="3">
        <v>8.59</v>
      </c>
      <c r="G3915" s="4">
        <v>62.1</v>
      </c>
      <c r="H3915">
        <v>2</v>
      </c>
      <c r="I3915" s="4">
        <v>124.2</v>
      </c>
      <c r="J3915">
        <v>4.5</v>
      </c>
      <c r="K3915" t="s">
        <v>15</v>
      </c>
      <c r="L3915" t="s">
        <v>28</v>
      </c>
      <c r="O3915"/>
    </row>
    <row r="3916" spans="1:15" x14ac:dyDescent="0.3">
      <c r="A3916" t="s">
        <v>3940</v>
      </c>
      <c r="B3916" s="1">
        <v>45955</v>
      </c>
      <c r="C3916" t="s">
        <v>22</v>
      </c>
      <c r="D3916" t="s">
        <v>25</v>
      </c>
      <c r="E3916" s="2">
        <v>7.12</v>
      </c>
      <c r="F3916" s="3">
        <v>27.81</v>
      </c>
      <c r="G3916" s="4">
        <v>126.99</v>
      </c>
      <c r="H3916">
        <v>1.2</v>
      </c>
      <c r="I3916" s="4">
        <v>152.38999999999999</v>
      </c>
      <c r="J3916">
        <v>3.9</v>
      </c>
      <c r="K3916" t="s">
        <v>36</v>
      </c>
      <c r="L3916" t="s">
        <v>28</v>
      </c>
      <c r="O3916"/>
    </row>
    <row r="3917" spans="1:15" x14ac:dyDescent="0.3">
      <c r="A3917" t="s">
        <v>3941</v>
      </c>
      <c r="B3917" s="1">
        <v>45894</v>
      </c>
      <c r="C3917" t="s">
        <v>25</v>
      </c>
      <c r="D3917" t="s">
        <v>25</v>
      </c>
      <c r="E3917" s="2">
        <v>4.28</v>
      </c>
      <c r="F3917" s="3">
        <v>11.65</v>
      </c>
      <c r="G3917" s="4">
        <v>71.03</v>
      </c>
      <c r="H3917">
        <v>1.5</v>
      </c>
      <c r="I3917" s="4">
        <v>106.54</v>
      </c>
      <c r="J3917">
        <v>3.4</v>
      </c>
      <c r="K3917" t="s">
        <v>15</v>
      </c>
      <c r="L3917" t="s">
        <v>16</v>
      </c>
      <c r="O3917"/>
    </row>
    <row r="3918" spans="1:15" x14ac:dyDescent="0.3">
      <c r="A3918" t="s">
        <v>3942</v>
      </c>
      <c r="B3918" s="1">
        <v>45813</v>
      </c>
      <c r="C3918" t="s">
        <v>13</v>
      </c>
      <c r="D3918" t="s">
        <v>14</v>
      </c>
      <c r="E3918" s="2">
        <v>8.1</v>
      </c>
      <c r="F3918" s="3">
        <v>27.88</v>
      </c>
      <c r="G3918" s="4">
        <v>110.13</v>
      </c>
      <c r="H3918">
        <v>1.5</v>
      </c>
      <c r="I3918" s="4">
        <v>165.2</v>
      </c>
      <c r="J3918">
        <v>3.4</v>
      </c>
      <c r="K3918" t="s">
        <v>15</v>
      </c>
      <c r="L3918" t="s">
        <v>16</v>
      </c>
      <c r="O3918"/>
    </row>
    <row r="3919" spans="1:15" x14ac:dyDescent="0.3">
      <c r="A3919" t="s">
        <v>3943</v>
      </c>
      <c r="B3919" s="1">
        <v>45959</v>
      </c>
      <c r="C3919" t="s">
        <v>13</v>
      </c>
      <c r="D3919" t="s">
        <v>14</v>
      </c>
      <c r="E3919" s="2">
        <v>11.5</v>
      </c>
      <c r="F3919" s="3">
        <v>33.67</v>
      </c>
      <c r="G3919" s="4">
        <v>163.74</v>
      </c>
      <c r="H3919">
        <v>1.2</v>
      </c>
      <c r="I3919" s="4">
        <v>196.49</v>
      </c>
      <c r="J3919">
        <v>3.8</v>
      </c>
      <c r="K3919" t="s">
        <v>33</v>
      </c>
      <c r="L3919" t="s">
        <v>26</v>
      </c>
      <c r="O3919"/>
    </row>
    <row r="3920" spans="1:15" x14ac:dyDescent="0.3">
      <c r="A3920" t="s">
        <v>3944</v>
      </c>
      <c r="B3920" s="1">
        <v>45739</v>
      </c>
      <c r="C3920" t="s">
        <v>14</v>
      </c>
      <c r="D3920" t="s">
        <v>13</v>
      </c>
      <c r="E3920" s="2">
        <v>18.260000000000002</v>
      </c>
      <c r="F3920" s="3">
        <v>56.53</v>
      </c>
      <c r="G3920" s="4">
        <v>351.8</v>
      </c>
      <c r="H3920">
        <v>1.2</v>
      </c>
      <c r="I3920" s="4">
        <v>422.16</v>
      </c>
      <c r="J3920">
        <v>3.8</v>
      </c>
      <c r="K3920" t="s">
        <v>15</v>
      </c>
      <c r="L3920" t="s">
        <v>26</v>
      </c>
      <c r="O3920"/>
    </row>
    <row r="3921" spans="1:15" x14ac:dyDescent="0.3">
      <c r="A3921" t="s">
        <v>3945</v>
      </c>
      <c r="B3921" s="1">
        <v>45690</v>
      </c>
      <c r="C3921" t="s">
        <v>21</v>
      </c>
      <c r="D3921" t="s">
        <v>21</v>
      </c>
      <c r="E3921" s="2">
        <v>2.2200000000000002</v>
      </c>
      <c r="F3921" s="3">
        <v>4.75</v>
      </c>
      <c r="G3921" s="4">
        <v>22.36</v>
      </c>
      <c r="H3921">
        <v>1</v>
      </c>
      <c r="I3921" s="4">
        <v>22.36</v>
      </c>
      <c r="J3921">
        <v>3.2</v>
      </c>
      <c r="K3921" t="s">
        <v>30</v>
      </c>
      <c r="L3921" t="s">
        <v>16</v>
      </c>
      <c r="O3921"/>
    </row>
    <row r="3922" spans="1:15" x14ac:dyDescent="0.3">
      <c r="A3922" t="s">
        <v>3946</v>
      </c>
      <c r="B3922" s="1">
        <v>45926</v>
      </c>
      <c r="C3922" t="s">
        <v>14</v>
      </c>
      <c r="D3922" t="s">
        <v>25</v>
      </c>
      <c r="E3922" s="2">
        <v>14.59</v>
      </c>
      <c r="F3922" s="3">
        <v>53.85</v>
      </c>
      <c r="G3922" s="4">
        <v>234.79</v>
      </c>
      <c r="H3922">
        <v>1.2</v>
      </c>
      <c r="I3922" s="4">
        <v>281.75</v>
      </c>
      <c r="J3922">
        <v>4</v>
      </c>
      <c r="K3922" t="s">
        <v>33</v>
      </c>
      <c r="L3922" t="s">
        <v>26</v>
      </c>
      <c r="O3922"/>
    </row>
    <row r="3923" spans="1:15" x14ac:dyDescent="0.3">
      <c r="A3923" t="s">
        <v>3947</v>
      </c>
      <c r="B3923" s="1">
        <v>45661</v>
      </c>
      <c r="C3923" t="s">
        <v>25</v>
      </c>
      <c r="D3923" t="s">
        <v>25</v>
      </c>
      <c r="E3923" s="2">
        <v>25.18</v>
      </c>
      <c r="F3923" s="3">
        <v>58.71</v>
      </c>
      <c r="G3923" s="4">
        <v>265.18</v>
      </c>
      <c r="H3923">
        <v>1</v>
      </c>
      <c r="I3923" s="4">
        <v>265.18</v>
      </c>
      <c r="J3923">
        <v>3.6</v>
      </c>
      <c r="K3923" t="s">
        <v>18</v>
      </c>
      <c r="L3923" t="s">
        <v>28</v>
      </c>
      <c r="O3923"/>
    </row>
    <row r="3924" spans="1:15" x14ac:dyDescent="0.3">
      <c r="A3924" t="s">
        <v>3948</v>
      </c>
      <c r="B3924" s="1">
        <v>45985</v>
      </c>
      <c r="C3924" t="s">
        <v>22</v>
      </c>
      <c r="D3924" t="s">
        <v>22</v>
      </c>
      <c r="E3924" s="2">
        <v>9.19</v>
      </c>
      <c r="F3924" s="3">
        <v>30.7</v>
      </c>
      <c r="G3924" s="4">
        <v>111.92</v>
      </c>
      <c r="H3924">
        <v>1</v>
      </c>
      <c r="I3924" s="4">
        <v>111.92</v>
      </c>
      <c r="J3924">
        <v>3.5</v>
      </c>
      <c r="K3924" t="s">
        <v>33</v>
      </c>
      <c r="L3924" t="s">
        <v>28</v>
      </c>
      <c r="O3924"/>
    </row>
    <row r="3925" spans="1:15" x14ac:dyDescent="0.3">
      <c r="A3925" t="s">
        <v>3949</v>
      </c>
      <c r="B3925" s="1">
        <v>45719</v>
      </c>
      <c r="C3925" t="s">
        <v>13</v>
      </c>
      <c r="D3925" t="s">
        <v>14</v>
      </c>
      <c r="E3925" s="2">
        <v>5.27</v>
      </c>
      <c r="F3925" s="3">
        <v>15.9</v>
      </c>
      <c r="G3925" s="4">
        <v>101.28</v>
      </c>
      <c r="H3925">
        <v>2</v>
      </c>
      <c r="I3925" s="4">
        <v>202.56</v>
      </c>
      <c r="J3925">
        <v>4.7</v>
      </c>
      <c r="K3925" t="s">
        <v>30</v>
      </c>
      <c r="L3925" t="s">
        <v>16</v>
      </c>
      <c r="O3925"/>
    </row>
    <row r="3926" spans="1:15" x14ac:dyDescent="0.3">
      <c r="A3926" t="s">
        <v>3950</v>
      </c>
      <c r="B3926" s="1">
        <v>45884</v>
      </c>
      <c r="C3926" t="s">
        <v>13</v>
      </c>
      <c r="D3926" t="s">
        <v>25</v>
      </c>
      <c r="E3926" s="2">
        <v>19.86</v>
      </c>
      <c r="F3926" s="3">
        <v>66.56</v>
      </c>
      <c r="G3926" s="4">
        <v>322.73</v>
      </c>
      <c r="H3926">
        <v>1.2</v>
      </c>
      <c r="I3926" s="4">
        <v>387.28</v>
      </c>
      <c r="J3926">
        <v>4.5999999999999996</v>
      </c>
      <c r="K3926" t="s">
        <v>30</v>
      </c>
      <c r="L3926" t="s">
        <v>19</v>
      </c>
      <c r="O3926"/>
    </row>
    <row r="3927" spans="1:15" x14ac:dyDescent="0.3">
      <c r="A3927" t="s">
        <v>3951</v>
      </c>
      <c r="B3927" s="1">
        <v>45836</v>
      </c>
      <c r="C3927" t="s">
        <v>21</v>
      </c>
      <c r="D3927" t="s">
        <v>21</v>
      </c>
      <c r="E3927" s="2">
        <v>16.77</v>
      </c>
      <c r="F3927" s="3">
        <v>46.49</v>
      </c>
      <c r="G3927" s="4">
        <v>241.91</v>
      </c>
      <c r="H3927">
        <v>1</v>
      </c>
      <c r="I3927" s="4">
        <v>241.91</v>
      </c>
      <c r="J3927">
        <v>3.6</v>
      </c>
      <c r="K3927" t="s">
        <v>36</v>
      </c>
      <c r="L3927" t="s">
        <v>16</v>
      </c>
      <c r="O3927"/>
    </row>
    <row r="3928" spans="1:15" x14ac:dyDescent="0.3">
      <c r="A3928" t="s">
        <v>3952</v>
      </c>
      <c r="B3928" s="1">
        <v>45995</v>
      </c>
      <c r="C3928" t="s">
        <v>13</v>
      </c>
      <c r="D3928" t="s">
        <v>22</v>
      </c>
      <c r="E3928" s="2">
        <v>11.43</v>
      </c>
      <c r="F3928" s="3">
        <v>24.31</v>
      </c>
      <c r="G3928" s="4">
        <v>226.28</v>
      </c>
      <c r="H3928">
        <v>2</v>
      </c>
      <c r="I3928" s="4">
        <v>452.56</v>
      </c>
      <c r="J3928">
        <v>4.5</v>
      </c>
      <c r="K3928" t="s">
        <v>15</v>
      </c>
      <c r="L3928" t="s">
        <v>19</v>
      </c>
      <c r="O3928"/>
    </row>
    <row r="3929" spans="1:15" x14ac:dyDescent="0.3">
      <c r="A3929" t="s">
        <v>3953</v>
      </c>
      <c r="B3929" s="1">
        <v>45706</v>
      </c>
      <c r="C3929" t="s">
        <v>13</v>
      </c>
      <c r="D3929" t="s">
        <v>13</v>
      </c>
      <c r="E3929" s="2">
        <v>26.85</v>
      </c>
      <c r="F3929" s="3">
        <v>79.62</v>
      </c>
      <c r="G3929" s="4">
        <v>304.92</v>
      </c>
      <c r="H3929">
        <v>1</v>
      </c>
      <c r="I3929" s="4">
        <v>304.92</v>
      </c>
      <c r="J3929">
        <v>4.7</v>
      </c>
      <c r="K3929" t="s">
        <v>15</v>
      </c>
      <c r="L3929" t="s">
        <v>16</v>
      </c>
      <c r="O3929"/>
    </row>
    <row r="3930" spans="1:15" x14ac:dyDescent="0.3">
      <c r="A3930" t="s">
        <v>3954</v>
      </c>
      <c r="B3930" s="1">
        <v>45690</v>
      </c>
      <c r="C3930" t="s">
        <v>14</v>
      </c>
      <c r="D3930" t="s">
        <v>22</v>
      </c>
      <c r="E3930" s="2">
        <v>6.81</v>
      </c>
      <c r="F3930" s="3">
        <v>14.33</v>
      </c>
      <c r="G3930" s="4">
        <v>97.94</v>
      </c>
      <c r="H3930">
        <v>1.2</v>
      </c>
      <c r="I3930" s="4">
        <v>117.53</v>
      </c>
      <c r="J3930">
        <v>4.2</v>
      </c>
      <c r="K3930" t="s">
        <v>15</v>
      </c>
      <c r="L3930" t="s">
        <v>16</v>
      </c>
      <c r="O3930"/>
    </row>
    <row r="3931" spans="1:15" x14ac:dyDescent="0.3">
      <c r="A3931" t="s">
        <v>3955</v>
      </c>
      <c r="B3931" s="1">
        <v>45796</v>
      </c>
      <c r="C3931" t="s">
        <v>13</v>
      </c>
      <c r="D3931" t="s">
        <v>13</v>
      </c>
      <c r="E3931" s="2">
        <v>18.579999999999998</v>
      </c>
      <c r="F3931" s="3">
        <v>44.61</v>
      </c>
      <c r="G3931" s="4">
        <v>249.7</v>
      </c>
      <c r="H3931">
        <v>1</v>
      </c>
      <c r="I3931" s="4">
        <v>249.7</v>
      </c>
      <c r="J3931">
        <v>4.5999999999999996</v>
      </c>
      <c r="K3931" t="s">
        <v>33</v>
      </c>
      <c r="L3931" t="s">
        <v>26</v>
      </c>
      <c r="O3931"/>
    </row>
    <row r="3932" spans="1:15" x14ac:dyDescent="0.3">
      <c r="A3932" t="s">
        <v>3956</v>
      </c>
      <c r="B3932" s="1">
        <v>45781</v>
      </c>
      <c r="C3932" t="s">
        <v>21</v>
      </c>
      <c r="D3932" t="s">
        <v>14</v>
      </c>
      <c r="E3932" s="2">
        <v>25.88</v>
      </c>
      <c r="F3932" s="3">
        <v>76.8</v>
      </c>
      <c r="G3932" s="4">
        <v>475.45</v>
      </c>
      <c r="H3932">
        <v>2</v>
      </c>
      <c r="I3932" s="4">
        <v>950.9</v>
      </c>
      <c r="J3932">
        <v>3.2</v>
      </c>
      <c r="K3932" t="s">
        <v>36</v>
      </c>
      <c r="L3932" t="s">
        <v>16</v>
      </c>
      <c r="O3932"/>
    </row>
    <row r="3933" spans="1:15" x14ac:dyDescent="0.3">
      <c r="A3933" t="s">
        <v>3957</v>
      </c>
      <c r="B3933" s="1">
        <v>45973</v>
      </c>
      <c r="C3933" t="s">
        <v>14</v>
      </c>
      <c r="D3933" t="s">
        <v>13</v>
      </c>
      <c r="E3933" s="2">
        <v>23.62</v>
      </c>
      <c r="F3933" s="3">
        <v>88.88</v>
      </c>
      <c r="G3933" s="4">
        <v>455.19</v>
      </c>
      <c r="H3933">
        <v>1.2</v>
      </c>
      <c r="I3933" s="4">
        <v>546.23</v>
      </c>
      <c r="J3933">
        <v>3.2</v>
      </c>
      <c r="K3933" t="s">
        <v>36</v>
      </c>
      <c r="L3933" t="s">
        <v>26</v>
      </c>
      <c r="O3933"/>
    </row>
    <row r="3934" spans="1:15" x14ac:dyDescent="0.3">
      <c r="A3934" t="s">
        <v>3958</v>
      </c>
      <c r="B3934" s="1">
        <v>45936</v>
      </c>
      <c r="C3934" t="s">
        <v>14</v>
      </c>
      <c r="D3934" t="s">
        <v>25</v>
      </c>
      <c r="E3934" s="2">
        <v>3</v>
      </c>
      <c r="F3934" s="3">
        <v>10.74</v>
      </c>
      <c r="G3934" s="4">
        <v>53.5</v>
      </c>
      <c r="H3934">
        <v>1.5</v>
      </c>
      <c r="I3934" s="4">
        <v>80.25</v>
      </c>
      <c r="J3934">
        <v>3.8</v>
      </c>
      <c r="K3934" t="s">
        <v>36</v>
      </c>
      <c r="L3934" t="s">
        <v>26</v>
      </c>
      <c r="O3934"/>
    </row>
    <row r="3935" spans="1:15" x14ac:dyDescent="0.3">
      <c r="A3935" t="s">
        <v>3959</v>
      </c>
      <c r="B3935" s="1">
        <v>45994</v>
      </c>
      <c r="C3935" t="s">
        <v>25</v>
      </c>
      <c r="D3935" t="s">
        <v>22</v>
      </c>
      <c r="E3935" s="2">
        <v>18.48</v>
      </c>
      <c r="F3935" s="3">
        <v>47.67</v>
      </c>
      <c r="G3935" s="4">
        <v>264.81</v>
      </c>
      <c r="H3935">
        <v>2</v>
      </c>
      <c r="I3935" s="4">
        <v>529.62</v>
      </c>
      <c r="J3935">
        <v>3.2</v>
      </c>
      <c r="K3935" t="s">
        <v>18</v>
      </c>
      <c r="L3935" t="s">
        <v>19</v>
      </c>
      <c r="O3935"/>
    </row>
    <row r="3936" spans="1:15" x14ac:dyDescent="0.3">
      <c r="A3936" t="s">
        <v>3960</v>
      </c>
      <c r="B3936" s="1">
        <v>45996</v>
      </c>
      <c r="C3936" t="s">
        <v>14</v>
      </c>
      <c r="D3936" t="s">
        <v>13</v>
      </c>
      <c r="E3936" s="2">
        <v>29.23</v>
      </c>
      <c r="F3936" s="3">
        <v>63.15</v>
      </c>
      <c r="G3936" s="4">
        <v>405.19</v>
      </c>
      <c r="H3936">
        <v>1.5</v>
      </c>
      <c r="I3936" s="4">
        <v>607.78</v>
      </c>
      <c r="J3936">
        <v>3.4</v>
      </c>
      <c r="K3936" t="s">
        <v>33</v>
      </c>
      <c r="L3936" t="s">
        <v>28</v>
      </c>
      <c r="O3936"/>
    </row>
    <row r="3937" spans="1:15" x14ac:dyDescent="0.3">
      <c r="A3937" t="s">
        <v>3961</v>
      </c>
      <c r="B3937" s="1">
        <v>45967</v>
      </c>
      <c r="C3937" t="s">
        <v>22</v>
      </c>
      <c r="D3937" t="s">
        <v>14</v>
      </c>
      <c r="E3937" s="2">
        <v>8.3800000000000008</v>
      </c>
      <c r="F3937" s="3">
        <v>17.25</v>
      </c>
      <c r="G3937" s="4">
        <v>127.48</v>
      </c>
      <c r="H3937">
        <v>1</v>
      </c>
      <c r="I3937" s="4">
        <v>127.48</v>
      </c>
      <c r="J3937">
        <v>5</v>
      </c>
      <c r="K3937" t="s">
        <v>15</v>
      </c>
      <c r="L3937" t="s">
        <v>28</v>
      </c>
      <c r="O3937"/>
    </row>
    <row r="3938" spans="1:15" x14ac:dyDescent="0.3">
      <c r="A3938" t="s">
        <v>3962</v>
      </c>
      <c r="B3938" s="1">
        <v>45763</v>
      </c>
      <c r="C3938" t="s">
        <v>25</v>
      </c>
      <c r="D3938" t="s">
        <v>14</v>
      </c>
      <c r="E3938" s="2">
        <v>26.34</v>
      </c>
      <c r="F3938" s="3">
        <v>92.15</v>
      </c>
      <c r="G3938" s="4">
        <v>489.43</v>
      </c>
      <c r="H3938">
        <v>1.5</v>
      </c>
      <c r="I3938" s="4">
        <v>734.14</v>
      </c>
      <c r="J3938">
        <v>4.8</v>
      </c>
      <c r="K3938" t="s">
        <v>15</v>
      </c>
      <c r="L3938" t="s">
        <v>19</v>
      </c>
      <c r="O3938"/>
    </row>
    <row r="3939" spans="1:15" x14ac:dyDescent="0.3">
      <c r="A3939" t="s">
        <v>3963</v>
      </c>
      <c r="B3939" s="1">
        <v>45772</v>
      </c>
      <c r="C3939" t="s">
        <v>22</v>
      </c>
      <c r="D3939" t="s">
        <v>21</v>
      </c>
      <c r="E3939" s="2">
        <v>15.41</v>
      </c>
      <c r="F3939" s="3">
        <v>39.76</v>
      </c>
      <c r="G3939" s="4">
        <v>272.77999999999997</v>
      </c>
      <c r="H3939">
        <v>1.5</v>
      </c>
      <c r="I3939" s="4">
        <v>409.17</v>
      </c>
      <c r="J3939">
        <v>4.0999999999999996</v>
      </c>
      <c r="K3939" t="s">
        <v>36</v>
      </c>
      <c r="L3939" t="s">
        <v>26</v>
      </c>
      <c r="O3939"/>
    </row>
    <row r="3940" spans="1:15" x14ac:dyDescent="0.3">
      <c r="A3940" t="s">
        <v>3964</v>
      </c>
      <c r="B3940" s="1">
        <v>46007</v>
      </c>
      <c r="C3940" t="s">
        <v>22</v>
      </c>
      <c r="D3940" t="s">
        <v>13</v>
      </c>
      <c r="E3940" s="2">
        <v>4.62</v>
      </c>
      <c r="F3940" s="3">
        <v>18.27</v>
      </c>
      <c r="G3940" s="4">
        <v>91.73</v>
      </c>
      <c r="H3940">
        <v>1.2</v>
      </c>
      <c r="I3940" s="4">
        <v>110.08</v>
      </c>
      <c r="J3940">
        <v>3.6</v>
      </c>
      <c r="K3940" t="s">
        <v>30</v>
      </c>
      <c r="L3940" t="s">
        <v>16</v>
      </c>
      <c r="O3940"/>
    </row>
    <row r="3941" spans="1:15" x14ac:dyDescent="0.3">
      <c r="A3941" t="s">
        <v>3965</v>
      </c>
      <c r="B3941" s="1">
        <v>45942</v>
      </c>
      <c r="C3941" t="s">
        <v>13</v>
      </c>
      <c r="D3941" t="s">
        <v>21</v>
      </c>
      <c r="E3941" s="2">
        <v>9.58</v>
      </c>
      <c r="F3941" s="3">
        <v>25.96</v>
      </c>
      <c r="G3941" s="4">
        <v>163.81</v>
      </c>
      <c r="H3941">
        <v>2</v>
      </c>
      <c r="I3941" s="4">
        <v>327.62</v>
      </c>
      <c r="J3941">
        <v>3.8</v>
      </c>
      <c r="K3941" t="s">
        <v>18</v>
      </c>
      <c r="L3941" t="s">
        <v>16</v>
      </c>
      <c r="O3941"/>
    </row>
    <row r="3942" spans="1:15" x14ac:dyDescent="0.3">
      <c r="A3942" t="s">
        <v>3966</v>
      </c>
      <c r="B3942" s="1">
        <v>45951</v>
      </c>
      <c r="C3942" t="s">
        <v>21</v>
      </c>
      <c r="D3942" t="s">
        <v>13</v>
      </c>
      <c r="E3942" s="2">
        <v>12.22</v>
      </c>
      <c r="F3942" s="3">
        <v>35.65</v>
      </c>
      <c r="G3942" s="4">
        <v>198.99</v>
      </c>
      <c r="H3942">
        <v>1.2</v>
      </c>
      <c r="I3942" s="4">
        <v>238.79</v>
      </c>
      <c r="J3942">
        <v>4.5</v>
      </c>
      <c r="K3942" t="s">
        <v>36</v>
      </c>
      <c r="L3942" t="s">
        <v>26</v>
      </c>
      <c r="O3942"/>
    </row>
    <row r="3943" spans="1:15" x14ac:dyDescent="0.3">
      <c r="A3943" t="s">
        <v>3967</v>
      </c>
      <c r="B3943" s="1">
        <v>45777</v>
      </c>
      <c r="C3943" t="s">
        <v>25</v>
      </c>
      <c r="D3943" t="s">
        <v>21</v>
      </c>
      <c r="E3943" s="2">
        <v>2.82</v>
      </c>
      <c r="F3943" s="3">
        <v>11.08</v>
      </c>
      <c r="G3943" s="4">
        <v>28.84</v>
      </c>
      <c r="H3943">
        <v>1.5</v>
      </c>
      <c r="I3943" s="4">
        <v>43.26</v>
      </c>
      <c r="J3943">
        <v>4.2</v>
      </c>
      <c r="K3943" t="s">
        <v>30</v>
      </c>
      <c r="L3943" t="s">
        <v>26</v>
      </c>
      <c r="O3943"/>
    </row>
    <row r="3944" spans="1:15" x14ac:dyDescent="0.3">
      <c r="A3944" t="s">
        <v>3968</v>
      </c>
      <c r="B3944" s="1">
        <v>45907</v>
      </c>
      <c r="C3944" t="s">
        <v>22</v>
      </c>
      <c r="D3944" t="s">
        <v>21</v>
      </c>
      <c r="E3944" s="2">
        <v>23.85</v>
      </c>
      <c r="F3944" s="3">
        <v>49.34</v>
      </c>
      <c r="G3944" s="4">
        <v>454.68</v>
      </c>
      <c r="H3944">
        <v>2</v>
      </c>
      <c r="I3944" s="4">
        <v>909.36</v>
      </c>
      <c r="J3944">
        <v>4.4000000000000004</v>
      </c>
      <c r="K3944" t="s">
        <v>36</v>
      </c>
      <c r="L3944" t="s">
        <v>28</v>
      </c>
      <c r="O3944"/>
    </row>
    <row r="3945" spans="1:15" x14ac:dyDescent="0.3">
      <c r="A3945" t="s">
        <v>3969</v>
      </c>
      <c r="B3945" s="1">
        <v>45754</v>
      </c>
      <c r="C3945" t="s">
        <v>14</v>
      </c>
      <c r="D3945" t="s">
        <v>22</v>
      </c>
      <c r="E3945" s="2">
        <v>14.98</v>
      </c>
      <c r="F3945" s="3">
        <v>31.3</v>
      </c>
      <c r="G3945" s="4">
        <v>233.98</v>
      </c>
      <c r="H3945">
        <v>1</v>
      </c>
      <c r="I3945" s="4">
        <v>233.98</v>
      </c>
      <c r="J3945">
        <v>3.5</v>
      </c>
      <c r="K3945" t="s">
        <v>36</v>
      </c>
      <c r="L3945" t="s">
        <v>16</v>
      </c>
      <c r="O3945"/>
    </row>
    <row r="3946" spans="1:15" x14ac:dyDescent="0.3">
      <c r="A3946" t="s">
        <v>3970</v>
      </c>
      <c r="B3946" s="1">
        <v>45669</v>
      </c>
      <c r="C3946" t="s">
        <v>21</v>
      </c>
      <c r="D3946" t="s">
        <v>14</v>
      </c>
      <c r="E3946" s="2">
        <v>20.82</v>
      </c>
      <c r="F3946" s="3">
        <v>45.86</v>
      </c>
      <c r="G3946" s="4">
        <v>235.88</v>
      </c>
      <c r="H3946">
        <v>1.2</v>
      </c>
      <c r="I3946" s="4">
        <v>283.06</v>
      </c>
      <c r="J3946">
        <v>3.7</v>
      </c>
      <c r="K3946" t="s">
        <v>30</v>
      </c>
      <c r="L3946" t="s">
        <v>28</v>
      </c>
      <c r="O3946"/>
    </row>
    <row r="3947" spans="1:15" x14ac:dyDescent="0.3">
      <c r="A3947" t="s">
        <v>3971</v>
      </c>
      <c r="B3947" s="1">
        <v>45752</v>
      </c>
      <c r="C3947" t="s">
        <v>14</v>
      </c>
      <c r="D3947" t="s">
        <v>21</v>
      </c>
      <c r="E3947" s="2">
        <v>16.7</v>
      </c>
      <c r="F3947" s="3">
        <v>59.92</v>
      </c>
      <c r="G3947" s="4">
        <v>268.94</v>
      </c>
      <c r="H3947">
        <v>1.5</v>
      </c>
      <c r="I3947" s="4">
        <v>403.41</v>
      </c>
      <c r="J3947">
        <v>3.9</v>
      </c>
      <c r="K3947" t="s">
        <v>18</v>
      </c>
      <c r="L3947" t="s">
        <v>28</v>
      </c>
      <c r="O3947"/>
    </row>
    <row r="3948" spans="1:15" x14ac:dyDescent="0.3">
      <c r="A3948" t="s">
        <v>3972</v>
      </c>
      <c r="B3948" s="1">
        <v>45890</v>
      </c>
      <c r="C3948" t="s">
        <v>22</v>
      </c>
      <c r="D3948" t="s">
        <v>13</v>
      </c>
      <c r="E3948" s="2">
        <v>18.07</v>
      </c>
      <c r="F3948" s="3">
        <v>41.09</v>
      </c>
      <c r="G3948" s="4">
        <v>282.17</v>
      </c>
      <c r="H3948">
        <v>2</v>
      </c>
      <c r="I3948" s="4">
        <v>564.34</v>
      </c>
      <c r="J3948">
        <v>3.3</v>
      </c>
      <c r="K3948" t="s">
        <v>15</v>
      </c>
      <c r="L3948" t="s">
        <v>16</v>
      </c>
      <c r="O3948"/>
    </row>
    <row r="3949" spans="1:15" x14ac:dyDescent="0.3">
      <c r="A3949" t="s">
        <v>3973</v>
      </c>
      <c r="B3949" s="1">
        <v>45980</v>
      </c>
      <c r="C3949" t="s">
        <v>25</v>
      </c>
      <c r="D3949" t="s">
        <v>25</v>
      </c>
      <c r="E3949" s="2">
        <v>18.29</v>
      </c>
      <c r="F3949" s="3">
        <v>71.05</v>
      </c>
      <c r="G3949" s="4">
        <v>294.36</v>
      </c>
      <c r="H3949">
        <v>2</v>
      </c>
      <c r="I3949" s="4">
        <v>588.72</v>
      </c>
      <c r="J3949">
        <v>3.9</v>
      </c>
      <c r="K3949" t="s">
        <v>18</v>
      </c>
      <c r="L3949" t="s">
        <v>28</v>
      </c>
      <c r="O3949"/>
    </row>
    <row r="3950" spans="1:15" x14ac:dyDescent="0.3">
      <c r="A3950" t="s">
        <v>3974</v>
      </c>
      <c r="B3950" s="1">
        <v>45807</v>
      </c>
      <c r="C3950" t="s">
        <v>22</v>
      </c>
      <c r="D3950" t="s">
        <v>25</v>
      </c>
      <c r="E3950" s="2">
        <v>15.43</v>
      </c>
      <c r="F3950" s="3">
        <v>53.03</v>
      </c>
      <c r="G3950" s="4">
        <v>281.45999999999998</v>
      </c>
      <c r="H3950">
        <v>1</v>
      </c>
      <c r="I3950" s="4">
        <v>281.45999999999998</v>
      </c>
      <c r="J3950">
        <v>4.4000000000000004</v>
      </c>
      <c r="K3950" t="s">
        <v>36</v>
      </c>
      <c r="L3950" t="s">
        <v>16</v>
      </c>
      <c r="O3950"/>
    </row>
    <row r="3951" spans="1:15" x14ac:dyDescent="0.3">
      <c r="A3951" t="s">
        <v>3975</v>
      </c>
      <c r="B3951" s="1">
        <v>45666</v>
      </c>
      <c r="C3951" t="s">
        <v>21</v>
      </c>
      <c r="D3951" t="s">
        <v>22</v>
      </c>
      <c r="E3951" s="2">
        <v>7.49</v>
      </c>
      <c r="F3951" s="3">
        <v>21.75</v>
      </c>
      <c r="G3951" s="4">
        <v>141.19</v>
      </c>
      <c r="H3951">
        <v>1.2</v>
      </c>
      <c r="I3951" s="4">
        <v>169.43</v>
      </c>
      <c r="J3951">
        <v>4.5</v>
      </c>
      <c r="K3951" t="s">
        <v>33</v>
      </c>
      <c r="L3951" t="s">
        <v>26</v>
      </c>
      <c r="O3951"/>
    </row>
    <row r="3952" spans="1:15" x14ac:dyDescent="0.3">
      <c r="A3952" t="s">
        <v>3976</v>
      </c>
      <c r="B3952" s="1">
        <v>45830</v>
      </c>
      <c r="C3952" t="s">
        <v>22</v>
      </c>
      <c r="D3952" t="s">
        <v>21</v>
      </c>
      <c r="E3952" s="2">
        <v>25.95</v>
      </c>
      <c r="F3952" s="3">
        <v>78.650000000000006</v>
      </c>
      <c r="G3952" s="4">
        <v>398.45</v>
      </c>
      <c r="H3952">
        <v>1.2</v>
      </c>
      <c r="I3952" s="4">
        <v>478.14</v>
      </c>
      <c r="J3952">
        <v>4.5</v>
      </c>
      <c r="K3952" t="s">
        <v>30</v>
      </c>
      <c r="L3952" t="s">
        <v>19</v>
      </c>
      <c r="O3952"/>
    </row>
    <row r="3953" spans="1:15" x14ac:dyDescent="0.3">
      <c r="A3953" t="s">
        <v>3977</v>
      </c>
      <c r="B3953" s="1">
        <v>46002</v>
      </c>
      <c r="C3953" t="s">
        <v>14</v>
      </c>
      <c r="D3953" t="s">
        <v>14</v>
      </c>
      <c r="E3953" s="2">
        <v>3.48</v>
      </c>
      <c r="F3953" s="3">
        <v>8.1999999999999993</v>
      </c>
      <c r="G3953" s="4">
        <v>48.87</v>
      </c>
      <c r="H3953">
        <v>1</v>
      </c>
      <c r="I3953" s="4">
        <v>48.87</v>
      </c>
      <c r="J3953">
        <v>3.8</v>
      </c>
      <c r="K3953" t="s">
        <v>18</v>
      </c>
      <c r="L3953" t="s">
        <v>16</v>
      </c>
      <c r="O3953"/>
    </row>
    <row r="3954" spans="1:15" x14ac:dyDescent="0.3">
      <c r="A3954" t="s">
        <v>3978</v>
      </c>
      <c r="B3954" s="1">
        <v>45833</v>
      </c>
      <c r="C3954" t="s">
        <v>25</v>
      </c>
      <c r="D3954" t="s">
        <v>14</v>
      </c>
      <c r="E3954" s="2">
        <v>29.15</v>
      </c>
      <c r="F3954" s="3">
        <v>107.92</v>
      </c>
      <c r="G3954" s="4">
        <v>383.5</v>
      </c>
      <c r="H3954">
        <v>2</v>
      </c>
      <c r="I3954" s="4">
        <v>767</v>
      </c>
      <c r="J3954">
        <v>4.8</v>
      </c>
      <c r="K3954" t="s">
        <v>33</v>
      </c>
      <c r="L3954" t="s">
        <v>26</v>
      </c>
      <c r="O3954"/>
    </row>
    <row r="3955" spans="1:15" x14ac:dyDescent="0.3">
      <c r="A3955" t="s">
        <v>3979</v>
      </c>
      <c r="B3955" s="1">
        <v>45979</v>
      </c>
      <c r="C3955" t="s">
        <v>25</v>
      </c>
      <c r="D3955" t="s">
        <v>22</v>
      </c>
      <c r="E3955" s="2">
        <v>12.4</v>
      </c>
      <c r="F3955" s="3">
        <v>42.2</v>
      </c>
      <c r="G3955" s="4">
        <v>126.05</v>
      </c>
      <c r="H3955">
        <v>1.5</v>
      </c>
      <c r="I3955" s="4">
        <v>189.08</v>
      </c>
      <c r="J3955">
        <v>3.8</v>
      </c>
      <c r="K3955" t="s">
        <v>30</v>
      </c>
      <c r="L3955" t="s">
        <v>19</v>
      </c>
      <c r="O3955"/>
    </row>
    <row r="3956" spans="1:15" x14ac:dyDescent="0.3">
      <c r="A3956" t="s">
        <v>3980</v>
      </c>
      <c r="B3956" s="1">
        <v>46015</v>
      </c>
      <c r="C3956" t="s">
        <v>14</v>
      </c>
      <c r="D3956" t="s">
        <v>21</v>
      </c>
      <c r="E3956" s="2">
        <v>19.72</v>
      </c>
      <c r="F3956" s="3">
        <v>53.8</v>
      </c>
      <c r="G3956" s="4">
        <v>295.93</v>
      </c>
      <c r="H3956">
        <v>1.2</v>
      </c>
      <c r="I3956" s="4">
        <v>355.12</v>
      </c>
      <c r="J3956">
        <v>4.7</v>
      </c>
      <c r="K3956" t="s">
        <v>36</v>
      </c>
      <c r="L3956" t="s">
        <v>26</v>
      </c>
      <c r="O3956"/>
    </row>
    <row r="3957" spans="1:15" x14ac:dyDescent="0.3">
      <c r="A3957" t="s">
        <v>3981</v>
      </c>
      <c r="B3957" s="1">
        <v>45753</v>
      </c>
      <c r="C3957" t="s">
        <v>25</v>
      </c>
      <c r="D3957" t="s">
        <v>21</v>
      </c>
      <c r="E3957" s="2">
        <v>12.55</v>
      </c>
      <c r="F3957" s="3">
        <v>28.12</v>
      </c>
      <c r="G3957" s="4">
        <v>162.37</v>
      </c>
      <c r="H3957">
        <v>1</v>
      </c>
      <c r="I3957" s="4">
        <v>162.37</v>
      </c>
      <c r="J3957">
        <v>3.5</v>
      </c>
      <c r="K3957" t="s">
        <v>15</v>
      </c>
      <c r="L3957" t="s">
        <v>16</v>
      </c>
      <c r="O3957"/>
    </row>
    <row r="3958" spans="1:15" x14ac:dyDescent="0.3">
      <c r="A3958" t="s">
        <v>3982</v>
      </c>
      <c r="B3958" s="1">
        <v>45688</v>
      </c>
      <c r="C3958" t="s">
        <v>21</v>
      </c>
      <c r="D3958" t="s">
        <v>21</v>
      </c>
      <c r="E3958" s="2">
        <v>14.68</v>
      </c>
      <c r="F3958" s="3">
        <v>44</v>
      </c>
      <c r="G3958" s="4">
        <v>276.58999999999997</v>
      </c>
      <c r="H3958">
        <v>1</v>
      </c>
      <c r="I3958" s="4">
        <v>276.58999999999997</v>
      </c>
      <c r="J3958">
        <v>3.4</v>
      </c>
      <c r="K3958" t="s">
        <v>30</v>
      </c>
      <c r="L3958" t="s">
        <v>28</v>
      </c>
      <c r="O3958"/>
    </row>
    <row r="3959" spans="1:15" x14ac:dyDescent="0.3">
      <c r="A3959" t="s">
        <v>3983</v>
      </c>
      <c r="B3959" s="1">
        <v>46003</v>
      </c>
      <c r="C3959" t="s">
        <v>13</v>
      </c>
      <c r="D3959" t="s">
        <v>21</v>
      </c>
      <c r="E3959" s="2">
        <v>12.29</v>
      </c>
      <c r="F3959" s="3">
        <v>25.29</v>
      </c>
      <c r="G3959" s="4">
        <v>237.32</v>
      </c>
      <c r="H3959">
        <v>1.5</v>
      </c>
      <c r="I3959" s="4">
        <v>355.98</v>
      </c>
      <c r="J3959">
        <v>4.8</v>
      </c>
      <c r="K3959" t="s">
        <v>33</v>
      </c>
      <c r="L3959" t="s">
        <v>19</v>
      </c>
      <c r="O3959"/>
    </row>
    <row r="3960" spans="1:15" x14ac:dyDescent="0.3">
      <c r="A3960" t="s">
        <v>3984</v>
      </c>
      <c r="B3960" s="1">
        <v>45666</v>
      </c>
      <c r="C3960" t="s">
        <v>21</v>
      </c>
      <c r="D3960" t="s">
        <v>25</v>
      </c>
      <c r="E3960" s="2">
        <v>21.67</v>
      </c>
      <c r="F3960" s="3">
        <v>47.7</v>
      </c>
      <c r="G3960" s="4">
        <v>313</v>
      </c>
      <c r="H3960">
        <v>1</v>
      </c>
      <c r="I3960" s="4">
        <v>313</v>
      </c>
      <c r="J3960">
        <v>4.2</v>
      </c>
      <c r="K3960" t="s">
        <v>30</v>
      </c>
      <c r="L3960" t="s">
        <v>28</v>
      </c>
      <c r="O3960"/>
    </row>
    <row r="3961" spans="1:15" x14ac:dyDescent="0.3">
      <c r="A3961" t="s">
        <v>3985</v>
      </c>
      <c r="B3961" s="1">
        <v>45684</v>
      </c>
      <c r="C3961" t="s">
        <v>22</v>
      </c>
      <c r="D3961" t="s">
        <v>25</v>
      </c>
      <c r="E3961" s="2">
        <v>9.3800000000000008</v>
      </c>
      <c r="F3961" s="3">
        <v>23.72</v>
      </c>
      <c r="G3961" s="4">
        <v>122.22</v>
      </c>
      <c r="H3961">
        <v>2</v>
      </c>
      <c r="I3961" s="4">
        <v>244.44</v>
      </c>
      <c r="J3961">
        <v>4.7</v>
      </c>
      <c r="K3961" t="s">
        <v>36</v>
      </c>
      <c r="L3961" t="s">
        <v>28</v>
      </c>
      <c r="O3961"/>
    </row>
    <row r="3962" spans="1:15" x14ac:dyDescent="0.3">
      <c r="A3962" t="s">
        <v>3986</v>
      </c>
      <c r="B3962" s="1">
        <v>45901</v>
      </c>
      <c r="C3962" t="s">
        <v>14</v>
      </c>
      <c r="D3962" t="s">
        <v>25</v>
      </c>
      <c r="E3962" s="2">
        <v>25.1</v>
      </c>
      <c r="F3962" s="3">
        <v>53.11</v>
      </c>
      <c r="G3962" s="4">
        <v>471.62</v>
      </c>
      <c r="H3962">
        <v>1.2</v>
      </c>
      <c r="I3962" s="4">
        <v>565.94000000000005</v>
      </c>
      <c r="J3962">
        <v>3.2</v>
      </c>
      <c r="K3962" t="s">
        <v>18</v>
      </c>
      <c r="L3962" t="s">
        <v>16</v>
      </c>
      <c r="O3962"/>
    </row>
    <row r="3963" spans="1:15" x14ac:dyDescent="0.3">
      <c r="A3963" t="s">
        <v>3987</v>
      </c>
      <c r="B3963" s="1">
        <v>45763</v>
      </c>
      <c r="C3963" t="s">
        <v>13</v>
      </c>
      <c r="D3963" t="s">
        <v>25</v>
      </c>
      <c r="E3963" s="2">
        <v>23.2</v>
      </c>
      <c r="F3963" s="3">
        <v>50.18</v>
      </c>
      <c r="G3963" s="4">
        <v>241.37</v>
      </c>
      <c r="H3963">
        <v>1.5</v>
      </c>
      <c r="I3963" s="4">
        <v>362.06</v>
      </c>
      <c r="J3963">
        <v>3</v>
      </c>
      <c r="K3963" t="s">
        <v>36</v>
      </c>
      <c r="L3963" t="s">
        <v>16</v>
      </c>
      <c r="O3963"/>
    </row>
    <row r="3964" spans="1:15" x14ac:dyDescent="0.3">
      <c r="A3964" t="s">
        <v>3988</v>
      </c>
      <c r="B3964" s="1">
        <v>45900</v>
      </c>
      <c r="C3964" t="s">
        <v>22</v>
      </c>
      <c r="D3964" t="s">
        <v>25</v>
      </c>
      <c r="E3964" s="2">
        <v>16.13</v>
      </c>
      <c r="F3964" s="3">
        <v>45.71</v>
      </c>
      <c r="G3964" s="4">
        <v>292.45</v>
      </c>
      <c r="H3964">
        <v>1</v>
      </c>
      <c r="I3964" s="4">
        <v>292.45</v>
      </c>
      <c r="J3964">
        <v>3.4</v>
      </c>
      <c r="K3964" t="s">
        <v>15</v>
      </c>
      <c r="L3964" t="s">
        <v>26</v>
      </c>
      <c r="O3964"/>
    </row>
    <row r="3965" spans="1:15" x14ac:dyDescent="0.3">
      <c r="A3965" t="s">
        <v>3989</v>
      </c>
      <c r="B3965" s="1">
        <v>45692</v>
      </c>
      <c r="C3965" t="s">
        <v>22</v>
      </c>
      <c r="D3965" t="s">
        <v>14</v>
      </c>
      <c r="E3965" s="2">
        <v>24.52</v>
      </c>
      <c r="F3965" s="3">
        <v>55.84</v>
      </c>
      <c r="G3965" s="4">
        <v>364.57</v>
      </c>
      <c r="H3965">
        <v>1</v>
      </c>
      <c r="I3965" s="4">
        <v>364.57</v>
      </c>
      <c r="J3965">
        <v>4.5</v>
      </c>
      <c r="K3965" t="s">
        <v>36</v>
      </c>
      <c r="L3965" t="s">
        <v>19</v>
      </c>
      <c r="O3965"/>
    </row>
    <row r="3966" spans="1:15" x14ac:dyDescent="0.3">
      <c r="A3966" t="s">
        <v>3990</v>
      </c>
      <c r="B3966" s="1">
        <v>45778</v>
      </c>
      <c r="C3966" t="s">
        <v>25</v>
      </c>
      <c r="D3966" t="s">
        <v>25</v>
      </c>
      <c r="E3966" s="2">
        <v>6.52</v>
      </c>
      <c r="F3966" s="3">
        <v>14.64</v>
      </c>
      <c r="G3966" s="4">
        <v>74.25</v>
      </c>
      <c r="H3966">
        <v>1</v>
      </c>
      <c r="I3966" s="4">
        <v>74.25</v>
      </c>
      <c r="J3966">
        <v>4.9000000000000004</v>
      </c>
      <c r="K3966" t="s">
        <v>33</v>
      </c>
      <c r="L3966" t="s">
        <v>26</v>
      </c>
      <c r="O3966"/>
    </row>
    <row r="3967" spans="1:15" x14ac:dyDescent="0.3">
      <c r="A3967" t="s">
        <v>3991</v>
      </c>
      <c r="B3967" s="1">
        <v>45726</v>
      </c>
      <c r="C3967" t="s">
        <v>13</v>
      </c>
      <c r="D3967" t="s">
        <v>21</v>
      </c>
      <c r="E3967" s="2">
        <v>29.28</v>
      </c>
      <c r="F3967" s="3">
        <v>93.08</v>
      </c>
      <c r="G3967" s="4">
        <v>445.84</v>
      </c>
      <c r="H3967">
        <v>1</v>
      </c>
      <c r="I3967" s="4">
        <v>445.84</v>
      </c>
      <c r="J3967">
        <v>3.8</v>
      </c>
      <c r="K3967" t="s">
        <v>30</v>
      </c>
      <c r="L3967" t="s">
        <v>26</v>
      </c>
      <c r="O3967"/>
    </row>
    <row r="3968" spans="1:15" x14ac:dyDescent="0.3">
      <c r="A3968" t="s">
        <v>3992</v>
      </c>
      <c r="B3968" s="1">
        <v>45813</v>
      </c>
      <c r="C3968" t="s">
        <v>13</v>
      </c>
      <c r="D3968" t="s">
        <v>14</v>
      </c>
      <c r="E3968" s="2">
        <v>24.65</v>
      </c>
      <c r="F3968" s="3">
        <v>81.19</v>
      </c>
      <c r="G3968" s="4">
        <v>288.7</v>
      </c>
      <c r="H3968">
        <v>1.5</v>
      </c>
      <c r="I3968" s="4">
        <v>433.05</v>
      </c>
      <c r="J3968">
        <v>4.7</v>
      </c>
      <c r="K3968" t="s">
        <v>15</v>
      </c>
      <c r="L3968" t="s">
        <v>16</v>
      </c>
      <c r="O3968"/>
    </row>
    <row r="3969" spans="1:15" x14ac:dyDescent="0.3">
      <c r="A3969" t="s">
        <v>3993</v>
      </c>
      <c r="B3969" s="1">
        <v>45661</v>
      </c>
      <c r="C3969" t="s">
        <v>14</v>
      </c>
      <c r="D3969" t="s">
        <v>22</v>
      </c>
      <c r="E3969" s="2">
        <v>2.88</v>
      </c>
      <c r="F3969" s="3">
        <v>7.3</v>
      </c>
      <c r="G3969" s="4">
        <v>40.06</v>
      </c>
      <c r="H3969">
        <v>1</v>
      </c>
      <c r="I3969" s="4">
        <v>40.06</v>
      </c>
      <c r="J3969">
        <v>3.1</v>
      </c>
      <c r="K3969" t="s">
        <v>18</v>
      </c>
      <c r="L3969" t="s">
        <v>19</v>
      </c>
      <c r="O3969"/>
    </row>
    <row r="3970" spans="1:15" x14ac:dyDescent="0.3">
      <c r="A3970" t="s">
        <v>3994</v>
      </c>
      <c r="B3970" s="1">
        <v>45682</v>
      </c>
      <c r="C3970" t="s">
        <v>25</v>
      </c>
      <c r="D3970" t="s">
        <v>13</v>
      </c>
      <c r="E3970" s="2">
        <v>17.62</v>
      </c>
      <c r="F3970" s="3">
        <v>51.83</v>
      </c>
      <c r="G3970" s="4">
        <v>293.77999999999997</v>
      </c>
      <c r="H3970">
        <v>1.5</v>
      </c>
      <c r="I3970" s="4">
        <v>440.67</v>
      </c>
      <c r="J3970">
        <v>3.5</v>
      </c>
      <c r="K3970" t="s">
        <v>30</v>
      </c>
      <c r="L3970" t="s">
        <v>16</v>
      </c>
      <c r="O3970"/>
    </row>
    <row r="3971" spans="1:15" x14ac:dyDescent="0.3">
      <c r="A3971" t="s">
        <v>3995</v>
      </c>
      <c r="B3971" s="1">
        <v>46021</v>
      </c>
      <c r="C3971" t="s">
        <v>14</v>
      </c>
      <c r="D3971" t="s">
        <v>14</v>
      </c>
      <c r="E3971" s="2">
        <v>17.88</v>
      </c>
      <c r="F3971" s="3">
        <v>66.069999999999993</v>
      </c>
      <c r="G3971" s="4">
        <v>291.81</v>
      </c>
      <c r="H3971">
        <v>1.2</v>
      </c>
      <c r="I3971" s="4">
        <v>350.17</v>
      </c>
      <c r="J3971">
        <v>4.0999999999999996</v>
      </c>
      <c r="K3971" t="s">
        <v>18</v>
      </c>
      <c r="L3971" t="s">
        <v>16</v>
      </c>
      <c r="O3971"/>
    </row>
    <row r="3972" spans="1:15" x14ac:dyDescent="0.3">
      <c r="A3972" t="s">
        <v>3996</v>
      </c>
      <c r="B3972" s="1">
        <v>45857</v>
      </c>
      <c r="C3972" t="s">
        <v>13</v>
      </c>
      <c r="D3972" t="s">
        <v>14</v>
      </c>
      <c r="E3972" s="2">
        <v>22.27</v>
      </c>
      <c r="F3972" s="3">
        <v>77.430000000000007</v>
      </c>
      <c r="G3972" s="4">
        <v>442.51</v>
      </c>
      <c r="H3972">
        <v>2</v>
      </c>
      <c r="I3972" s="4">
        <v>885.02</v>
      </c>
      <c r="J3972">
        <v>4.4000000000000004</v>
      </c>
      <c r="K3972" t="s">
        <v>18</v>
      </c>
      <c r="L3972" t="s">
        <v>19</v>
      </c>
      <c r="O3972"/>
    </row>
    <row r="3973" spans="1:15" x14ac:dyDescent="0.3">
      <c r="A3973" t="s">
        <v>3997</v>
      </c>
      <c r="B3973" s="1">
        <v>46018</v>
      </c>
      <c r="C3973" t="s">
        <v>25</v>
      </c>
      <c r="D3973" t="s">
        <v>13</v>
      </c>
      <c r="E3973" s="2">
        <v>2.58</v>
      </c>
      <c r="F3973" s="3">
        <v>8.08</v>
      </c>
      <c r="G3973" s="4">
        <v>49.53</v>
      </c>
      <c r="H3973">
        <v>1</v>
      </c>
      <c r="I3973" s="4">
        <v>49.53</v>
      </c>
      <c r="J3973">
        <v>4.3</v>
      </c>
      <c r="K3973" t="s">
        <v>15</v>
      </c>
      <c r="L3973" t="s">
        <v>19</v>
      </c>
      <c r="O3973"/>
    </row>
    <row r="3974" spans="1:15" x14ac:dyDescent="0.3">
      <c r="A3974" t="s">
        <v>3998</v>
      </c>
      <c r="B3974" s="1">
        <v>45753</v>
      </c>
      <c r="C3974" t="s">
        <v>14</v>
      </c>
      <c r="D3974" t="s">
        <v>25</v>
      </c>
      <c r="E3974" s="2">
        <v>11.16</v>
      </c>
      <c r="F3974" s="3">
        <v>40</v>
      </c>
      <c r="G3974" s="4">
        <v>121.05</v>
      </c>
      <c r="H3974">
        <v>1.2</v>
      </c>
      <c r="I3974" s="4">
        <v>145.26</v>
      </c>
      <c r="J3974">
        <v>4.5</v>
      </c>
      <c r="K3974" t="s">
        <v>18</v>
      </c>
      <c r="L3974" t="s">
        <v>19</v>
      </c>
      <c r="O3974"/>
    </row>
    <row r="3975" spans="1:15" x14ac:dyDescent="0.3">
      <c r="A3975" t="s">
        <v>3999</v>
      </c>
      <c r="B3975" s="1">
        <v>45910</v>
      </c>
      <c r="C3975" t="s">
        <v>13</v>
      </c>
      <c r="D3975" t="s">
        <v>21</v>
      </c>
      <c r="E3975" s="2">
        <v>13.63</v>
      </c>
      <c r="F3975" s="3">
        <v>53.59</v>
      </c>
      <c r="G3975" s="4">
        <v>162.9</v>
      </c>
      <c r="H3975">
        <v>1.2</v>
      </c>
      <c r="I3975" s="4">
        <v>195.48</v>
      </c>
      <c r="J3975">
        <v>4.8</v>
      </c>
      <c r="K3975" t="s">
        <v>30</v>
      </c>
      <c r="L3975" t="s">
        <v>16</v>
      </c>
      <c r="O3975"/>
    </row>
    <row r="3976" spans="1:15" x14ac:dyDescent="0.3">
      <c r="A3976" t="s">
        <v>4000</v>
      </c>
      <c r="B3976" s="1">
        <v>45783</v>
      </c>
      <c r="C3976" t="s">
        <v>22</v>
      </c>
      <c r="D3976" t="s">
        <v>21</v>
      </c>
      <c r="E3976" s="2">
        <v>17.75</v>
      </c>
      <c r="F3976" s="3">
        <v>46.06</v>
      </c>
      <c r="G3976" s="4">
        <v>273.66000000000003</v>
      </c>
      <c r="H3976">
        <v>1.2</v>
      </c>
      <c r="I3976" s="4">
        <v>328.39</v>
      </c>
      <c r="J3976">
        <v>3.2</v>
      </c>
      <c r="K3976" t="s">
        <v>15</v>
      </c>
      <c r="L3976" t="s">
        <v>16</v>
      </c>
      <c r="O3976"/>
    </row>
    <row r="3977" spans="1:15" x14ac:dyDescent="0.3">
      <c r="A3977" t="s">
        <v>4001</v>
      </c>
      <c r="B3977" s="1">
        <v>45921</v>
      </c>
      <c r="C3977" t="s">
        <v>21</v>
      </c>
      <c r="D3977" t="s">
        <v>13</v>
      </c>
      <c r="E3977" s="2">
        <v>9.9700000000000006</v>
      </c>
      <c r="F3977" s="3">
        <v>29.57</v>
      </c>
      <c r="G3977" s="4">
        <v>151.08000000000001</v>
      </c>
      <c r="H3977">
        <v>2</v>
      </c>
      <c r="I3977" s="4">
        <v>302.16000000000003</v>
      </c>
      <c r="J3977">
        <v>3.9</v>
      </c>
      <c r="K3977" t="s">
        <v>36</v>
      </c>
      <c r="L3977" t="s">
        <v>28</v>
      </c>
      <c r="O3977"/>
    </row>
    <row r="3978" spans="1:15" x14ac:dyDescent="0.3">
      <c r="A3978" t="s">
        <v>4002</v>
      </c>
      <c r="B3978" s="1">
        <v>45719</v>
      </c>
      <c r="C3978" t="s">
        <v>13</v>
      </c>
      <c r="D3978" t="s">
        <v>25</v>
      </c>
      <c r="E3978" s="2">
        <v>29.92</v>
      </c>
      <c r="F3978" s="3">
        <v>77.31</v>
      </c>
      <c r="G3978" s="4">
        <v>487.94</v>
      </c>
      <c r="H3978">
        <v>1</v>
      </c>
      <c r="I3978" s="4">
        <v>487.94</v>
      </c>
      <c r="J3978">
        <v>3.1</v>
      </c>
      <c r="K3978" t="s">
        <v>36</v>
      </c>
      <c r="L3978" t="s">
        <v>28</v>
      </c>
      <c r="O3978"/>
    </row>
    <row r="3979" spans="1:15" x14ac:dyDescent="0.3">
      <c r="A3979" t="s">
        <v>4003</v>
      </c>
      <c r="B3979" s="1">
        <v>45813</v>
      </c>
      <c r="C3979" t="s">
        <v>25</v>
      </c>
      <c r="D3979" t="s">
        <v>14</v>
      </c>
      <c r="E3979" s="2">
        <v>13.96</v>
      </c>
      <c r="F3979" s="3">
        <v>42.73</v>
      </c>
      <c r="G3979" s="4">
        <v>215.53</v>
      </c>
      <c r="H3979">
        <v>1.2</v>
      </c>
      <c r="I3979" s="4">
        <v>258.64</v>
      </c>
      <c r="J3979">
        <v>4</v>
      </c>
      <c r="K3979" t="s">
        <v>18</v>
      </c>
      <c r="L3979" t="s">
        <v>16</v>
      </c>
      <c r="O3979"/>
    </row>
    <row r="3980" spans="1:15" x14ac:dyDescent="0.3">
      <c r="A3980" t="s">
        <v>4004</v>
      </c>
      <c r="B3980" s="1">
        <v>45734</v>
      </c>
      <c r="C3980" t="s">
        <v>13</v>
      </c>
      <c r="D3980" t="s">
        <v>22</v>
      </c>
      <c r="E3980" s="2">
        <v>17.11</v>
      </c>
      <c r="F3980" s="3">
        <v>43.47</v>
      </c>
      <c r="G3980" s="4">
        <v>331.49</v>
      </c>
      <c r="H3980">
        <v>1.2</v>
      </c>
      <c r="I3980" s="4">
        <v>397.79</v>
      </c>
      <c r="J3980">
        <v>3.7</v>
      </c>
      <c r="K3980" t="s">
        <v>15</v>
      </c>
      <c r="L3980" t="s">
        <v>28</v>
      </c>
      <c r="O3980"/>
    </row>
    <row r="3981" spans="1:15" x14ac:dyDescent="0.3">
      <c r="A3981" t="s">
        <v>4005</v>
      </c>
      <c r="B3981" s="1">
        <v>45997</v>
      </c>
      <c r="C3981" t="s">
        <v>25</v>
      </c>
      <c r="D3981" t="s">
        <v>13</v>
      </c>
      <c r="E3981" s="2">
        <v>12.06</v>
      </c>
      <c r="F3981" s="3">
        <v>36.72</v>
      </c>
      <c r="G3981" s="4">
        <v>155.76</v>
      </c>
      <c r="H3981">
        <v>1.2</v>
      </c>
      <c r="I3981" s="4">
        <v>186.91</v>
      </c>
      <c r="J3981">
        <v>3.4</v>
      </c>
      <c r="K3981" t="s">
        <v>15</v>
      </c>
      <c r="L3981" t="s">
        <v>16</v>
      </c>
      <c r="O3981"/>
    </row>
    <row r="3982" spans="1:15" x14ac:dyDescent="0.3">
      <c r="A3982" t="s">
        <v>4006</v>
      </c>
      <c r="B3982" s="1">
        <v>45783</v>
      </c>
      <c r="C3982" t="s">
        <v>25</v>
      </c>
      <c r="D3982" t="s">
        <v>21</v>
      </c>
      <c r="E3982" s="2">
        <v>22.17</v>
      </c>
      <c r="F3982" s="3">
        <v>75.86</v>
      </c>
      <c r="G3982" s="4">
        <v>366.77</v>
      </c>
      <c r="H3982">
        <v>1.5</v>
      </c>
      <c r="I3982" s="4">
        <v>550.16</v>
      </c>
      <c r="J3982">
        <v>4.3</v>
      </c>
      <c r="K3982" t="s">
        <v>30</v>
      </c>
      <c r="L3982" t="s">
        <v>16</v>
      </c>
      <c r="O3982"/>
    </row>
    <row r="3983" spans="1:15" x14ac:dyDescent="0.3">
      <c r="A3983" t="s">
        <v>4007</v>
      </c>
      <c r="B3983" s="1">
        <v>45680</v>
      </c>
      <c r="C3983" t="s">
        <v>25</v>
      </c>
      <c r="D3983" t="s">
        <v>22</v>
      </c>
      <c r="E3983" s="2">
        <v>17.14</v>
      </c>
      <c r="F3983" s="3">
        <v>57.76</v>
      </c>
      <c r="G3983" s="4">
        <v>173.29</v>
      </c>
      <c r="H3983">
        <v>1</v>
      </c>
      <c r="I3983" s="4">
        <v>173.29</v>
      </c>
      <c r="J3983">
        <v>3.9</v>
      </c>
      <c r="K3983" t="s">
        <v>18</v>
      </c>
      <c r="L3983" t="s">
        <v>26</v>
      </c>
      <c r="O3983"/>
    </row>
    <row r="3984" spans="1:15" x14ac:dyDescent="0.3">
      <c r="A3984" t="s">
        <v>4008</v>
      </c>
      <c r="B3984" s="1">
        <v>45689</v>
      </c>
      <c r="C3984" t="s">
        <v>25</v>
      </c>
      <c r="D3984" t="s">
        <v>22</v>
      </c>
      <c r="E3984" s="2">
        <v>1.59</v>
      </c>
      <c r="F3984" s="3">
        <v>4.91</v>
      </c>
      <c r="G3984" s="4">
        <v>30.32</v>
      </c>
      <c r="H3984">
        <v>1</v>
      </c>
      <c r="I3984" s="4">
        <v>30.32</v>
      </c>
      <c r="J3984">
        <v>4</v>
      </c>
      <c r="K3984" t="s">
        <v>30</v>
      </c>
      <c r="L3984" t="s">
        <v>26</v>
      </c>
      <c r="O3984"/>
    </row>
    <row r="3985" spans="1:15" x14ac:dyDescent="0.3">
      <c r="A3985" t="s">
        <v>4009</v>
      </c>
      <c r="B3985" s="1">
        <v>45821</v>
      </c>
      <c r="C3985" t="s">
        <v>25</v>
      </c>
      <c r="D3985" t="s">
        <v>13</v>
      </c>
      <c r="E3985" s="2">
        <v>10.6</v>
      </c>
      <c r="F3985" s="3">
        <v>28.75</v>
      </c>
      <c r="G3985" s="4">
        <v>110.44</v>
      </c>
      <c r="H3985">
        <v>2</v>
      </c>
      <c r="I3985" s="4">
        <v>220.88</v>
      </c>
      <c r="J3985">
        <v>4.2</v>
      </c>
      <c r="K3985" t="s">
        <v>30</v>
      </c>
      <c r="L3985" t="s">
        <v>16</v>
      </c>
      <c r="O3985"/>
    </row>
    <row r="3986" spans="1:15" x14ac:dyDescent="0.3">
      <c r="A3986" t="s">
        <v>4010</v>
      </c>
      <c r="B3986" s="1">
        <v>45777</v>
      </c>
      <c r="C3986" t="s">
        <v>21</v>
      </c>
      <c r="D3986" t="s">
        <v>13</v>
      </c>
      <c r="E3986" s="2">
        <v>3.52</v>
      </c>
      <c r="F3986" s="3">
        <v>10.35</v>
      </c>
      <c r="G3986" s="4">
        <v>61.67</v>
      </c>
      <c r="H3986">
        <v>1.5</v>
      </c>
      <c r="I3986" s="4">
        <v>92.5</v>
      </c>
      <c r="J3986">
        <v>3.2</v>
      </c>
      <c r="K3986" t="s">
        <v>33</v>
      </c>
      <c r="L3986" t="s">
        <v>16</v>
      </c>
      <c r="O3986"/>
    </row>
    <row r="3987" spans="1:15" x14ac:dyDescent="0.3">
      <c r="A3987" t="s">
        <v>4011</v>
      </c>
      <c r="B3987" s="1">
        <v>45950</v>
      </c>
      <c r="C3987" t="s">
        <v>13</v>
      </c>
      <c r="D3987" t="s">
        <v>22</v>
      </c>
      <c r="E3987" s="2">
        <v>28.01</v>
      </c>
      <c r="F3987" s="3">
        <v>102.04</v>
      </c>
      <c r="G3987" s="4">
        <v>458.88</v>
      </c>
      <c r="H3987">
        <v>1.2</v>
      </c>
      <c r="I3987" s="4">
        <v>550.66</v>
      </c>
      <c r="J3987">
        <v>4.3</v>
      </c>
      <c r="K3987" t="s">
        <v>18</v>
      </c>
      <c r="L3987" t="s">
        <v>19</v>
      </c>
      <c r="O3987"/>
    </row>
    <row r="3988" spans="1:15" x14ac:dyDescent="0.3">
      <c r="A3988" t="s">
        <v>4012</v>
      </c>
      <c r="B3988" s="1">
        <v>45811</v>
      </c>
      <c r="C3988" t="s">
        <v>21</v>
      </c>
      <c r="D3988" t="s">
        <v>22</v>
      </c>
      <c r="E3988" s="2">
        <v>18.87</v>
      </c>
      <c r="F3988" s="3">
        <v>42.1</v>
      </c>
      <c r="G3988" s="4">
        <v>347.7</v>
      </c>
      <c r="H3988">
        <v>2</v>
      </c>
      <c r="I3988" s="4">
        <v>695.4</v>
      </c>
      <c r="J3988">
        <v>4.0999999999999996</v>
      </c>
      <c r="K3988" t="s">
        <v>18</v>
      </c>
      <c r="L3988" t="s">
        <v>16</v>
      </c>
      <c r="O3988"/>
    </row>
    <row r="3989" spans="1:15" x14ac:dyDescent="0.3">
      <c r="A3989" t="s">
        <v>4013</v>
      </c>
      <c r="B3989" s="1">
        <v>46005</v>
      </c>
      <c r="C3989" t="s">
        <v>25</v>
      </c>
      <c r="D3989" t="s">
        <v>13</v>
      </c>
      <c r="E3989" s="2">
        <v>14.16</v>
      </c>
      <c r="F3989" s="3">
        <v>48.47</v>
      </c>
      <c r="G3989" s="4">
        <v>274.3</v>
      </c>
      <c r="H3989">
        <v>2</v>
      </c>
      <c r="I3989" s="4">
        <v>548.6</v>
      </c>
      <c r="J3989">
        <v>4.8</v>
      </c>
      <c r="K3989" t="s">
        <v>33</v>
      </c>
      <c r="L3989" t="s">
        <v>26</v>
      </c>
      <c r="O3989"/>
    </row>
    <row r="3990" spans="1:15" x14ac:dyDescent="0.3">
      <c r="A3990" t="s">
        <v>4014</v>
      </c>
      <c r="B3990" s="1">
        <v>45719</v>
      </c>
      <c r="C3990" t="s">
        <v>25</v>
      </c>
      <c r="D3990" t="s">
        <v>14</v>
      </c>
      <c r="E3990" s="2">
        <v>7.03</v>
      </c>
      <c r="F3990" s="3">
        <v>21.73</v>
      </c>
      <c r="G3990" s="4">
        <v>126.19</v>
      </c>
      <c r="H3990">
        <v>1</v>
      </c>
      <c r="I3990" s="4">
        <v>126.19</v>
      </c>
      <c r="J3990">
        <v>4</v>
      </c>
      <c r="K3990" t="s">
        <v>36</v>
      </c>
      <c r="L3990" t="s">
        <v>16</v>
      </c>
      <c r="O3990"/>
    </row>
    <row r="3991" spans="1:15" x14ac:dyDescent="0.3">
      <c r="A3991" t="s">
        <v>4015</v>
      </c>
      <c r="B3991" s="1">
        <v>45756</v>
      </c>
      <c r="C3991" t="s">
        <v>13</v>
      </c>
      <c r="D3991" t="s">
        <v>21</v>
      </c>
      <c r="E3991" s="2">
        <v>7.34</v>
      </c>
      <c r="F3991" s="3">
        <v>27.47</v>
      </c>
      <c r="G3991" s="4">
        <v>77.290000000000006</v>
      </c>
      <c r="H3991">
        <v>2</v>
      </c>
      <c r="I3991" s="4">
        <v>154.58000000000001</v>
      </c>
      <c r="J3991">
        <v>3.3</v>
      </c>
      <c r="K3991" t="s">
        <v>15</v>
      </c>
      <c r="L3991" t="s">
        <v>26</v>
      </c>
      <c r="O3991"/>
    </row>
    <row r="3992" spans="1:15" x14ac:dyDescent="0.3">
      <c r="A3992" t="s">
        <v>4016</v>
      </c>
      <c r="B3992" s="1">
        <v>45769</v>
      </c>
      <c r="C3992" t="s">
        <v>21</v>
      </c>
      <c r="D3992" t="s">
        <v>21</v>
      </c>
      <c r="E3992" s="2">
        <v>10.14</v>
      </c>
      <c r="F3992" s="3">
        <v>34.9</v>
      </c>
      <c r="G3992" s="4">
        <v>180.73</v>
      </c>
      <c r="H3992">
        <v>1.2</v>
      </c>
      <c r="I3992" s="4">
        <v>216.88</v>
      </c>
      <c r="J3992">
        <v>3.2</v>
      </c>
      <c r="K3992" t="s">
        <v>15</v>
      </c>
      <c r="L3992" t="s">
        <v>26</v>
      </c>
      <c r="O3992"/>
    </row>
    <row r="3993" spans="1:15" x14ac:dyDescent="0.3">
      <c r="A3993" t="s">
        <v>4017</v>
      </c>
      <c r="B3993" s="1">
        <v>45679</v>
      </c>
      <c r="C3993" t="s">
        <v>14</v>
      </c>
      <c r="D3993" t="s">
        <v>25</v>
      </c>
      <c r="E3993" s="2">
        <v>20.89</v>
      </c>
      <c r="F3993" s="3">
        <v>66.959999999999994</v>
      </c>
      <c r="G3993" s="4">
        <v>318.62</v>
      </c>
      <c r="H3993">
        <v>2</v>
      </c>
      <c r="I3993" s="4">
        <v>637.24</v>
      </c>
      <c r="J3993">
        <v>3.3</v>
      </c>
      <c r="K3993" t="s">
        <v>30</v>
      </c>
      <c r="L3993" t="s">
        <v>19</v>
      </c>
      <c r="O3993"/>
    </row>
    <row r="3994" spans="1:15" x14ac:dyDescent="0.3">
      <c r="A3994" t="s">
        <v>4018</v>
      </c>
      <c r="B3994" s="1">
        <v>45800</v>
      </c>
      <c r="C3994" t="s">
        <v>13</v>
      </c>
      <c r="D3994" t="s">
        <v>25</v>
      </c>
      <c r="E3994" s="2">
        <v>9.18</v>
      </c>
      <c r="F3994" s="3">
        <v>28.24</v>
      </c>
      <c r="G3994" s="4">
        <v>108.17</v>
      </c>
      <c r="H3994">
        <v>2</v>
      </c>
      <c r="I3994" s="4">
        <v>216.34</v>
      </c>
      <c r="J3994">
        <v>4</v>
      </c>
      <c r="K3994" t="s">
        <v>36</v>
      </c>
      <c r="L3994" t="s">
        <v>19</v>
      </c>
      <c r="O3994"/>
    </row>
    <row r="3995" spans="1:15" x14ac:dyDescent="0.3">
      <c r="A3995" t="s">
        <v>4019</v>
      </c>
      <c r="B3995" s="1">
        <v>45739</v>
      </c>
      <c r="C3995" t="s">
        <v>25</v>
      </c>
      <c r="D3995" t="s">
        <v>25</v>
      </c>
      <c r="E3995" s="2">
        <v>14.86</v>
      </c>
      <c r="F3995" s="3">
        <v>53.93</v>
      </c>
      <c r="G3995" s="4">
        <v>215.6</v>
      </c>
      <c r="H3995">
        <v>2</v>
      </c>
      <c r="I3995" s="4">
        <v>431.2</v>
      </c>
      <c r="J3995">
        <v>3</v>
      </c>
      <c r="K3995" t="s">
        <v>33</v>
      </c>
      <c r="L3995" t="s">
        <v>16</v>
      </c>
      <c r="O3995"/>
    </row>
    <row r="3996" spans="1:15" x14ac:dyDescent="0.3">
      <c r="A3996" t="s">
        <v>4020</v>
      </c>
      <c r="B3996" s="1">
        <v>45767</v>
      </c>
      <c r="C3996" t="s">
        <v>21</v>
      </c>
      <c r="D3996" t="s">
        <v>25</v>
      </c>
      <c r="E3996" s="2">
        <v>11.61</v>
      </c>
      <c r="F3996" s="3">
        <v>26.44</v>
      </c>
      <c r="G3996" s="4">
        <v>196.17</v>
      </c>
      <c r="H3996">
        <v>1.2</v>
      </c>
      <c r="I3996" s="4">
        <v>235.4</v>
      </c>
      <c r="J3996">
        <v>3.2</v>
      </c>
      <c r="K3996" t="s">
        <v>33</v>
      </c>
      <c r="L3996" t="s">
        <v>28</v>
      </c>
      <c r="O3996"/>
    </row>
    <row r="3997" spans="1:15" x14ac:dyDescent="0.3">
      <c r="A3997" t="s">
        <v>4021</v>
      </c>
      <c r="B3997" s="1">
        <v>45710</v>
      </c>
      <c r="C3997" t="s">
        <v>25</v>
      </c>
      <c r="D3997" t="s">
        <v>13</v>
      </c>
      <c r="E3997" s="2">
        <v>20.59</v>
      </c>
      <c r="F3997" s="3">
        <v>52.78</v>
      </c>
      <c r="G3997" s="4">
        <v>209.08</v>
      </c>
      <c r="H3997">
        <v>2</v>
      </c>
      <c r="I3997" s="4">
        <v>418.16</v>
      </c>
      <c r="J3997">
        <v>4.7</v>
      </c>
      <c r="K3997" t="s">
        <v>18</v>
      </c>
      <c r="L3997" t="s">
        <v>28</v>
      </c>
      <c r="O3997"/>
    </row>
    <row r="3998" spans="1:15" x14ac:dyDescent="0.3">
      <c r="A3998" t="s">
        <v>4022</v>
      </c>
      <c r="B3998" s="1">
        <v>45876</v>
      </c>
      <c r="C3998" t="s">
        <v>22</v>
      </c>
      <c r="D3998" t="s">
        <v>21</v>
      </c>
      <c r="E3998" s="2">
        <v>24.68</v>
      </c>
      <c r="F3998" s="3">
        <v>72.33</v>
      </c>
      <c r="G3998" s="4">
        <v>473.46</v>
      </c>
      <c r="H3998">
        <v>2</v>
      </c>
      <c r="I3998" s="4">
        <v>946.92</v>
      </c>
      <c r="J3998">
        <v>3.6</v>
      </c>
      <c r="K3998" t="s">
        <v>18</v>
      </c>
      <c r="L3998" t="s">
        <v>16</v>
      </c>
      <c r="O3998"/>
    </row>
    <row r="3999" spans="1:15" x14ac:dyDescent="0.3">
      <c r="A3999" t="s">
        <v>4023</v>
      </c>
      <c r="B3999" s="1">
        <v>45986</v>
      </c>
      <c r="C3999" t="s">
        <v>13</v>
      </c>
      <c r="D3999" t="s">
        <v>21</v>
      </c>
      <c r="E3999" s="2">
        <v>25.52</v>
      </c>
      <c r="F3999" s="3">
        <v>57</v>
      </c>
      <c r="G3999" s="4">
        <v>264.42</v>
      </c>
      <c r="H3999">
        <v>2</v>
      </c>
      <c r="I3999" s="4">
        <v>528.84</v>
      </c>
      <c r="J3999">
        <v>5</v>
      </c>
      <c r="K3999" t="s">
        <v>30</v>
      </c>
      <c r="L3999" t="s">
        <v>26</v>
      </c>
      <c r="O3999"/>
    </row>
    <row r="4000" spans="1:15" x14ac:dyDescent="0.3">
      <c r="A4000" t="s">
        <v>4024</v>
      </c>
      <c r="B4000" s="1">
        <v>45706</v>
      </c>
      <c r="C4000" t="s">
        <v>13</v>
      </c>
      <c r="D4000" t="s">
        <v>13</v>
      </c>
      <c r="E4000" s="2">
        <v>12.76</v>
      </c>
      <c r="F4000" s="3">
        <v>34.06</v>
      </c>
      <c r="G4000" s="4">
        <v>171.5</v>
      </c>
      <c r="H4000">
        <v>1.2</v>
      </c>
      <c r="I4000" s="4">
        <v>205.8</v>
      </c>
      <c r="J4000">
        <v>4.0999999999999996</v>
      </c>
      <c r="K4000" t="s">
        <v>15</v>
      </c>
      <c r="L4000" t="s">
        <v>28</v>
      </c>
      <c r="O4000"/>
    </row>
    <row r="4001" spans="1:15" x14ac:dyDescent="0.3">
      <c r="A4001" t="s">
        <v>4025</v>
      </c>
      <c r="B4001" s="1">
        <v>45755</v>
      </c>
      <c r="C4001" t="s">
        <v>25</v>
      </c>
      <c r="D4001" t="s">
        <v>13</v>
      </c>
      <c r="E4001" s="2">
        <v>2.1</v>
      </c>
      <c r="F4001" s="3">
        <v>7.89</v>
      </c>
      <c r="G4001" s="4">
        <v>27.23</v>
      </c>
      <c r="H4001">
        <v>1.2</v>
      </c>
      <c r="I4001" s="4">
        <v>32.68</v>
      </c>
      <c r="J4001">
        <v>4.3</v>
      </c>
      <c r="K4001" t="s">
        <v>36</v>
      </c>
      <c r="L4001" t="s">
        <v>19</v>
      </c>
      <c r="O4001"/>
    </row>
    <row r="4002" spans="1:15" x14ac:dyDescent="0.3">
      <c r="A4002" t="s">
        <v>4026</v>
      </c>
      <c r="B4002" s="1">
        <v>46022</v>
      </c>
      <c r="C4002" t="s">
        <v>13</v>
      </c>
      <c r="D4002" t="s">
        <v>25</v>
      </c>
      <c r="E4002" s="2">
        <v>28.28</v>
      </c>
      <c r="F4002" s="3">
        <v>102.44</v>
      </c>
      <c r="G4002" s="4">
        <v>345.19</v>
      </c>
      <c r="H4002">
        <v>2</v>
      </c>
      <c r="I4002" s="4">
        <v>690.38</v>
      </c>
      <c r="J4002">
        <v>4.5</v>
      </c>
      <c r="K4002" t="s">
        <v>33</v>
      </c>
      <c r="L4002" t="s">
        <v>26</v>
      </c>
      <c r="O4002"/>
    </row>
    <row r="4003" spans="1:15" x14ac:dyDescent="0.3">
      <c r="A4003" t="s">
        <v>4027</v>
      </c>
      <c r="B4003" s="1">
        <v>45960</v>
      </c>
      <c r="C4003" t="s">
        <v>25</v>
      </c>
      <c r="D4003" t="s">
        <v>21</v>
      </c>
      <c r="E4003" s="2">
        <v>20.329999999999998</v>
      </c>
      <c r="F4003" s="3">
        <v>57.38</v>
      </c>
      <c r="G4003" s="4">
        <v>342.25</v>
      </c>
      <c r="H4003">
        <v>1.2</v>
      </c>
      <c r="I4003" s="4">
        <v>410.7</v>
      </c>
      <c r="J4003">
        <v>4.8</v>
      </c>
      <c r="K4003" t="s">
        <v>36</v>
      </c>
      <c r="L4003" t="s">
        <v>19</v>
      </c>
      <c r="O4003"/>
    </row>
    <row r="4004" spans="1:15" x14ac:dyDescent="0.3">
      <c r="A4004" t="s">
        <v>4028</v>
      </c>
      <c r="B4004" s="1">
        <v>45984</v>
      </c>
      <c r="C4004" t="s">
        <v>21</v>
      </c>
      <c r="D4004" t="s">
        <v>13</v>
      </c>
      <c r="E4004" s="2">
        <v>14.52</v>
      </c>
      <c r="F4004" s="3">
        <v>54.66</v>
      </c>
      <c r="G4004" s="4">
        <v>245.18</v>
      </c>
      <c r="H4004">
        <v>1.2</v>
      </c>
      <c r="I4004" s="4">
        <v>294.22000000000003</v>
      </c>
      <c r="J4004">
        <v>4.5</v>
      </c>
      <c r="K4004" t="s">
        <v>36</v>
      </c>
      <c r="L4004" t="s">
        <v>16</v>
      </c>
      <c r="O4004"/>
    </row>
    <row r="4005" spans="1:15" x14ac:dyDescent="0.3">
      <c r="A4005" t="s">
        <v>4029</v>
      </c>
      <c r="B4005" s="1">
        <v>45701</v>
      </c>
      <c r="C4005" t="s">
        <v>13</v>
      </c>
      <c r="D4005" t="s">
        <v>25</v>
      </c>
      <c r="E4005" s="2">
        <v>13.44</v>
      </c>
      <c r="F4005" s="3">
        <v>52.67</v>
      </c>
      <c r="G4005" s="4">
        <v>157.96</v>
      </c>
      <c r="H4005">
        <v>1</v>
      </c>
      <c r="I4005" s="4">
        <v>157.96</v>
      </c>
      <c r="J4005">
        <v>3.9</v>
      </c>
      <c r="K4005" t="s">
        <v>36</v>
      </c>
      <c r="L4005" t="s">
        <v>28</v>
      </c>
      <c r="O4005"/>
    </row>
    <row r="4006" spans="1:15" x14ac:dyDescent="0.3">
      <c r="A4006" t="s">
        <v>4030</v>
      </c>
      <c r="B4006" s="1">
        <v>45912</v>
      </c>
      <c r="C4006" t="s">
        <v>25</v>
      </c>
      <c r="D4006" t="s">
        <v>14</v>
      </c>
      <c r="E4006" s="2">
        <v>27</v>
      </c>
      <c r="F4006" s="3">
        <v>101.07</v>
      </c>
      <c r="G4006" s="4">
        <v>407.96</v>
      </c>
      <c r="H4006">
        <v>1.5</v>
      </c>
      <c r="I4006" s="4">
        <v>611.94000000000005</v>
      </c>
      <c r="J4006">
        <v>3.4</v>
      </c>
      <c r="K4006" t="s">
        <v>36</v>
      </c>
      <c r="L4006" t="s">
        <v>19</v>
      </c>
      <c r="O4006"/>
    </row>
    <row r="4007" spans="1:15" x14ac:dyDescent="0.3">
      <c r="A4007" t="s">
        <v>4031</v>
      </c>
      <c r="B4007" s="1">
        <v>45963</v>
      </c>
      <c r="C4007" t="s">
        <v>22</v>
      </c>
      <c r="D4007" t="s">
        <v>22</v>
      </c>
      <c r="E4007" s="2">
        <v>3.01</v>
      </c>
      <c r="F4007" s="3">
        <v>9.61</v>
      </c>
      <c r="G4007" s="4">
        <v>30.51</v>
      </c>
      <c r="H4007">
        <v>1.5</v>
      </c>
      <c r="I4007" s="4">
        <v>45.76</v>
      </c>
      <c r="J4007">
        <v>4.5</v>
      </c>
      <c r="K4007" t="s">
        <v>18</v>
      </c>
      <c r="L4007" t="s">
        <v>19</v>
      </c>
      <c r="O4007"/>
    </row>
    <row r="4008" spans="1:15" x14ac:dyDescent="0.3">
      <c r="A4008" t="s">
        <v>4032</v>
      </c>
      <c r="B4008" s="1">
        <v>45950</v>
      </c>
      <c r="C4008" t="s">
        <v>22</v>
      </c>
      <c r="D4008" t="s">
        <v>25</v>
      </c>
      <c r="E4008" s="2">
        <v>9.69</v>
      </c>
      <c r="F4008" s="3">
        <v>32.74</v>
      </c>
      <c r="G4008" s="4">
        <v>138.01</v>
      </c>
      <c r="H4008">
        <v>2</v>
      </c>
      <c r="I4008" s="4">
        <v>276.02</v>
      </c>
      <c r="J4008">
        <v>4.3</v>
      </c>
      <c r="K4008" t="s">
        <v>33</v>
      </c>
      <c r="L4008" t="s">
        <v>16</v>
      </c>
      <c r="O4008"/>
    </row>
    <row r="4009" spans="1:15" x14ac:dyDescent="0.3">
      <c r="A4009" t="s">
        <v>4033</v>
      </c>
      <c r="B4009" s="1">
        <v>45711</v>
      </c>
      <c r="C4009" t="s">
        <v>13</v>
      </c>
      <c r="D4009" t="s">
        <v>21</v>
      </c>
      <c r="E4009" s="2">
        <v>26.27</v>
      </c>
      <c r="F4009" s="3">
        <v>56.14</v>
      </c>
      <c r="G4009" s="4">
        <v>359.47</v>
      </c>
      <c r="H4009">
        <v>2</v>
      </c>
      <c r="I4009" s="4">
        <v>718.94</v>
      </c>
      <c r="J4009">
        <v>4.8</v>
      </c>
      <c r="K4009" t="s">
        <v>15</v>
      </c>
      <c r="L4009" t="s">
        <v>16</v>
      </c>
      <c r="O4009"/>
    </row>
    <row r="4010" spans="1:15" x14ac:dyDescent="0.3">
      <c r="A4010" t="s">
        <v>4034</v>
      </c>
      <c r="B4010" s="1">
        <v>45730</v>
      </c>
      <c r="C4010" t="s">
        <v>22</v>
      </c>
      <c r="D4010" t="s">
        <v>13</v>
      </c>
      <c r="E4010" s="2">
        <v>26.83</v>
      </c>
      <c r="F4010" s="3">
        <v>73.77</v>
      </c>
      <c r="G4010" s="4">
        <v>319.14999999999998</v>
      </c>
      <c r="H4010">
        <v>2</v>
      </c>
      <c r="I4010" s="4">
        <v>638.29999999999995</v>
      </c>
      <c r="J4010">
        <v>4.3</v>
      </c>
      <c r="K4010" t="s">
        <v>15</v>
      </c>
      <c r="L4010" t="s">
        <v>19</v>
      </c>
      <c r="O4010"/>
    </row>
    <row r="4011" spans="1:15" x14ac:dyDescent="0.3">
      <c r="A4011" t="s">
        <v>4035</v>
      </c>
      <c r="B4011" s="1">
        <v>45881</v>
      </c>
      <c r="C4011" t="s">
        <v>22</v>
      </c>
      <c r="D4011" t="s">
        <v>25</v>
      </c>
      <c r="E4011" s="2">
        <v>5.98</v>
      </c>
      <c r="F4011" s="3">
        <v>12.26</v>
      </c>
      <c r="G4011" s="4">
        <v>79.88</v>
      </c>
      <c r="H4011">
        <v>1.5</v>
      </c>
      <c r="I4011" s="4">
        <v>119.82</v>
      </c>
      <c r="J4011">
        <v>4.5999999999999996</v>
      </c>
      <c r="K4011" t="s">
        <v>33</v>
      </c>
      <c r="L4011" t="s">
        <v>26</v>
      </c>
      <c r="O4011"/>
    </row>
    <row r="4012" spans="1:15" x14ac:dyDescent="0.3">
      <c r="A4012" t="s">
        <v>4036</v>
      </c>
      <c r="B4012" s="1">
        <v>45759</v>
      </c>
      <c r="C4012" t="s">
        <v>22</v>
      </c>
      <c r="D4012" t="s">
        <v>13</v>
      </c>
      <c r="E4012" s="2">
        <v>24.75</v>
      </c>
      <c r="F4012" s="3">
        <v>93.43</v>
      </c>
      <c r="G4012" s="4">
        <v>383.41</v>
      </c>
      <c r="H4012">
        <v>1.5</v>
      </c>
      <c r="I4012" s="4">
        <v>575.12</v>
      </c>
      <c r="J4012">
        <v>3.3</v>
      </c>
      <c r="K4012" t="s">
        <v>30</v>
      </c>
      <c r="L4012" t="s">
        <v>16</v>
      </c>
      <c r="O4012"/>
    </row>
    <row r="4013" spans="1:15" x14ac:dyDescent="0.3">
      <c r="A4013" t="s">
        <v>4037</v>
      </c>
      <c r="B4013" s="1">
        <v>45746</v>
      </c>
      <c r="C4013" t="s">
        <v>14</v>
      </c>
      <c r="D4013" t="s">
        <v>13</v>
      </c>
      <c r="E4013" s="2">
        <v>4.8899999999999997</v>
      </c>
      <c r="F4013" s="3">
        <v>12.65</v>
      </c>
      <c r="G4013" s="4">
        <v>87.48</v>
      </c>
      <c r="H4013">
        <v>1.2</v>
      </c>
      <c r="I4013" s="4">
        <v>104.98</v>
      </c>
      <c r="J4013">
        <v>4.5999999999999996</v>
      </c>
      <c r="K4013" t="s">
        <v>18</v>
      </c>
      <c r="L4013" t="s">
        <v>16</v>
      </c>
      <c r="O4013"/>
    </row>
    <row r="4014" spans="1:15" x14ac:dyDescent="0.3">
      <c r="A4014" t="s">
        <v>4038</v>
      </c>
      <c r="B4014" s="1">
        <v>45943</v>
      </c>
      <c r="C4014" t="s">
        <v>22</v>
      </c>
      <c r="D4014" t="s">
        <v>13</v>
      </c>
      <c r="E4014" s="2">
        <v>12.11</v>
      </c>
      <c r="F4014" s="3">
        <v>40.35</v>
      </c>
      <c r="G4014" s="4">
        <v>143.01</v>
      </c>
      <c r="H4014">
        <v>1.5</v>
      </c>
      <c r="I4014" s="4">
        <v>214.52</v>
      </c>
      <c r="J4014">
        <v>5</v>
      </c>
      <c r="K4014" t="s">
        <v>36</v>
      </c>
      <c r="L4014" t="s">
        <v>16</v>
      </c>
      <c r="O4014"/>
    </row>
    <row r="4015" spans="1:15" x14ac:dyDescent="0.3">
      <c r="A4015" t="s">
        <v>4039</v>
      </c>
      <c r="B4015" s="1">
        <v>45958</v>
      </c>
      <c r="C4015" t="s">
        <v>25</v>
      </c>
      <c r="D4015" t="s">
        <v>13</v>
      </c>
      <c r="E4015" s="2">
        <v>1.48</v>
      </c>
      <c r="F4015" s="3">
        <v>4.43</v>
      </c>
      <c r="G4015" s="4">
        <v>23.9</v>
      </c>
      <c r="H4015">
        <v>2</v>
      </c>
      <c r="I4015" s="4">
        <v>47.8</v>
      </c>
      <c r="J4015">
        <v>3.7</v>
      </c>
      <c r="K4015" t="s">
        <v>15</v>
      </c>
      <c r="L4015" t="s">
        <v>19</v>
      </c>
      <c r="O4015"/>
    </row>
    <row r="4016" spans="1:15" x14ac:dyDescent="0.3">
      <c r="A4016" t="s">
        <v>4040</v>
      </c>
      <c r="B4016" s="1">
        <v>45975</v>
      </c>
      <c r="C4016" t="s">
        <v>21</v>
      </c>
      <c r="D4016" t="s">
        <v>14</v>
      </c>
      <c r="E4016" s="2">
        <v>17.190000000000001</v>
      </c>
      <c r="F4016" s="3">
        <v>42.06</v>
      </c>
      <c r="G4016" s="4">
        <v>333.86</v>
      </c>
      <c r="H4016">
        <v>2</v>
      </c>
      <c r="I4016" s="4">
        <v>667.72</v>
      </c>
      <c r="J4016">
        <v>3.9</v>
      </c>
      <c r="K4016" t="s">
        <v>15</v>
      </c>
      <c r="L4016" t="s">
        <v>28</v>
      </c>
      <c r="O4016"/>
    </row>
    <row r="4017" spans="1:15" x14ac:dyDescent="0.3">
      <c r="A4017" t="s">
        <v>4041</v>
      </c>
      <c r="B4017" s="1">
        <v>45917</v>
      </c>
      <c r="C4017" t="s">
        <v>22</v>
      </c>
      <c r="D4017" t="s">
        <v>13</v>
      </c>
      <c r="E4017" s="2">
        <v>1.35</v>
      </c>
      <c r="F4017" s="3">
        <v>3.6</v>
      </c>
      <c r="G4017" s="4">
        <v>18.809999999999999</v>
      </c>
      <c r="H4017">
        <v>1</v>
      </c>
      <c r="I4017" s="4">
        <v>18.809999999999999</v>
      </c>
      <c r="J4017">
        <v>3.1</v>
      </c>
      <c r="K4017" t="s">
        <v>15</v>
      </c>
      <c r="L4017" t="s">
        <v>26</v>
      </c>
      <c r="O4017"/>
    </row>
    <row r="4018" spans="1:15" x14ac:dyDescent="0.3">
      <c r="A4018" t="s">
        <v>4042</v>
      </c>
      <c r="B4018" s="1">
        <v>45881</v>
      </c>
      <c r="C4018" t="s">
        <v>25</v>
      </c>
      <c r="D4018" t="s">
        <v>13</v>
      </c>
      <c r="E4018" s="2">
        <v>20.34</v>
      </c>
      <c r="F4018" s="3">
        <v>79.11</v>
      </c>
      <c r="G4018" s="4">
        <v>389.31</v>
      </c>
      <c r="H4018">
        <v>1.2</v>
      </c>
      <c r="I4018" s="4">
        <v>467.17</v>
      </c>
      <c r="J4018">
        <v>4.3</v>
      </c>
      <c r="K4018" t="s">
        <v>15</v>
      </c>
      <c r="L4018" t="s">
        <v>28</v>
      </c>
      <c r="O4018"/>
    </row>
    <row r="4019" spans="1:15" x14ac:dyDescent="0.3">
      <c r="A4019" t="s">
        <v>4043</v>
      </c>
      <c r="B4019" s="1">
        <v>45979</v>
      </c>
      <c r="C4019" t="s">
        <v>14</v>
      </c>
      <c r="D4019" t="s">
        <v>13</v>
      </c>
      <c r="E4019" s="2">
        <v>24.95</v>
      </c>
      <c r="F4019" s="3">
        <v>91.61</v>
      </c>
      <c r="G4019" s="4">
        <v>456.48</v>
      </c>
      <c r="H4019">
        <v>2</v>
      </c>
      <c r="I4019" s="4">
        <v>912.96</v>
      </c>
      <c r="J4019">
        <v>3.3</v>
      </c>
      <c r="K4019" t="s">
        <v>15</v>
      </c>
      <c r="L4019" t="s">
        <v>19</v>
      </c>
      <c r="O4019"/>
    </row>
    <row r="4020" spans="1:15" x14ac:dyDescent="0.3">
      <c r="A4020" t="s">
        <v>4044</v>
      </c>
      <c r="B4020" s="1">
        <v>45808</v>
      </c>
      <c r="C4020" t="s">
        <v>22</v>
      </c>
      <c r="D4020" t="s">
        <v>21</v>
      </c>
      <c r="E4020" s="2">
        <v>29.51</v>
      </c>
      <c r="F4020" s="3">
        <v>115.66</v>
      </c>
      <c r="G4020" s="4">
        <v>461.65</v>
      </c>
      <c r="H4020">
        <v>1.5</v>
      </c>
      <c r="I4020" s="4">
        <v>692.47</v>
      </c>
      <c r="J4020">
        <v>4.5999999999999996</v>
      </c>
      <c r="K4020" t="s">
        <v>30</v>
      </c>
      <c r="L4020" t="s">
        <v>26</v>
      </c>
      <c r="O4020"/>
    </row>
    <row r="4021" spans="1:15" x14ac:dyDescent="0.3">
      <c r="A4021" t="s">
        <v>4045</v>
      </c>
      <c r="B4021" s="1">
        <v>45916</v>
      </c>
      <c r="C4021" t="s">
        <v>25</v>
      </c>
      <c r="D4021" t="s">
        <v>22</v>
      </c>
      <c r="E4021" s="2">
        <v>16</v>
      </c>
      <c r="F4021" s="3">
        <v>44.46</v>
      </c>
      <c r="G4021" s="4">
        <v>254.86</v>
      </c>
      <c r="H4021">
        <v>1.2</v>
      </c>
      <c r="I4021" s="4">
        <v>305.83</v>
      </c>
      <c r="J4021">
        <v>3.4</v>
      </c>
      <c r="K4021" t="s">
        <v>36</v>
      </c>
      <c r="L4021" t="s">
        <v>16</v>
      </c>
      <c r="O4021"/>
    </row>
    <row r="4022" spans="1:15" x14ac:dyDescent="0.3">
      <c r="A4022" t="s">
        <v>4046</v>
      </c>
      <c r="B4022" s="1">
        <v>45662</v>
      </c>
      <c r="C4022" t="s">
        <v>21</v>
      </c>
      <c r="D4022" t="s">
        <v>22</v>
      </c>
      <c r="E4022" s="2">
        <v>15.22</v>
      </c>
      <c r="F4022" s="3">
        <v>55.89</v>
      </c>
      <c r="G4022" s="4">
        <v>276.02999999999997</v>
      </c>
      <c r="H4022">
        <v>2</v>
      </c>
      <c r="I4022" s="4">
        <v>552.05999999999995</v>
      </c>
      <c r="J4022">
        <v>4.5999999999999996</v>
      </c>
      <c r="K4022" t="s">
        <v>18</v>
      </c>
      <c r="L4022" t="s">
        <v>28</v>
      </c>
      <c r="O4022"/>
    </row>
    <row r="4023" spans="1:15" x14ac:dyDescent="0.3">
      <c r="A4023" t="s">
        <v>4047</v>
      </c>
      <c r="B4023" s="1">
        <v>45946</v>
      </c>
      <c r="C4023" t="s">
        <v>25</v>
      </c>
      <c r="D4023" t="s">
        <v>21</v>
      </c>
      <c r="E4023" s="2">
        <v>20.13</v>
      </c>
      <c r="F4023" s="3">
        <v>50.69</v>
      </c>
      <c r="G4023" s="4">
        <v>333.66</v>
      </c>
      <c r="H4023">
        <v>1</v>
      </c>
      <c r="I4023" s="4">
        <v>333.66</v>
      </c>
      <c r="J4023">
        <v>4.9000000000000004</v>
      </c>
      <c r="K4023" t="s">
        <v>15</v>
      </c>
      <c r="L4023" t="s">
        <v>26</v>
      </c>
      <c r="O4023"/>
    </row>
    <row r="4024" spans="1:15" x14ac:dyDescent="0.3">
      <c r="A4024" t="s">
        <v>4048</v>
      </c>
      <c r="B4024" s="1">
        <v>45946</v>
      </c>
      <c r="C4024" t="s">
        <v>25</v>
      </c>
      <c r="D4024" t="s">
        <v>21</v>
      </c>
      <c r="E4024" s="2">
        <v>3.97</v>
      </c>
      <c r="F4024" s="3">
        <v>10.18</v>
      </c>
      <c r="G4024" s="4">
        <v>43.21</v>
      </c>
      <c r="H4024">
        <v>2</v>
      </c>
      <c r="I4024" s="4">
        <v>86.42</v>
      </c>
      <c r="J4024">
        <v>4.9000000000000004</v>
      </c>
      <c r="K4024" t="s">
        <v>18</v>
      </c>
      <c r="L4024" t="s">
        <v>26</v>
      </c>
      <c r="O4024"/>
    </row>
    <row r="4025" spans="1:15" x14ac:dyDescent="0.3">
      <c r="A4025" t="s">
        <v>4049</v>
      </c>
      <c r="B4025" s="1">
        <v>45880</v>
      </c>
      <c r="C4025" t="s">
        <v>21</v>
      </c>
      <c r="D4025" t="s">
        <v>22</v>
      </c>
      <c r="E4025" s="2">
        <v>27.13</v>
      </c>
      <c r="F4025" s="3">
        <v>106.96</v>
      </c>
      <c r="G4025" s="4">
        <v>518.05999999999995</v>
      </c>
      <c r="H4025">
        <v>1.5</v>
      </c>
      <c r="I4025" s="4">
        <v>777.09</v>
      </c>
      <c r="J4025">
        <v>4</v>
      </c>
      <c r="K4025" t="s">
        <v>15</v>
      </c>
      <c r="L4025" t="s">
        <v>26</v>
      </c>
      <c r="O4025"/>
    </row>
    <row r="4026" spans="1:15" x14ac:dyDescent="0.3">
      <c r="A4026" t="s">
        <v>4050</v>
      </c>
      <c r="B4026" s="1">
        <v>45733</v>
      </c>
      <c r="C4026" t="s">
        <v>21</v>
      </c>
      <c r="D4026" t="s">
        <v>14</v>
      </c>
      <c r="E4026" s="2">
        <v>3.75</v>
      </c>
      <c r="F4026" s="3">
        <v>14.08</v>
      </c>
      <c r="G4026" s="4">
        <v>38.67</v>
      </c>
      <c r="H4026">
        <v>1</v>
      </c>
      <c r="I4026" s="4">
        <v>38.67</v>
      </c>
      <c r="J4026">
        <v>4.8</v>
      </c>
      <c r="K4026" t="s">
        <v>33</v>
      </c>
      <c r="L4026" t="s">
        <v>26</v>
      </c>
      <c r="O4026"/>
    </row>
    <row r="4027" spans="1:15" x14ac:dyDescent="0.3">
      <c r="A4027" t="s">
        <v>4051</v>
      </c>
      <c r="B4027" s="1">
        <v>45767</v>
      </c>
      <c r="C4027" t="s">
        <v>25</v>
      </c>
      <c r="D4027" t="s">
        <v>22</v>
      </c>
      <c r="E4027" s="2">
        <v>13.17</v>
      </c>
      <c r="F4027" s="3">
        <v>30.06</v>
      </c>
      <c r="G4027" s="4">
        <v>226.95</v>
      </c>
      <c r="H4027">
        <v>1</v>
      </c>
      <c r="I4027" s="4">
        <v>226.95</v>
      </c>
      <c r="J4027">
        <v>3.6</v>
      </c>
      <c r="K4027" t="s">
        <v>15</v>
      </c>
      <c r="L4027" t="s">
        <v>16</v>
      </c>
      <c r="O4027"/>
    </row>
    <row r="4028" spans="1:15" x14ac:dyDescent="0.3">
      <c r="A4028" t="s">
        <v>4052</v>
      </c>
      <c r="B4028" s="1">
        <v>45854</v>
      </c>
      <c r="C4028" t="s">
        <v>21</v>
      </c>
      <c r="D4028" t="s">
        <v>21</v>
      </c>
      <c r="E4028" s="2">
        <v>13.12</v>
      </c>
      <c r="F4028" s="3">
        <v>27.98</v>
      </c>
      <c r="G4028" s="4">
        <v>172.52</v>
      </c>
      <c r="H4028">
        <v>1</v>
      </c>
      <c r="I4028" s="4">
        <v>172.52</v>
      </c>
      <c r="J4028">
        <v>4.5</v>
      </c>
      <c r="K4028" t="s">
        <v>33</v>
      </c>
      <c r="L4028" t="s">
        <v>19</v>
      </c>
      <c r="O4028"/>
    </row>
    <row r="4029" spans="1:15" x14ac:dyDescent="0.3">
      <c r="A4029" t="s">
        <v>4053</v>
      </c>
      <c r="B4029" s="1">
        <v>45863</v>
      </c>
      <c r="C4029" t="s">
        <v>22</v>
      </c>
      <c r="D4029" t="s">
        <v>25</v>
      </c>
      <c r="E4029" s="2">
        <v>3.28</v>
      </c>
      <c r="F4029" s="3">
        <v>11.97</v>
      </c>
      <c r="G4029" s="4">
        <v>50.76</v>
      </c>
      <c r="H4029">
        <v>1.2</v>
      </c>
      <c r="I4029" s="4">
        <v>60.91</v>
      </c>
      <c r="J4029">
        <v>3.5</v>
      </c>
      <c r="K4029" t="s">
        <v>33</v>
      </c>
      <c r="L4029" t="s">
        <v>19</v>
      </c>
      <c r="O4029"/>
    </row>
    <row r="4030" spans="1:15" x14ac:dyDescent="0.3">
      <c r="A4030" t="s">
        <v>4054</v>
      </c>
      <c r="B4030" s="1">
        <v>45955</v>
      </c>
      <c r="C4030" t="s">
        <v>22</v>
      </c>
      <c r="D4030" t="s">
        <v>13</v>
      </c>
      <c r="E4030" s="2">
        <v>21.24</v>
      </c>
      <c r="F4030" s="3">
        <v>43.93</v>
      </c>
      <c r="G4030" s="4">
        <v>374.4</v>
      </c>
      <c r="H4030">
        <v>2</v>
      </c>
      <c r="I4030" s="4">
        <v>748.8</v>
      </c>
      <c r="J4030">
        <v>3.7</v>
      </c>
      <c r="K4030" t="s">
        <v>33</v>
      </c>
      <c r="L4030" t="s">
        <v>28</v>
      </c>
      <c r="O4030"/>
    </row>
    <row r="4031" spans="1:15" x14ac:dyDescent="0.3">
      <c r="A4031" t="s">
        <v>4055</v>
      </c>
      <c r="B4031" s="1">
        <v>45744</v>
      </c>
      <c r="C4031" t="s">
        <v>14</v>
      </c>
      <c r="D4031" t="s">
        <v>22</v>
      </c>
      <c r="E4031" s="2">
        <v>12.18</v>
      </c>
      <c r="F4031" s="3">
        <v>32.770000000000003</v>
      </c>
      <c r="G4031" s="4">
        <v>193.9</v>
      </c>
      <c r="H4031">
        <v>1.5</v>
      </c>
      <c r="I4031" s="4">
        <v>290.85000000000002</v>
      </c>
      <c r="J4031">
        <v>3.9</v>
      </c>
      <c r="K4031" t="s">
        <v>33</v>
      </c>
      <c r="L4031" t="s">
        <v>16</v>
      </c>
      <c r="O4031"/>
    </row>
    <row r="4032" spans="1:15" x14ac:dyDescent="0.3">
      <c r="A4032" t="s">
        <v>4056</v>
      </c>
      <c r="B4032" s="1">
        <v>45751</v>
      </c>
      <c r="C4032" t="s">
        <v>21</v>
      </c>
      <c r="D4032" t="s">
        <v>21</v>
      </c>
      <c r="E4032" s="2">
        <v>21.58</v>
      </c>
      <c r="F4032" s="3">
        <v>78.2</v>
      </c>
      <c r="G4032" s="4">
        <v>261.5</v>
      </c>
      <c r="H4032">
        <v>1</v>
      </c>
      <c r="I4032" s="4">
        <v>261.5</v>
      </c>
      <c r="J4032">
        <v>3.4</v>
      </c>
      <c r="K4032" t="s">
        <v>30</v>
      </c>
      <c r="L4032" t="s">
        <v>26</v>
      </c>
      <c r="O4032"/>
    </row>
    <row r="4033" spans="1:15" x14ac:dyDescent="0.3">
      <c r="A4033" t="s">
        <v>4057</v>
      </c>
      <c r="B4033" s="1">
        <v>45977</v>
      </c>
      <c r="C4033" t="s">
        <v>21</v>
      </c>
      <c r="D4033" t="s">
        <v>13</v>
      </c>
      <c r="E4033" s="2">
        <v>27.15</v>
      </c>
      <c r="F4033" s="3">
        <v>63.19</v>
      </c>
      <c r="G4033" s="4">
        <v>363.04</v>
      </c>
      <c r="H4033">
        <v>1</v>
      </c>
      <c r="I4033" s="4">
        <v>363.04</v>
      </c>
      <c r="J4033">
        <v>3.3</v>
      </c>
      <c r="K4033" t="s">
        <v>36</v>
      </c>
      <c r="L4033" t="s">
        <v>16</v>
      </c>
      <c r="O4033"/>
    </row>
    <row r="4034" spans="1:15" x14ac:dyDescent="0.3">
      <c r="A4034" t="s">
        <v>4058</v>
      </c>
      <c r="B4034" s="1">
        <v>45812</v>
      </c>
      <c r="C4034" t="s">
        <v>14</v>
      </c>
      <c r="D4034" t="s">
        <v>13</v>
      </c>
      <c r="E4034" s="2">
        <v>8.42</v>
      </c>
      <c r="F4034" s="3">
        <v>29.7</v>
      </c>
      <c r="G4034" s="4">
        <v>144.02000000000001</v>
      </c>
      <c r="H4034">
        <v>2</v>
      </c>
      <c r="I4034" s="4">
        <v>288.04000000000002</v>
      </c>
      <c r="J4034">
        <v>3.4</v>
      </c>
      <c r="K4034" t="s">
        <v>15</v>
      </c>
      <c r="L4034" t="s">
        <v>16</v>
      </c>
      <c r="O4034"/>
    </row>
    <row r="4035" spans="1:15" x14ac:dyDescent="0.3">
      <c r="A4035" t="s">
        <v>4059</v>
      </c>
      <c r="B4035" s="1">
        <v>45884</v>
      </c>
      <c r="C4035" t="s">
        <v>21</v>
      </c>
      <c r="D4035" t="s">
        <v>14</v>
      </c>
      <c r="E4035" s="2">
        <v>19.18</v>
      </c>
      <c r="F4035" s="3">
        <v>64.64</v>
      </c>
      <c r="G4035" s="4">
        <v>215.62</v>
      </c>
      <c r="H4035">
        <v>1</v>
      </c>
      <c r="I4035" s="4">
        <v>215.62</v>
      </c>
      <c r="J4035">
        <v>4.4000000000000004</v>
      </c>
      <c r="K4035" t="s">
        <v>33</v>
      </c>
      <c r="L4035" t="s">
        <v>26</v>
      </c>
      <c r="O4035"/>
    </row>
    <row r="4036" spans="1:15" x14ac:dyDescent="0.3">
      <c r="A4036" t="s">
        <v>4060</v>
      </c>
      <c r="B4036" s="1">
        <v>45769</v>
      </c>
      <c r="C4036" t="s">
        <v>25</v>
      </c>
      <c r="D4036" t="s">
        <v>14</v>
      </c>
      <c r="E4036" s="2">
        <v>2.46</v>
      </c>
      <c r="F4036" s="3">
        <v>5.0999999999999996</v>
      </c>
      <c r="G4036" s="4">
        <v>46.59</v>
      </c>
      <c r="H4036">
        <v>1</v>
      </c>
      <c r="I4036" s="4">
        <v>46.59</v>
      </c>
      <c r="J4036">
        <v>4.5999999999999996</v>
      </c>
      <c r="K4036" t="s">
        <v>33</v>
      </c>
      <c r="L4036" t="s">
        <v>26</v>
      </c>
      <c r="O4036"/>
    </row>
    <row r="4037" spans="1:15" x14ac:dyDescent="0.3">
      <c r="A4037" t="s">
        <v>4061</v>
      </c>
      <c r="B4037" s="1">
        <v>45940</v>
      </c>
      <c r="C4037" t="s">
        <v>22</v>
      </c>
      <c r="D4037" t="s">
        <v>22</v>
      </c>
      <c r="E4037" s="2">
        <v>11.37</v>
      </c>
      <c r="F4037" s="3">
        <v>41.74</v>
      </c>
      <c r="G4037" s="4">
        <v>128.32</v>
      </c>
      <c r="H4037">
        <v>1</v>
      </c>
      <c r="I4037" s="4">
        <v>128.32</v>
      </c>
      <c r="J4037">
        <v>3.6</v>
      </c>
      <c r="K4037" t="s">
        <v>18</v>
      </c>
      <c r="L4037" t="s">
        <v>19</v>
      </c>
      <c r="O4037"/>
    </row>
    <row r="4038" spans="1:15" x14ac:dyDescent="0.3">
      <c r="A4038" t="s">
        <v>4062</v>
      </c>
      <c r="B4038" s="1">
        <v>45971</v>
      </c>
      <c r="C4038" t="s">
        <v>25</v>
      </c>
      <c r="D4038" t="s">
        <v>25</v>
      </c>
      <c r="E4038" s="2">
        <v>29.48</v>
      </c>
      <c r="F4038" s="3">
        <v>105.96</v>
      </c>
      <c r="G4038" s="4">
        <v>523.95000000000005</v>
      </c>
      <c r="H4038">
        <v>1.5</v>
      </c>
      <c r="I4038" s="4">
        <v>785.92</v>
      </c>
      <c r="J4038">
        <v>3.4</v>
      </c>
      <c r="K4038" t="s">
        <v>33</v>
      </c>
      <c r="L4038" t="s">
        <v>26</v>
      </c>
      <c r="O4038"/>
    </row>
    <row r="4039" spans="1:15" x14ac:dyDescent="0.3">
      <c r="A4039" t="s">
        <v>4063</v>
      </c>
      <c r="B4039" s="1">
        <v>45842</v>
      </c>
      <c r="C4039" t="s">
        <v>22</v>
      </c>
      <c r="D4039" t="s">
        <v>25</v>
      </c>
      <c r="E4039" s="2">
        <v>6.91</v>
      </c>
      <c r="F4039" s="3">
        <v>24.37</v>
      </c>
      <c r="G4039" s="4">
        <v>85.78</v>
      </c>
      <c r="H4039">
        <v>2</v>
      </c>
      <c r="I4039" s="4">
        <v>171.56</v>
      </c>
      <c r="J4039">
        <v>4.8</v>
      </c>
      <c r="K4039" t="s">
        <v>30</v>
      </c>
      <c r="L4039" t="s">
        <v>16</v>
      </c>
      <c r="O4039"/>
    </row>
    <row r="4040" spans="1:15" x14ac:dyDescent="0.3">
      <c r="A4040" t="s">
        <v>4064</v>
      </c>
      <c r="B4040" s="1">
        <v>45988</v>
      </c>
      <c r="C4040" t="s">
        <v>25</v>
      </c>
      <c r="D4040" t="s">
        <v>21</v>
      </c>
      <c r="E4040" s="2">
        <v>29.6</v>
      </c>
      <c r="F4040" s="3">
        <v>118.39</v>
      </c>
      <c r="G4040" s="4">
        <v>553.38</v>
      </c>
      <c r="H4040">
        <v>1.2</v>
      </c>
      <c r="I4040" s="4">
        <v>664.06</v>
      </c>
      <c r="J4040">
        <v>3.3</v>
      </c>
      <c r="K4040" t="s">
        <v>30</v>
      </c>
      <c r="L4040" t="s">
        <v>19</v>
      </c>
      <c r="O4040"/>
    </row>
    <row r="4041" spans="1:15" x14ac:dyDescent="0.3">
      <c r="A4041" t="s">
        <v>4065</v>
      </c>
      <c r="B4041" s="1">
        <v>45969</v>
      </c>
      <c r="C4041" t="s">
        <v>13</v>
      </c>
      <c r="D4041" t="s">
        <v>22</v>
      </c>
      <c r="E4041" s="2">
        <v>22.85</v>
      </c>
      <c r="F4041" s="3">
        <v>89.42</v>
      </c>
      <c r="G4041" s="4">
        <v>233.84</v>
      </c>
      <c r="H4041">
        <v>1.5</v>
      </c>
      <c r="I4041" s="4">
        <v>350.76</v>
      </c>
      <c r="J4041">
        <v>4.8</v>
      </c>
      <c r="K4041" t="s">
        <v>36</v>
      </c>
      <c r="L4041" t="s">
        <v>19</v>
      </c>
      <c r="O4041"/>
    </row>
    <row r="4042" spans="1:15" x14ac:dyDescent="0.3">
      <c r="A4042" t="s">
        <v>4066</v>
      </c>
      <c r="B4042" s="1">
        <v>45951</v>
      </c>
      <c r="C4042" t="s">
        <v>21</v>
      </c>
      <c r="D4042" t="s">
        <v>25</v>
      </c>
      <c r="E4042" s="2">
        <v>17.18</v>
      </c>
      <c r="F4042" s="3">
        <v>50.39</v>
      </c>
      <c r="G4042" s="4">
        <v>270.72000000000003</v>
      </c>
      <c r="H4042">
        <v>2</v>
      </c>
      <c r="I4042" s="4">
        <v>541.44000000000005</v>
      </c>
      <c r="J4042">
        <v>4.0999999999999996</v>
      </c>
      <c r="K4042" t="s">
        <v>15</v>
      </c>
      <c r="L4042" t="s">
        <v>19</v>
      </c>
      <c r="O4042"/>
    </row>
    <row r="4043" spans="1:15" x14ac:dyDescent="0.3">
      <c r="A4043" t="s">
        <v>4067</v>
      </c>
      <c r="B4043" s="1">
        <v>45956</v>
      </c>
      <c r="C4043" t="s">
        <v>21</v>
      </c>
      <c r="D4043" t="s">
        <v>25</v>
      </c>
      <c r="E4043" s="2">
        <v>17.010000000000002</v>
      </c>
      <c r="F4043" s="3">
        <v>62.81</v>
      </c>
      <c r="G4043" s="4">
        <v>224.5</v>
      </c>
      <c r="H4043">
        <v>2</v>
      </c>
      <c r="I4043" s="4">
        <v>449</v>
      </c>
      <c r="J4043">
        <v>3.2</v>
      </c>
      <c r="K4043" t="s">
        <v>15</v>
      </c>
      <c r="L4043" t="s">
        <v>28</v>
      </c>
      <c r="O4043"/>
    </row>
    <row r="4044" spans="1:15" x14ac:dyDescent="0.3">
      <c r="A4044" t="s">
        <v>4068</v>
      </c>
      <c r="B4044" s="1">
        <v>45910</v>
      </c>
      <c r="C4044" t="s">
        <v>21</v>
      </c>
      <c r="D4044" t="s">
        <v>14</v>
      </c>
      <c r="E4044" s="2">
        <v>9.08</v>
      </c>
      <c r="F4044" s="3">
        <v>25.06</v>
      </c>
      <c r="G4044" s="4">
        <v>145.13999999999999</v>
      </c>
      <c r="H4044">
        <v>1</v>
      </c>
      <c r="I4044" s="4">
        <v>145.13999999999999</v>
      </c>
      <c r="J4044">
        <v>3.8</v>
      </c>
      <c r="K4044" t="s">
        <v>15</v>
      </c>
      <c r="L4044" t="s">
        <v>16</v>
      </c>
      <c r="O4044"/>
    </row>
    <row r="4045" spans="1:15" x14ac:dyDescent="0.3">
      <c r="A4045" t="s">
        <v>4069</v>
      </c>
      <c r="B4045" s="1">
        <v>45705</v>
      </c>
      <c r="C4045" t="s">
        <v>25</v>
      </c>
      <c r="D4045" t="s">
        <v>22</v>
      </c>
      <c r="E4045" s="2">
        <v>11.2</v>
      </c>
      <c r="F4045" s="3">
        <v>29.47</v>
      </c>
      <c r="G4045" s="4">
        <v>180.5</v>
      </c>
      <c r="H4045">
        <v>1</v>
      </c>
      <c r="I4045" s="4">
        <v>180.5</v>
      </c>
      <c r="J4045">
        <v>3</v>
      </c>
      <c r="K4045" t="s">
        <v>30</v>
      </c>
      <c r="L4045" t="s">
        <v>28</v>
      </c>
      <c r="O4045"/>
    </row>
    <row r="4046" spans="1:15" x14ac:dyDescent="0.3">
      <c r="A4046" t="s">
        <v>4070</v>
      </c>
      <c r="B4046" s="1">
        <v>45697</v>
      </c>
      <c r="C4046" t="s">
        <v>14</v>
      </c>
      <c r="D4046" t="s">
        <v>21</v>
      </c>
      <c r="E4046" s="2">
        <v>5.05</v>
      </c>
      <c r="F4046" s="3">
        <v>16.8</v>
      </c>
      <c r="G4046" s="4">
        <v>89.67</v>
      </c>
      <c r="H4046">
        <v>1</v>
      </c>
      <c r="I4046" s="4">
        <v>89.67</v>
      </c>
      <c r="J4046">
        <v>3.5</v>
      </c>
      <c r="K4046" t="s">
        <v>30</v>
      </c>
      <c r="L4046" t="s">
        <v>19</v>
      </c>
      <c r="O4046"/>
    </row>
    <row r="4047" spans="1:15" x14ac:dyDescent="0.3">
      <c r="A4047" t="s">
        <v>4071</v>
      </c>
      <c r="B4047" s="1">
        <v>45958</v>
      </c>
      <c r="C4047" t="s">
        <v>14</v>
      </c>
      <c r="D4047" t="s">
        <v>13</v>
      </c>
      <c r="E4047" s="2">
        <v>29.28</v>
      </c>
      <c r="F4047" s="3">
        <v>72.430000000000007</v>
      </c>
      <c r="G4047" s="4">
        <v>476.64</v>
      </c>
      <c r="H4047">
        <v>1.2</v>
      </c>
      <c r="I4047" s="4">
        <v>571.97</v>
      </c>
      <c r="J4047">
        <v>4.5999999999999996</v>
      </c>
      <c r="K4047" t="s">
        <v>30</v>
      </c>
      <c r="L4047" t="s">
        <v>26</v>
      </c>
      <c r="O4047"/>
    </row>
    <row r="4048" spans="1:15" x14ac:dyDescent="0.3">
      <c r="A4048" t="s">
        <v>4072</v>
      </c>
      <c r="B4048" s="1">
        <v>45892</v>
      </c>
      <c r="C4048" t="s">
        <v>13</v>
      </c>
      <c r="D4048" t="s">
        <v>14</v>
      </c>
      <c r="E4048" s="2">
        <v>18.52</v>
      </c>
      <c r="F4048" s="3">
        <v>46.64</v>
      </c>
      <c r="G4048" s="4">
        <v>340.15</v>
      </c>
      <c r="H4048">
        <v>1</v>
      </c>
      <c r="I4048" s="4">
        <v>340.15</v>
      </c>
      <c r="J4048">
        <v>5</v>
      </c>
      <c r="K4048" t="s">
        <v>30</v>
      </c>
      <c r="L4048" t="s">
        <v>26</v>
      </c>
      <c r="O4048"/>
    </row>
    <row r="4049" spans="1:15" x14ac:dyDescent="0.3">
      <c r="A4049" t="s">
        <v>4073</v>
      </c>
      <c r="B4049" s="1">
        <v>45897</v>
      </c>
      <c r="C4049" t="s">
        <v>14</v>
      </c>
      <c r="D4049" t="s">
        <v>21</v>
      </c>
      <c r="E4049" s="2">
        <v>17.690000000000001</v>
      </c>
      <c r="F4049" s="3">
        <v>37.840000000000003</v>
      </c>
      <c r="G4049" s="4">
        <v>279.45</v>
      </c>
      <c r="H4049">
        <v>2</v>
      </c>
      <c r="I4049" s="4">
        <v>558.9</v>
      </c>
      <c r="J4049">
        <v>3.4</v>
      </c>
      <c r="K4049" t="s">
        <v>33</v>
      </c>
      <c r="L4049" t="s">
        <v>28</v>
      </c>
      <c r="O4049"/>
    </row>
    <row r="4050" spans="1:15" x14ac:dyDescent="0.3">
      <c r="A4050" t="s">
        <v>4074</v>
      </c>
      <c r="B4050" s="1">
        <v>45909</v>
      </c>
      <c r="C4050" t="s">
        <v>13</v>
      </c>
      <c r="D4050" t="s">
        <v>25</v>
      </c>
      <c r="E4050" s="2">
        <v>4.38</v>
      </c>
      <c r="F4050" s="3">
        <v>15.55</v>
      </c>
      <c r="G4050" s="4">
        <v>76.900000000000006</v>
      </c>
      <c r="H4050">
        <v>2</v>
      </c>
      <c r="I4050" s="4">
        <v>153.80000000000001</v>
      </c>
      <c r="J4050">
        <v>3.1</v>
      </c>
      <c r="K4050" t="s">
        <v>18</v>
      </c>
      <c r="L4050" t="s">
        <v>16</v>
      </c>
      <c r="O4050"/>
    </row>
    <row r="4051" spans="1:15" x14ac:dyDescent="0.3">
      <c r="A4051" t="s">
        <v>4075</v>
      </c>
      <c r="B4051" s="1">
        <v>45659</v>
      </c>
      <c r="C4051" t="s">
        <v>21</v>
      </c>
      <c r="D4051" t="s">
        <v>25</v>
      </c>
      <c r="E4051" s="2">
        <v>19.5</v>
      </c>
      <c r="F4051" s="3">
        <v>65.78</v>
      </c>
      <c r="G4051" s="4">
        <v>206.4</v>
      </c>
      <c r="H4051">
        <v>2</v>
      </c>
      <c r="I4051" s="4">
        <v>412.8</v>
      </c>
      <c r="J4051">
        <v>3.9</v>
      </c>
      <c r="K4051" t="s">
        <v>18</v>
      </c>
      <c r="L4051" t="s">
        <v>26</v>
      </c>
      <c r="O4051"/>
    </row>
    <row r="4052" spans="1:15" x14ac:dyDescent="0.3">
      <c r="A4052" t="s">
        <v>4076</v>
      </c>
      <c r="B4052" s="1">
        <v>45740</v>
      </c>
      <c r="C4052" t="s">
        <v>14</v>
      </c>
      <c r="D4052" t="s">
        <v>25</v>
      </c>
      <c r="E4052" s="2">
        <v>2.92</v>
      </c>
      <c r="F4052" s="3">
        <v>6.63</v>
      </c>
      <c r="G4052" s="4">
        <v>48.58</v>
      </c>
      <c r="H4052">
        <v>2</v>
      </c>
      <c r="I4052" s="4">
        <v>97.16</v>
      </c>
      <c r="J4052">
        <v>4.2</v>
      </c>
      <c r="K4052" t="s">
        <v>33</v>
      </c>
      <c r="L4052" t="s">
        <v>16</v>
      </c>
      <c r="O4052"/>
    </row>
    <row r="4053" spans="1:15" x14ac:dyDescent="0.3">
      <c r="A4053" t="s">
        <v>4077</v>
      </c>
      <c r="B4053" s="1">
        <v>45790</v>
      </c>
      <c r="C4053" t="s">
        <v>13</v>
      </c>
      <c r="D4053" t="s">
        <v>13</v>
      </c>
      <c r="E4053" s="2">
        <v>27.47</v>
      </c>
      <c r="F4053" s="3">
        <v>55.8</v>
      </c>
      <c r="G4053" s="4">
        <v>451.23</v>
      </c>
      <c r="H4053">
        <v>1</v>
      </c>
      <c r="I4053" s="4">
        <v>451.23</v>
      </c>
      <c r="J4053">
        <v>5</v>
      </c>
      <c r="K4053" t="s">
        <v>18</v>
      </c>
      <c r="L4053" t="s">
        <v>28</v>
      </c>
      <c r="O4053"/>
    </row>
    <row r="4054" spans="1:15" x14ac:dyDescent="0.3">
      <c r="A4054" t="s">
        <v>4078</v>
      </c>
      <c r="B4054" s="1">
        <v>45917</v>
      </c>
      <c r="C4054" t="s">
        <v>21</v>
      </c>
      <c r="D4054" t="s">
        <v>25</v>
      </c>
      <c r="E4054" s="2">
        <v>5.37</v>
      </c>
      <c r="F4054" s="3">
        <v>15.28</v>
      </c>
      <c r="G4054" s="4">
        <v>96.79</v>
      </c>
      <c r="H4054">
        <v>2</v>
      </c>
      <c r="I4054" s="4">
        <v>193.58</v>
      </c>
      <c r="J4054">
        <v>3.3</v>
      </c>
      <c r="K4054" t="s">
        <v>36</v>
      </c>
      <c r="L4054" t="s">
        <v>28</v>
      </c>
      <c r="O4054"/>
    </row>
    <row r="4055" spans="1:15" x14ac:dyDescent="0.3">
      <c r="A4055" t="s">
        <v>4079</v>
      </c>
      <c r="B4055" s="1">
        <v>45984</v>
      </c>
      <c r="C4055" t="s">
        <v>14</v>
      </c>
      <c r="D4055" t="s">
        <v>25</v>
      </c>
      <c r="E4055" s="2">
        <v>12.92</v>
      </c>
      <c r="F4055" s="3">
        <v>31.9</v>
      </c>
      <c r="G4055" s="4">
        <v>195.64</v>
      </c>
      <c r="H4055">
        <v>1.5</v>
      </c>
      <c r="I4055" s="4">
        <v>293.45999999999998</v>
      </c>
      <c r="J4055">
        <v>3.1</v>
      </c>
      <c r="K4055" t="s">
        <v>15</v>
      </c>
      <c r="L4055" t="s">
        <v>28</v>
      </c>
      <c r="O4055"/>
    </row>
    <row r="4056" spans="1:15" x14ac:dyDescent="0.3">
      <c r="A4056" t="s">
        <v>4080</v>
      </c>
      <c r="B4056" s="1">
        <v>45685</v>
      </c>
      <c r="C4056" t="s">
        <v>21</v>
      </c>
      <c r="D4056" t="s">
        <v>14</v>
      </c>
      <c r="E4056" s="2">
        <v>25.55</v>
      </c>
      <c r="F4056" s="3">
        <v>68.400000000000006</v>
      </c>
      <c r="G4056" s="4">
        <v>458.23</v>
      </c>
      <c r="H4056">
        <v>2</v>
      </c>
      <c r="I4056" s="4">
        <v>916.46</v>
      </c>
      <c r="J4056">
        <v>3.4</v>
      </c>
      <c r="K4056" t="s">
        <v>30</v>
      </c>
      <c r="L4056" t="s">
        <v>26</v>
      </c>
      <c r="O4056"/>
    </row>
    <row r="4057" spans="1:15" x14ac:dyDescent="0.3">
      <c r="A4057" t="s">
        <v>4081</v>
      </c>
      <c r="B4057" s="1">
        <v>45956</v>
      </c>
      <c r="C4057" t="s">
        <v>14</v>
      </c>
      <c r="D4057" t="s">
        <v>25</v>
      </c>
      <c r="E4057" s="2">
        <v>28.5</v>
      </c>
      <c r="F4057" s="3">
        <v>57.78</v>
      </c>
      <c r="G4057" s="4">
        <v>410.5</v>
      </c>
      <c r="H4057">
        <v>1.5</v>
      </c>
      <c r="I4057" s="4">
        <v>615.75</v>
      </c>
      <c r="J4057">
        <v>3.7</v>
      </c>
      <c r="K4057" t="s">
        <v>18</v>
      </c>
      <c r="L4057" t="s">
        <v>28</v>
      </c>
      <c r="O4057"/>
    </row>
    <row r="4058" spans="1:15" x14ac:dyDescent="0.3">
      <c r="A4058" t="s">
        <v>4082</v>
      </c>
      <c r="B4058" s="1">
        <v>45984</v>
      </c>
      <c r="C4058" t="s">
        <v>14</v>
      </c>
      <c r="D4058" t="s">
        <v>21</v>
      </c>
      <c r="E4058" s="2">
        <v>6.11</v>
      </c>
      <c r="F4058" s="3">
        <v>24.1</v>
      </c>
      <c r="G4058" s="4">
        <v>98.69</v>
      </c>
      <c r="H4058">
        <v>2</v>
      </c>
      <c r="I4058" s="4">
        <v>197.38</v>
      </c>
      <c r="J4058">
        <v>3.2</v>
      </c>
      <c r="K4058" t="s">
        <v>33</v>
      </c>
      <c r="L4058" t="s">
        <v>19</v>
      </c>
      <c r="O4058"/>
    </row>
    <row r="4059" spans="1:15" x14ac:dyDescent="0.3">
      <c r="A4059" t="s">
        <v>4083</v>
      </c>
      <c r="B4059" s="1">
        <v>45836</v>
      </c>
      <c r="C4059" t="s">
        <v>13</v>
      </c>
      <c r="D4059" t="s">
        <v>14</v>
      </c>
      <c r="E4059" s="2">
        <v>6.37</v>
      </c>
      <c r="F4059" s="3">
        <v>13.24</v>
      </c>
      <c r="G4059" s="4">
        <v>73.790000000000006</v>
      </c>
      <c r="H4059">
        <v>1</v>
      </c>
      <c r="I4059" s="4">
        <v>73.790000000000006</v>
      </c>
      <c r="J4059">
        <v>4.2</v>
      </c>
      <c r="K4059" t="s">
        <v>36</v>
      </c>
      <c r="L4059" t="s">
        <v>28</v>
      </c>
      <c r="O4059"/>
    </row>
    <row r="4060" spans="1:15" x14ac:dyDescent="0.3">
      <c r="A4060" t="s">
        <v>4084</v>
      </c>
      <c r="B4060" s="1">
        <v>45957</v>
      </c>
      <c r="C4060" t="s">
        <v>22</v>
      </c>
      <c r="D4060" t="s">
        <v>25</v>
      </c>
      <c r="E4060" s="2">
        <v>2.48</v>
      </c>
      <c r="F4060" s="3">
        <v>7.43</v>
      </c>
      <c r="G4060" s="4">
        <v>33.049999999999997</v>
      </c>
      <c r="H4060">
        <v>1.5</v>
      </c>
      <c r="I4060" s="4">
        <v>49.58</v>
      </c>
      <c r="J4060">
        <v>4.9000000000000004</v>
      </c>
      <c r="K4060" t="s">
        <v>18</v>
      </c>
      <c r="L4060" t="s">
        <v>19</v>
      </c>
      <c r="O4060"/>
    </row>
    <row r="4061" spans="1:15" x14ac:dyDescent="0.3">
      <c r="A4061" t="s">
        <v>4085</v>
      </c>
      <c r="B4061" s="1">
        <v>45984</v>
      </c>
      <c r="C4061" t="s">
        <v>13</v>
      </c>
      <c r="D4061" t="s">
        <v>14</v>
      </c>
      <c r="E4061" s="2">
        <v>2.0099999999999998</v>
      </c>
      <c r="F4061" s="3">
        <v>5.74</v>
      </c>
      <c r="G4061" s="4">
        <v>36.409999999999997</v>
      </c>
      <c r="H4061">
        <v>1.5</v>
      </c>
      <c r="I4061" s="4">
        <v>54.61</v>
      </c>
      <c r="J4061">
        <v>4.0999999999999996</v>
      </c>
      <c r="K4061" t="s">
        <v>33</v>
      </c>
      <c r="L4061" t="s">
        <v>16</v>
      </c>
      <c r="O4061"/>
    </row>
    <row r="4062" spans="1:15" x14ac:dyDescent="0.3">
      <c r="A4062" t="s">
        <v>4086</v>
      </c>
      <c r="B4062" s="1">
        <v>45905</v>
      </c>
      <c r="C4062" t="s">
        <v>13</v>
      </c>
      <c r="D4062" t="s">
        <v>22</v>
      </c>
      <c r="E4062" s="2">
        <v>6.18</v>
      </c>
      <c r="F4062" s="3">
        <v>15.16</v>
      </c>
      <c r="G4062" s="4">
        <v>87.95</v>
      </c>
      <c r="H4062">
        <v>2</v>
      </c>
      <c r="I4062" s="4">
        <v>175.9</v>
      </c>
      <c r="J4062">
        <v>3.2</v>
      </c>
      <c r="K4062" t="s">
        <v>18</v>
      </c>
      <c r="L4062" t="s">
        <v>19</v>
      </c>
      <c r="O4062"/>
    </row>
    <row r="4063" spans="1:15" x14ac:dyDescent="0.3">
      <c r="A4063" t="s">
        <v>4087</v>
      </c>
      <c r="B4063" s="1">
        <v>45928</v>
      </c>
      <c r="C4063" t="s">
        <v>13</v>
      </c>
      <c r="D4063" t="s">
        <v>13</v>
      </c>
      <c r="E4063" s="2">
        <v>17.93</v>
      </c>
      <c r="F4063" s="3">
        <v>49.61</v>
      </c>
      <c r="G4063" s="4">
        <v>204.97</v>
      </c>
      <c r="H4063">
        <v>2</v>
      </c>
      <c r="I4063" s="4">
        <v>409.94</v>
      </c>
      <c r="J4063">
        <v>3.4</v>
      </c>
      <c r="K4063" t="s">
        <v>15</v>
      </c>
      <c r="L4063" t="s">
        <v>26</v>
      </c>
      <c r="O4063"/>
    </row>
    <row r="4064" spans="1:15" x14ac:dyDescent="0.3">
      <c r="A4064" t="s">
        <v>4088</v>
      </c>
      <c r="B4064" s="1">
        <v>45851</v>
      </c>
      <c r="C4064" t="s">
        <v>25</v>
      </c>
      <c r="D4064" t="s">
        <v>13</v>
      </c>
      <c r="E4064" s="2">
        <v>26.06</v>
      </c>
      <c r="F4064" s="3">
        <v>92.55</v>
      </c>
      <c r="G4064" s="4">
        <v>310.19</v>
      </c>
      <c r="H4064">
        <v>1.2</v>
      </c>
      <c r="I4064" s="4">
        <v>372.23</v>
      </c>
      <c r="J4064">
        <v>3.2</v>
      </c>
      <c r="K4064" t="s">
        <v>15</v>
      </c>
      <c r="L4064" t="s">
        <v>26</v>
      </c>
      <c r="O4064"/>
    </row>
    <row r="4065" spans="1:15" x14ac:dyDescent="0.3">
      <c r="A4065" t="s">
        <v>4089</v>
      </c>
      <c r="B4065" s="1">
        <v>45701</v>
      </c>
      <c r="C4065" t="s">
        <v>13</v>
      </c>
      <c r="D4065" t="s">
        <v>22</v>
      </c>
      <c r="E4065" s="2">
        <v>12.95</v>
      </c>
      <c r="F4065" s="3">
        <v>50.04</v>
      </c>
      <c r="G4065" s="4">
        <v>168.56</v>
      </c>
      <c r="H4065">
        <v>1.2</v>
      </c>
      <c r="I4065" s="4">
        <v>202.27</v>
      </c>
      <c r="J4065">
        <v>4.4000000000000004</v>
      </c>
      <c r="K4065" t="s">
        <v>33</v>
      </c>
      <c r="L4065" t="s">
        <v>16</v>
      </c>
      <c r="O4065"/>
    </row>
    <row r="4066" spans="1:15" x14ac:dyDescent="0.3">
      <c r="A4066" t="s">
        <v>4090</v>
      </c>
      <c r="B4066" s="1">
        <v>45718</v>
      </c>
      <c r="C4066" t="s">
        <v>25</v>
      </c>
      <c r="D4066" t="s">
        <v>13</v>
      </c>
      <c r="E4066" s="2">
        <v>26.68</v>
      </c>
      <c r="F4066" s="3">
        <v>90.82</v>
      </c>
      <c r="G4066" s="4">
        <v>455.8</v>
      </c>
      <c r="H4066">
        <v>1.2</v>
      </c>
      <c r="I4066" s="4">
        <v>546.96</v>
      </c>
      <c r="J4066">
        <v>3.1</v>
      </c>
      <c r="K4066" t="s">
        <v>30</v>
      </c>
      <c r="L4066" t="s">
        <v>16</v>
      </c>
      <c r="O4066"/>
    </row>
    <row r="4067" spans="1:15" x14ac:dyDescent="0.3">
      <c r="A4067" t="s">
        <v>4091</v>
      </c>
      <c r="B4067" s="1">
        <v>45708</v>
      </c>
      <c r="C4067" t="s">
        <v>21</v>
      </c>
      <c r="D4067" t="s">
        <v>25</v>
      </c>
      <c r="E4067" s="2">
        <v>8.3800000000000008</v>
      </c>
      <c r="F4067" s="3">
        <v>31.97</v>
      </c>
      <c r="G4067" s="4">
        <v>137.16</v>
      </c>
      <c r="H4067">
        <v>2</v>
      </c>
      <c r="I4067" s="4">
        <v>274.32</v>
      </c>
      <c r="J4067">
        <v>3</v>
      </c>
      <c r="K4067" t="s">
        <v>15</v>
      </c>
      <c r="L4067" t="s">
        <v>26</v>
      </c>
      <c r="O4067"/>
    </row>
    <row r="4068" spans="1:15" x14ac:dyDescent="0.3">
      <c r="A4068" t="s">
        <v>4092</v>
      </c>
      <c r="B4068" s="1">
        <v>45947</v>
      </c>
      <c r="C4068" t="s">
        <v>22</v>
      </c>
      <c r="D4068" t="s">
        <v>14</v>
      </c>
      <c r="E4068" s="2">
        <v>26</v>
      </c>
      <c r="F4068" s="3">
        <v>92.15</v>
      </c>
      <c r="G4068" s="4">
        <v>331.21</v>
      </c>
      <c r="H4068">
        <v>1</v>
      </c>
      <c r="I4068" s="4">
        <v>331.21</v>
      </c>
      <c r="J4068">
        <v>3.9</v>
      </c>
      <c r="K4068" t="s">
        <v>30</v>
      </c>
      <c r="L4068" t="s">
        <v>26</v>
      </c>
      <c r="O4068"/>
    </row>
    <row r="4069" spans="1:15" x14ac:dyDescent="0.3">
      <c r="A4069" t="s">
        <v>4093</v>
      </c>
      <c r="B4069" s="1">
        <v>45935</v>
      </c>
      <c r="C4069" t="s">
        <v>14</v>
      </c>
      <c r="D4069" t="s">
        <v>25</v>
      </c>
      <c r="E4069" s="2">
        <v>18.55</v>
      </c>
      <c r="F4069" s="3">
        <v>71.3</v>
      </c>
      <c r="G4069" s="4">
        <v>215.58</v>
      </c>
      <c r="H4069">
        <v>1</v>
      </c>
      <c r="I4069" s="4">
        <v>215.58</v>
      </c>
      <c r="J4069">
        <v>4.5</v>
      </c>
      <c r="K4069" t="s">
        <v>15</v>
      </c>
      <c r="L4069" t="s">
        <v>28</v>
      </c>
      <c r="O4069"/>
    </row>
    <row r="4070" spans="1:15" x14ac:dyDescent="0.3">
      <c r="A4070" t="s">
        <v>4094</v>
      </c>
      <c r="B4070" s="1">
        <v>45856</v>
      </c>
      <c r="C4070" t="s">
        <v>13</v>
      </c>
      <c r="D4070" t="s">
        <v>22</v>
      </c>
      <c r="E4070" s="2">
        <v>2.64</v>
      </c>
      <c r="F4070" s="3">
        <v>8.7899999999999991</v>
      </c>
      <c r="G4070" s="4">
        <v>32.76</v>
      </c>
      <c r="H4070">
        <v>1</v>
      </c>
      <c r="I4070" s="4">
        <v>32.76</v>
      </c>
      <c r="J4070">
        <v>4.7</v>
      </c>
      <c r="K4070" t="s">
        <v>18</v>
      </c>
      <c r="L4070" t="s">
        <v>28</v>
      </c>
      <c r="O4070"/>
    </row>
    <row r="4071" spans="1:15" x14ac:dyDescent="0.3">
      <c r="A4071" t="s">
        <v>4095</v>
      </c>
      <c r="B4071" s="1">
        <v>45819</v>
      </c>
      <c r="C4071" t="s">
        <v>22</v>
      </c>
      <c r="D4071" t="s">
        <v>22</v>
      </c>
      <c r="E4071" s="2">
        <v>14.51</v>
      </c>
      <c r="F4071" s="3">
        <v>33.97</v>
      </c>
      <c r="G4071" s="4">
        <v>151.13</v>
      </c>
      <c r="H4071">
        <v>1</v>
      </c>
      <c r="I4071" s="4">
        <v>151.13</v>
      </c>
      <c r="J4071">
        <v>4.4000000000000004</v>
      </c>
      <c r="K4071" t="s">
        <v>18</v>
      </c>
      <c r="L4071" t="s">
        <v>16</v>
      </c>
      <c r="O4071"/>
    </row>
    <row r="4072" spans="1:15" x14ac:dyDescent="0.3">
      <c r="A4072" t="s">
        <v>4096</v>
      </c>
      <c r="B4072" s="1">
        <v>45780</v>
      </c>
      <c r="C4072" t="s">
        <v>14</v>
      </c>
      <c r="D4072" t="s">
        <v>21</v>
      </c>
      <c r="E4072" s="2">
        <v>1.82</v>
      </c>
      <c r="F4072" s="3">
        <v>5.13</v>
      </c>
      <c r="G4072" s="4">
        <v>28.81</v>
      </c>
      <c r="H4072">
        <v>2</v>
      </c>
      <c r="I4072" s="4">
        <v>57.62</v>
      </c>
      <c r="J4072">
        <v>3.7</v>
      </c>
      <c r="K4072" t="s">
        <v>18</v>
      </c>
      <c r="L4072" t="s">
        <v>28</v>
      </c>
      <c r="O4072"/>
    </row>
    <row r="4073" spans="1:15" x14ac:dyDescent="0.3">
      <c r="A4073" t="s">
        <v>4097</v>
      </c>
      <c r="B4073" s="1">
        <v>45976</v>
      </c>
      <c r="C4073" t="s">
        <v>21</v>
      </c>
      <c r="D4073" t="s">
        <v>13</v>
      </c>
      <c r="E4073" s="2">
        <v>18.71</v>
      </c>
      <c r="F4073" s="3">
        <v>41.57</v>
      </c>
      <c r="G4073" s="4">
        <v>314.81</v>
      </c>
      <c r="H4073">
        <v>1.5</v>
      </c>
      <c r="I4073" s="4">
        <v>472.22</v>
      </c>
      <c r="J4073">
        <v>4.9000000000000004</v>
      </c>
      <c r="K4073" t="s">
        <v>15</v>
      </c>
      <c r="L4073" t="s">
        <v>26</v>
      </c>
      <c r="O4073"/>
    </row>
    <row r="4074" spans="1:15" x14ac:dyDescent="0.3">
      <c r="A4074" t="s">
        <v>4098</v>
      </c>
      <c r="B4074" s="1">
        <v>45885</v>
      </c>
      <c r="C4074" t="s">
        <v>22</v>
      </c>
      <c r="D4074" t="s">
        <v>22</v>
      </c>
      <c r="E4074" s="2">
        <v>26.28</v>
      </c>
      <c r="F4074" s="3">
        <v>68.44</v>
      </c>
      <c r="G4074" s="4">
        <v>460.11</v>
      </c>
      <c r="H4074">
        <v>1.2</v>
      </c>
      <c r="I4074" s="4">
        <v>552.13</v>
      </c>
      <c r="J4074">
        <v>4.5999999999999996</v>
      </c>
      <c r="K4074" t="s">
        <v>33</v>
      </c>
      <c r="L4074" t="s">
        <v>16</v>
      </c>
      <c r="O4074"/>
    </row>
    <row r="4075" spans="1:15" x14ac:dyDescent="0.3">
      <c r="A4075" t="s">
        <v>4099</v>
      </c>
      <c r="B4075" s="1">
        <v>45826</v>
      </c>
      <c r="C4075" t="s">
        <v>13</v>
      </c>
      <c r="D4075" t="s">
        <v>13</v>
      </c>
      <c r="E4075" s="2">
        <v>21.02</v>
      </c>
      <c r="F4075" s="3">
        <v>67.02</v>
      </c>
      <c r="G4075" s="4">
        <v>240.53</v>
      </c>
      <c r="H4075">
        <v>1.2</v>
      </c>
      <c r="I4075" s="4">
        <v>288.64</v>
      </c>
      <c r="J4075">
        <v>3.2</v>
      </c>
      <c r="K4075" t="s">
        <v>15</v>
      </c>
      <c r="L4075" t="s">
        <v>28</v>
      </c>
      <c r="O4075"/>
    </row>
    <row r="4076" spans="1:15" x14ac:dyDescent="0.3">
      <c r="A4076" t="s">
        <v>4100</v>
      </c>
      <c r="B4076" s="1">
        <v>46003</v>
      </c>
      <c r="C4076" t="s">
        <v>25</v>
      </c>
      <c r="D4076" t="s">
        <v>25</v>
      </c>
      <c r="E4076" s="2">
        <v>8.7100000000000009</v>
      </c>
      <c r="F4076" s="3">
        <v>18.45</v>
      </c>
      <c r="G4076" s="4">
        <v>153.86000000000001</v>
      </c>
      <c r="H4076">
        <v>2</v>
      </c>
      <c r="I4076" s="4">
        <v>307.72000000000003</v>
      </c>
      <c r="J4076">
        <v>4.5</v>
      </c>
      <c r="K4076" t="s">
        <v>33</v>
      </c>
      <c r="L4076" t="s">
        <v>19</v>
      </c>
      <c r="O4076"/>
    </row>
    <row r="4077" spans="1:15" x14ac:dyDescent="0.3">
      <c r="A4077" t="s">
        <v>4101</v>
      </c>
      <c r="B4077" s="1">
        <v>45771</v>
      </c>
      <c r="C4077" t="s">
        <v>21</v>
      </c>
      <c r="D4077" t="s">
        <v>21</v>
      </c>
      <c r="E4077" s="2">
        <v>14.51</v>
      </c>
      <c r="F4077" s="3">
        <v>44.52</v>
      </c>
      <c r="G4077" s="4">
        <v>180.25</v>
      </c>
      <c r="H4077">
        <v>2</v>
      </c>
      <c r="I4077" s="4">
        <v>360.5</v>
      </c>
      <c r="J4077">
        <v>3.8</v>
      </c>
      <c r="K4077" t="s">
        <v>33</v>
      </c>
      <c r="L4077" t="s">
        <v>26</v>
      </c>
      <c r="O4077"/>
    </row>
    <row r="4078" spans="1:15" x14ac:dyDescent="0.3">
      <c r="A4078" t="s">
        <v>4102</v>
      </c>
      <c r="B4078" s="1">
        <v>45774</v>
      </c>
      <c r="C4078" t="s">
        <v>14</v>
      </c>
      <c r="D4078" t="s">
        <v>14</v>
      </c>
      <c r="E4078" s="2">
        <v>24.15</v>
      </c>
      <c r="F4078" s="3">
        <v>85.85</v>
      </c>
      <c r="G4078" s="4">
        <v>353.4</v>
      </c>
      <c r="H4078">
        <v>1.5</v>
      </c>
      <c r="I4078" s="4">
        <v>530.1</v>
      </c>
      <c r="J4078">
        <v>4</v>
      </c>
      <c r="K4078" t="s">
        <v>15</v>
      </c>
      <c r="L4078" t="s">
        <v>19</v>
      </c>
      <c r="O4078"/>
    </row>
    <row r="4079" spans="1:15" x14ac:dyDescent="0.3">
      <c r="A4079" t="s">
        <v>4103</v>
      </c>
      <c r="B4079" s="1">
        <v>45744</v>
      </c>
      <c r="C4079" t="s">
        <v>21</v>
      </c>
      <c r="D4079" t="s">
        <v>14</v>
      </c>
      <c r="E4079" s="2">
        <v>10.52</v>
      </c>
      <c r="F4079" s="3">
        <v>25.77</v>
      </c>
      <c r="G4079" s="4">
        <v>154.04</v>
      </c>
      <c r="H4079">
        <v>2</v>
      </c>
      <c r="I4079" s="4">
        <v>308.08</v>
      </c>
      <c r="J4079">
        <v>3.3</v>
      </c>
      <c r="K4079" t="s">
        <v>36</v>
      </c>
      <c r="L4079" t="s">
        <v>28</v>
      </c>
      <c r="O4079"/>
    </row>
    <row r="4080" spans="1:15" x14ac:dyDescent="0.3">
      <c r="A4080" t="s">
        <v>4104</v>
      </c>
      <c r="B4080" s="1">
        <v>45935</v>
      </c>
      <c r="C4080" t="s">
        <v>22</v>
      </c>
      <c r="D4080" t="s">
        <v>13</v>
      </c>
      <c r="E4080" s="2">
        <v>17.71</v>
      </c>
      <c r="F4080" s="3">
        <v>56.48</v>
      </c>
      <c r="G4080" s="4">
        <v>268.3</v>
      </c>
      <c r="H4080">
        <v>1.2</v>
      </c>
      <c r="I4080" s="4">
        <v>321.95999999999998</v>
      </c>
      <c r="J4080">
        <v>3.2</v>
      </c>
      <c r="K4080" t="s">
        <v>15</v>
      </c>
      <c r="L4080" t="s">
        <v>26</v>
      </c>
      <c r="O4080"/>
    </row>
    <row r="4081" spans="1:15" x14ac:dyDescent="0.3">
      <c r="A4081" t="s">
        <v>4105</v>
      </c>
      <c r="B4081" s="1">
        <v>45948</v>
      </c>
      <c r="C4081" t="s">
        <v>22</v>
      </c>
      <c r="D4081" t="s">
        <v>25</v>
      </c>
      <c r="E4081" s="2">
        <v>6.01</v>
      </c>
      <c r="F4081" s="3">
        <v>21.05</v>
      </c>
      <c r="G4081" s="4">
        <v>107.66</v>
      </c>
      <c r="H4081">
        <v>2</v>
      </c>
      <c r="I4081" s="4">
        <v>215.32</v>
      </c>
      <c r="J4081">
        <v>3.2</v>
      </c>
      <c r="K4081" t="s">
        <v>33</v>
      </c>
      <c r="L4081" t="s">
        <v>28</v>
      </c>
      <c r="O4081"/>
    </row>
    <row r="4082" spans="1:15" x14ac:dyDescent="0.3">
      <c r="A4082" t="s">
        <v>4106</v>
      </c>
      <c r="B4082" s="1">
        <v>45782</v>
      </c>
      <c r="C4082" t="s">
        <v>13</v>
      </c>
      <c r="D4082" t="s">
        <v>22</v>
      </c>
      <c r="E4082" s="2">
        <v>15.15</v>
      </c>
      <c r="F4082" s="3">
        <v>49.36</v>
      </c>
      <c r="G4082" s="4">
        <v>248.79</v>
      </c>
      <c r="H4082">
        <v>1</v>
      </c>
      <c r="I4082" s="4">
        <v>248.79</v>
      </c>
      <c r="J4082">
        <v>4.4000000000000004</v>
      </c>
      <c r="K4082" t="s">
        <v>33</v>
      </c>
      <c r="L4082" t="s">
        <v>26</v>
      </c>
      <c r="O4082"/>
    </row>
    <row r="4083" spans="1:15" x14ac:dyDescent="0.3">
      <c r="A4083" t="s">
        <v>4107</v>
      </c>
      <c r="B4083" s="1">
        <v>45669</v>
      </c>
      <c r="C4083" t="s">
        <v>25</v>
      </c>
      <c r="D4083" t="s">
        <v>25</v>
      </c>
      <c r="E4083" s="2">
        <v>22.8</v>
      </c>
      <c r="F4083" s="3">
        <v>72.13</v>
      </c>
      <c r="G4083" s="4">
        <v>255.06</v>
      </c>
      <c r="H4083">
        <v>2</v>
      </c>
      <c r="I4083" s="4">
        <v>510.12</v>
      </c>
      <c r="J4083">
        <v>4</v>
      </c>
      <c r="K4083" t="s">
        <v>15</v>
      </c>
      <c r="L4083" t="s">
        <v>19</v>
      </c>
      <c r="O4083"/>
    </row>
    <row r="4084" spans="1:15" x14ac:dyDescent="0.3">
      <c r="A4084" t="s">
        <v>4108</v>
      </c>
      <c r="B4084" s="1">
        <v>45911</v>
      </c>
      <c r="C4084" t="s">
        <v>25</v>
      </c>
      <c r="D4084" t="s">
        <v>14</v>
      </c>
      <c r="E4084" s="2">
        <v>16.91</v>
      </c>
      <c r="F4084" s="3">
        <v>36.880000000000003</v>
      </c>
      <c r="G4084" s="4">
        <v>228.73</v>
      </c>
      <c r="H4084">
        <v>2</v>
      </c>
      <c r="I4084" s="4">
        <v>457.46</v>
      </c>
      <c r="J4084">
        <v>3.1</v>
      </c>
      <c r="K4084" t="s">
        <v>36</v>
      </c>
      <c r="L4084" t="s">
        <v>26</v>
      </c>
      <c r="O4084"/>
    </row>
    <row r="4085" spans="1:15" x14ac:dyDescent="0.3">
      <c r="A4085" t="s">
        <v>4109</v>
      </c>
      <c r="B4085" s="1">
        <v>45758</v>
      </c>
      <c r="C4085" t="s">
        <v>22</v>
      </c>
      <c r="D4085" t="s">
        <v>13</v>
      </c>
      <c r="E4085" s="2">
        <v>27.29</v>
      </c>
      <c r="F4085" s="3">
        <v>54.7</v>
      </c>
      <c r="G4085" s="4">
        <v>345.67</v>
      </c>
      <c r="H4085">
        <v>1</v>
      </c>
      <c r="I4085" s="4">
        <v>345.67</v>
      </c>
      <c r="J4085">
        <v>3.6</v>
      </c>
      <c r="K4085" t="s">
        <v>33</v>
      </c>
      <c r="L4085" t="s">
        <v>28</v>
      </c>
      <c r="O4085"/>
    </row>
    <row r="4086" spans="1:15" x14ac:dyDescent="0.3">
      <c r="A4086" t="s">
        <v>4110</v>
      </c>
      <c r="B4086" s="1">
        <v>45897</v>
      </c>
      <c r="C4086" t="s">
        <v>25</v>
      </c>
      <c r="D4086" t="s">
        <v>25</v>
      </c>
      <c r="E4086" s="2">
        <v>1.3</v>
      </c>
      <c r="F4086" s="3">
        <v>4.1900000000000004</v>
      </c>
      <c r="G4086" s="4">
        <v>23.26</v>
      </c>
      <c r="H4086">
        <v>1</v>
      </c>
      <c r="I4086" s="4">
        <v>23.26</v>
      </c>
      <c r="J4086">
        <v>4.8</v>
      </c>
      <c r="K4086" t="s">
        <v>15</v>
      </c>
      <c r="L4086" t="s">
        <v>16</v>
      </c>
      <c r="O4086"/>
    </row>
    <row r="4087" spans="1:15" x14ac:dyDescent="0.3">
      <c r="A4087" t="s">
        <v>4111</v>
      </c>
      <c r="B4087" s="1">
        <v>45890</v>
      </c>
      <c r="C4087" t="s">
        <v>22</v>
      </c>
      <c r="D4087" t="s">
        <v>25</v>
      </c>
      <c r="E4087" s="2">
        <v>11.47</v>
      </c>
      <c r="F4087" s="3">
        <v>43.19</v>
      </c>
      <c r="G4087" s="4">
        <v>116.17</v>
      </c>
      <c r="H4087">
        <v>1.2</v>
      </c>
      <c r="I4087" s="4">
        <v>139.4</v>
      </c>
      <c r="J4087">
        <v>4.9000000000000004</v>
      </c>
      <c r="K4087" t="s">
        <v>33</v>
      </c>
      <c r="L4087" t="s">
        <v>19</v>
      </c>
      <c r="O4087"/>
    </row>
    <row r="4088" spans="1:15" x14ac:dyDescent="0.3">
      <c r="A4088" t="s">
        <v>4112</v>
      </c>
      <c r="B4088" s="1">
        <v>45798</v>
      </c>
      <c r="C4088" t="s">
        <v>13</v>
      </c>
      <c r="D4088" t="s">
        <v>21</v>
      </c>
      <c r="E4088" s="2">
        <v>10.57</v>
      </c>
      <c r="F4088" s="3">
        <v>25.15</v>
      </c>
      <c r="G4088" s="4">
        <v>190.98</v>
      </c>
      <c r="H4088">
        <v>1.2</v>
      </c>
      <c r="I4088" s="4">
        <v>229.18</v>
      </c>
      <c r="J4088">
        <v>3.6</v>
      </c>
      <c r="K4088" t="s">
        <v>30</v>
      </c>
      <c r="L4088" t="s">
        <v>16</v>
      </c>
      <c r="O4088"/>
    </row>
    <row r="4089" spans="1:15" x14ac:dyDescent="0.3">
      <c r="A4089" t="s">
        <v>4113</v>
      </c>
      <c r="B4089" s="1">
        <v>45945</v>
      </c>
      <c r="C4089" t="s">
        <v>21</v>
      </c>
      <c r="D4089" t="s">
        <v>13</v>
      </c>
      <c r="E4089" s="2">
        <v>9.14</v>
      </c>
      <c r="F4089" s="3">
        <v>24.19</v>
      </c>
      <c r="G4089" s="4">
        <v>117.68</v>
      </c>
      <c r="H4089">
        <v>2</v>
      </c>
      <c r="I4089" s="4">
        <v>235.36</v>
      </c>
      <c r="J4089">
        <v>4.5999999999999996</v>
      </c>
      <c r="K4089" t="s">
        <v>15</v>
      </c>
      <c r="L4089" t="s">
        <v>26</v>
      </c>
      <c r="O4089"/>
    </row>
    <row r="4090" spans="1:15" x14ac:dyDescent="0.3">
      <c r="A4090" t="s">
        <v>4114</v>
      </c>
      <c r="B4090" s="1">
        <v>45945</v>
      </c>
      <c r="C4090" t="s">
        <v>14</v>
      </c>
      <c r="D4090" t="s">
        <v>25</v>
      </c>
      <c r="E4090" s="2">
        <v>3.93</v>
      </c>
      <c r="F4090" s="3">
        <v>14.15</v>
      </c>
      <c r="G4090" s="4">
        <v>44.03</v>
      </c>
      <c r="H4090">
        <v>1</v>
      </c>
      <c r="I4090" s="4">
        <v>44.03</v>
      </c>
      <c r="J4090">
        <v>3.1</v>
      </c>
      <c r="K4090" t="s">
        <v>30</v>
      </c>
      <c r="L4090" t="s">
        <v>26</v>
      </c>
      <c r="O4090"/>
    </row>
    <row r="4091" spans="1:15" x14ac:dyDescent="0.3">
      <c r="A4091" t="s">
        <v>4115</v>
      </c>
      <c r="B4091" s="1">
        <v>45821</v>
      </c>
      <c r="C4091" t="s">
        <v>22</v>
      </c>
      <c r="D4091" t="s">
        <v>21</v>
      </c>
      <c r="E4091" s="2">
        <v>2.29</v>
      </c>
      <c r="F4091" s="3">
        <v>8.18</v>
      </c>
      <c r="G4091" s="4">
        <v>43.8</v>
      </c>
      <c r="H4091">
        <v>1.5</v>
      </c>
      <c r="I4091" s="4">
        <v>65.7</v>
      </c>
      <c r="J4091">
        <v>4.2</v>
      </c>
      <c r="K4091" t="s">
        <v>30</v>
      </c>
      <c r="L4091" t="s">
        <v>16</v>
      </c>
      <c r="O4091"/>
    </row>
    <row r="4092" spans="1:15" x14ac:dyDescent="0.3">
      <c r="A4092" t="s">
        <v>4116</v>
      </c>
      <c r="B4092" s="1">
        <v>46012</v>
      </c>
      <c r="C4092" t="s">
        <v>25</v>
      </c>
      <c r="D4092" t="s">
        <v>25</v>
      </c>
      <c r="E4092" s="2">
        <v>21.49</v>
      </c>
      <c r="F4092" s="3">
        <v>77.180000000000007</v>
      </c>
      <c r="G4092" s="4">
        <v>379.68</v>
      </c>
      <c r="H4092">
        <v>1.2</v>
      </c>
      <c r="I4092" s="4">
        <v>455.62</v>
      </c>
      <c r="J4092">
        <v>4.5</v>
      </c>
      <c r="K4092" t="s">
        <v>15</v>
      </c>
      <c r="L4092" t="s">
        <v>28</v>
      </c>
      <c r="O4092"/>
    </row>
    <row r="4093" spans="1:15" x14ac:dyDescent="0.3">
      <c r="A4093" t="s">
        <v>4117</v>
      </c>
      <c r="B4093" s="1">
        <v>45698</v>
      </c>
      <c r="C4093" t="s">
        <v>22</v>
      </c>
      <c r="D4093" t="s">
        <v>21</v>
      </c>
      <c r="E4093" s="2">
        <v>28.85</v>
      </c>
      <c r="F4093" s="3">
        <v>77.52</v>
      </c>
      <c r="G4093" s="4">
        <v>568.49</v>
      </c>
      <c r="H4093">
        <v>2</v>
      </c>
      <c r="I4093" s="4">
        <v>1136.98</v>
      </c>
      <c r="J4093">
        <v>4.9000000000000004</v>
      </c>
      <c r="K4093" t="s">
        <v>18</v>
      </c>
      <c r="L4093" t="s">
        <v>26</v>
      </c>
      <c r="O4093"/>
    </row>
    <row r="4094" spans="1:15" x14ac:dyDescent="0.3">
      <c r="A4094" t="s">
        <v>4118</v>
      </c>
      <c r="B4094" s="1">
        <v>45869</v>
      </c>
      <c r="C4094" t="s">
        <v>25</v>
      </c>
      <c r="D4094" t="s">
        <v>14</v>
      </c>
      <c r="E4094" s="2">
        <v>20.07</v>
      </c>
      <c r="F4094" s="3">
        <v>72.89</v>
      </c>
      <c r="G4094" s="4">
        <v>279.82</v>
      </c>
      <c r="H4094">
        <v>2</v>
      </c>
      <c r="I4094" s="4">
        <v>559.64</v>
      </c>
      <c r="J4094">
        <v>4</v>
      </c>
      <c r="K4094" t="s">
        <v>30</v>
      </c>
      <c r="L4094" t="s">
        <v>26</v>
      </c>
      <c r="O4094"/>
    </row>
    <row r="4095" spans="1:15" x14ac:dyDescent="0.3">
      <c r="A4095" t="s">
        <v>4119</v>
      </c>
      <c r="B4095" s="1">
        <v>45862</v>
      </c>
      <c r="C4095" t="s">
        <v>25</v>
      </c>
      <c r="D4095" t="s">
        <v>25</v>
      </c>
      <c r="E4095" s="2">
        <v>28.73</v>
      </c>
      <c r="F4095" s="3">
        <v>93.37</v>
      </c>
      <c r="G4095" s="4">
        <v>341.43</v>
      </c>
      <c r="H4095">
        <v>1.2</v>
      </c>
      <c r="I4095" s="4">
        <v>409.72</v>
      </c>
      <c r="J4095">
        <v>4.3</v>
      </c>
      <c r="K4095" t="s">
        <v>30</v>
      </c>
      <c r="L4095" t="s">
        <v>19</v>
      </c>
      <c r="O4095"/>
    </row>
    <row r="4096" spans="1:15" x14ac:dyDescent="0.3">
      <c r="A4096" t="s">
        <v>4120</v>
      </c>
      <c r="B4096" s="1">
        <v>45919</v>
      </c>
      <c r="C4096" t="s">
        <v>21</v>
      </c>
      <c r="D4096" t="s">
        <v>14</v>
      </c>
      <c r="E4096" s="2">
        <v>1.39</v>
      </c>
      <c r="F4096" s="3">
        <v>4.3099999999999996</v>
      </c>
      <c r="G4096" s="4">
        <v>16.11</v>
      </c>
      <c r="H4096">
        <v>1.2</v>
      </c>
      <c r="I4096" s="4">
        <v>19.329999999999998</v>
      </c>
      <c r="J4096">
        <v>3.1</v>
      </c>
      <c r="K4096" t="s">
        <v>18</v>
      </c>
      <c r="L4096" t="s">
        <v>16</v>
      </c>
      <c r="O4096"/>
    </row>
    <row r="4097" spans="1:15" x14ac:dyDescent="0.3">
      <c r="A4097" t="s">
        <v>4121</v>
      </c>
      <c r="B4097" s="1">
        <v>46008</v>
      </c>
      <c r="C4097" t="s">
        <v>25</v>
      </c>
      <c r="D4097" t="s">
        <v>22</v>
      </c>
      <c r="E4097" s="2">
        <v>7.36</v>
      </c>
      <c r="F4097" s="3">
        <v>26.38</v>
      </c>
      <c r="G4097" s="4">
        <v>98.05</v>
      </c>
      <c r="H4097">
        <v>2</v>
      </c>
      <c r="I4097" s="4">
        <v>196.1</v>
      </c>
      <c r="J4097">
        <v>4.2</v>
      </c>
      <c r="K4097" t="s">
        <v>30</v>
      </c>
      <c r="L4097" t="s">
        <v>26</v>
      </c>
      <c r="O4097"/>
    </row>
    <row r="4098" spans="1:15" x14ac:dyDescent="0.3">
      <c r="A4098" t="s">
        <v>4122</v>
      </c>
      <c r="B4098" s="1">
        <v>45966</v>
      </c>
      <c r="C4098" t="s">
        <v>22</v>
      </c>
      <c r="D4098" t="s">
        <v>13</v>
      </c>
      <c r="E4098" s="2">
        <v>27.17</v>
      </c>
      <c r="F4098" s="3">
        <v>91.74</v>
      </c>
      <c r="G4098" s="4">
        <v>288.48</v>
      </c>
      <c r="H4098">
        <v>2</v>
      </c>
      <c r="I4098" s="4">
        <v>576.96</v>
      </c>
      <c r="J4098">
        <v>4.7</v>
      </c>
      <c r="K4098" t="s">
        <v>33</v>
      </c>
      <c r="L4098" t="s">
        <v>28</v>
      </c>
      <c r="O4098"/>
    </row>
    <row r="4099" spans="1:15" x14ac:dyDescent="0.3">
      <c r="A4099" t="s">
        <v>4123</v>
      </c>
      <c r="B4099" s="1">
        <v>45920</v>
      </c>
      <c r="C4099" t="s">
        <v>21</v>
      </c>
      <c r="D4099" t="s">
        <v>21</v>
      </c>
      <c r="E4099" s="2">
        <v>26.72</v>
      </c>
      <c r="F4099" s="3">
        <v>70.709999999999994</v>
      </c>
      <c r="G4099" s="4">
        <v>333.4</v>
      </c>
      <c r="H4099">
        <v>1</v>
      </c>
      <c r="I4099" s="4">
        <v>333.4</v>
      </c>
      <c r="J4099">
        <v>3.4</v>
      </c>
      <c r="K4099" t="s">
        <v>33</v>
      </c>
      <c r="L4099" t="s">
        <v>28</v>
      </c>
      <c r="O4099"/>
    </row>
    <row r="4100" spans="1:15" x14ac:dyDescent="0.3">
      <c r="A4100" t="s">
        <v>4124</v>
      </c>
      <c r="B4100" s="1">
        <v>45817</v>
      </c>
      <c r="C4100" t="s">
        <v>14</v>
      </c>
      <c r="D4100" t="s">
        <v>25</v>
      </c>
      <c r="E4100" s="2">
        <v>5.33</v>
      </c>
      <c r="F4100" s="3">
        <v>12.54</v>
      </c>
      <c r="G4100" s="4">
        <v>68.319999999999993</v>
      </c>
      <c r="H4100">
        <v>1.5</v>
      </c>
      <c r="I4100" s="4">
        <v>102.48</v>
      </c>
      <c r="J4100">
        <v>4.7</v>
      </c>
      <c r="K4100" t="s">
        <v>33</v>
      </c>
      <c r="L4100" t="s">
        <v>16</v>
      </c>
      <c r="O4100"/>
    </row>
    <row r="4101" spans="1:15" x14ac:dyDescent="0.3">
      <c r="A4101" t="s">
        <v>4125</v>
      </c>
      <c r="B4101" s="1">
        <v>45660</v>
      </c>
      <c r="C4101" t="s">
        <v>22</v>
      </c>
      <c r="D4101" t="s">
        <v>13</v>
      </c>
      <c r="E4101" s="2">
        <v>1.54</v>
      </c>
      <c r="F4101" s="3">
        <v>5.01</v>
      </c>
      <c r="G4101" s="4">
        <v>23.37</v>
      </c>
      <c r="H4101">
        <v>1.2</v>
      </c>
      <c r="I4101" s="4">
        <v>28.04</v>
      </c>
      <c r="J4101">
        <v>3.9</v>
      </c>
      <c r="K4101" t="s">
        <v>30</v>
      </c>
      <c r="L4101" t="s">
        <v>28</v>
      </c>
      <c r="O4101"/>
    </row>
    <row r="4102" spans="1:15" x14ac:dyDescent="0.3">
      <c r="A4102" t="s">
        <v>4126</v>
      </c>
      <c r="B4102" s="1">
        <v>45954</v>
      </c>
      <c r="C4102" t="s">
        <v>13</v>
      </c>
      <c r="D4102" t="s">
        <v>25</v>
      </c>
      <c r="E4102" s="2">
        <v>20.43</v>
      </c>
      <c r="F4102" s="3">
        <v>81.650000000000006</v>
      </c>
      <c r="G4102" s="4">
        <v>238.76</v>
      </c>
      <c r="H4102">
        <v>1.2</v>
      </c>
      <c r="I4102" s="4">
        <v>286.51</v>
      </c>
      <c r="J4102">
        <v>3.6</v>
      </c>
      <c r="K4102" t="s">
        <v>15</v>
      </c>
      <c r="L4102" t="s">
        <v>16</v>
      </c>
      <c r="O4102"/>
    </row>
    <row r="4103" spans="1:15" x14ac:dyDescent="0.3">
      <c r="A4103" t="s">
        <v>4127</v>
      </c>
      <c r="B4103" s="1">
        <v>45698</v>
      </c>
      <c r="C4103" t="s">
        <v>13</v>
      </c>
      <c r="D4103" t="s">
        <v>13</v>
      </c>
      <c r="E4103" s="2">
        <v>8.81</v>
      </c>
      <c r="F4103" s="3">
        <v>24.96</v>
      </c>
      <c r="G4103" s="4">
        <v>164.1</v>
      </c>
      <c r="H4103">
        <v>1.5</v>
      </c>
      <c r="I4103" s="4">
        <v>246.15</v>
      </c>
      <c r="J4103">
        <v>4.0999999999999996</v>
      </c>
      <c r="K4103" t="s">
        <v>30</v>
      </c>
      <c r="L4103" t="s">
        <v>28</v>
      </c>
      <c r="O4103"/>
    </row>
    <row r="4104" spans="1:15" x14ac:dyDescent="0.3">
      <c r="A4104" t="s">
        <v>4128</v>
      </c>
      <c r="B4104" s="1">
        <v>45790</v>
      </c>
      <c r="C4104" t="s">
        <v>25</v>
      </c>
      <c r="D4104" t="s">
        <v>21</v>
      </c>
      <c r="E4104" s="2">
        <v>14.42</v>
      </c>
      <c r="F4104" s="3">
        <v>47.5</v>
      </c>
      <c r="G4104" s="4">
        <v>182.33</v>
      </c>
      <c r="H4104">
        <v>1.2</v>
      </c>
      <c r="I4104" s="4">
        <v>218.8</v>
      </c>
      <c r="J4104">
        <v>4.8</v>
      </c>
      <c r="K4104" t="s">
        <v>36</v>
      </c>
      <c r="L4104" t="s">
        <v>19</v>
      </c>
      <c r="O4104"/>
    </row>
    <row r="4105" spans="1:15" x14ac:dyDescent="0.3">
      <c r="A4105" t="s">
        <v>4129</v>
      </c>
      <c r="B4105" s="1">
        <v>45952</v>
      </c>
      <c r="C4105" t="s">
        <v>21</v>
      </c>
      <c r="D4105" t="s">
        <v>14</v>
      </c>
      <c r="E4105" s="2">
        <v>4.18</v>
      </c>
      <c r="F4105" s="3">
        <v>14.83</v>
      </c>
      <c r="G4105" s="4">
        <v>66.09</v>
      </c>
      <c r="H4105">
        <v>1.5</v>
      </c>
      <c r="I4105" s="4">
        <v>99.14</v>
      </c>
      <c r="J4105">
        <v>4.0999999999999996</v>
      </c>
      <c r="K4105" t="s">
        <v>15</v>
      </c>
      <c r="L4105" t="s">
        <v>16</v>
      </c>
      <c r="O4105"/>
    </row>
    <row r="4106" spans="1:15" x14ac:dyDescent="0.3">
      <c r="A4106" t="s">
        <v>4130</v>
      </c>
      <c r="B4106" s="1">
        <v>45816</v>
      </c>
      <c r="C4106" t="s">
        <v>25</v>
      </c>
      <c r="D4106" t="s">
        <v>14</v>
      </c>
      <c r="E4106" s="2">
        <v>17.66</v>
      </c>
      <c r="F4106" s="3">
        <v>35.78</v>
      </c>
      <c r="G4106" s="4">
        <v>260.52</v>
      </c>
      <c r="H4106">
        <v>1.5</v>
      </c>
      <c r="I4106" s="4">
        <v>390.78</v>
      </c>
      <c r="J4106">
        <v>4.5</v>
      </c>
      <c r="K4106" t="s">
        <v>36</v>
      </c>
      <c r="L4106" t="s">
        <v>28</v>
      </c>
      <c r="O4106"/>
    </row>
    <row r="4107" spans="1:15" x14ac:dyDescent="0.3">
      <c r="A4107" t="s">
        <v>4131</v>
      </c>
      <c r="B4107" s="1">
        <v>45895</v>
      </c>
      <c r="C4107" t="s">
        <v>25</v>
      </c>
      <c r="D4107" t="s">
        <v>22</v>
      </c>
      <c r="E4107" s="2">
        <v>25.12</v>
      </c>
      <c r="F4107" s="3">
        <v>92.35</v>
      </c>
      <c r="G4107" s="4">
        <v>460.42</v>
      </c>
      <c r="H4107">
        <v>2</v>
      </c>
      <c r="I4107" s="4">
        <v>920.84</v>
      </c>
      <c r="J4107">
        <v>3</v>
      </c>
      <c r="K4107" t="s">
        <v>36</v>
      </c>
      <c r="L4107" t="s">
        <v>26</v>
      </c>
      <c r="O4107"/>
    </row>
    <row r="4108" spans="1:15" x14ac:dyDescent="0.3">
      <c r="A4108" t="s">
        <v>4132</v>
      </c>
      <c r="B4108" s="1">
        <v>45907</v>
      </c>
      <c r="C4108" t="s">
        <v>25</v>
      </c>
      <c r="D4108" t="s">
        <v>25</v>
      </c>
      <c r="E4108" s="2">
        <v>1.42</v>
      </c>
      <c r="F4108" s="3">
        <v>5.25</v>
      </c>
      <c r="G4108" s="4">
        <v>24.47</v>
      </c>
      <c r="H4108">
        <v>1.2</v>
      </c>
      <c r="I4108" s="4">
        <v>29.36</v>
      </c>
      <c r="J4108">
        <v>5</v>
      </c>
      <c r="K4108" t="s">
        <v>36</v>
      </c>
      <c r="L4108" t="s">
        <v>28</v>
      </c>
      <c r="O4108"/>
    </row>
    <row r="4109" spans="1:15" x14ac:dyDescent="0.3">
      <c r="A4109" t="s">
        <v>4133</v>
      </c>
      <c r="B4109" s="1">
        <v>45859</v>
      </c>
      <c r="C4109" t="s">
        <v>25</v>
      </c>
      <c r="D4109" t="s">
        <v>25</v>
      </c>
      <c r="E4109" s="2">
        <v>3.74</v>
      </c>
      <c r="F4109" s="3">
        <v>11.43</v>
      </c>
      <c r="G4109" s="4">
        <v>48.29</v>
      </c>
      <c r="H4109">
        <v>1</v>
      </c>
      <c r="I4109" s="4">
        <v>48.29</v>
      </c>
      <c r="J4109">
        <v>4.0999999999999996</v>
      </c>
      <c r="K4109" t="s">
        <v>36</v>
      </c>
      <c r="L4109" t="s">
        <v>26</v>
      </c>
      <c r="O4109"/>
    </row>
    <row r="4110" spans="1:15" x14ac:dyDescent="0.3">
      <c r="A4110" t="s">
        <v>4134</v>
      </c>
      <c r="B4110" s="1">
        <v>45829</v>
      </c>
      <c r="C4110" t="s">
        <v>14</v>
      </c>
      <c r="D4110" t="s">
        <v>21</v>
      </c>
      <c r="E4110" s="2">
        <v>26.88</v>
      </c>
      <c r="F4110" s="3">
        <v>60.67</v>
      </c>
      <c r="G4110" s="4">
        <v>352.34</v>
      </c>
      <c r="H4110">
        <v>1.5</v>
      </c>
      <c r="I4110" s="4">
        <v>528.51</v>
      </c>
      <c r="J4110">
        <v>3.7</v>
      </c>
      <c r="K4110" t="s">
        <v>15</v>
      </c>
      <c r="L4110" t="s">
        <v>26</v>
      </c>
      <c r="O4110"/>
    </row>
    <row r="4111" spans="1:15" x14ac:dyDescent="0.3">
      <c r="A4111" t="s">
        <v>4135</v>
      </c>
      <c r="B4111" s="1">
        <v>45850</v>
      </c>
      <c r="C4111" t="s">
        <v>25</v>
      </c>
      <c r="D4111" t="s">
        <v>21</v>
      </c>
      <c r="E4111" s="2">
        <v>24.28</v>
      </c>
      <c r="F4111" s="3">
        <v>85.44</v>
      </c>
      <c r="G4111" s="4">
        <v>419.25</v>
      </c>
      <c r="H4111">
        <v>1</v>
      </c>
      <c r="I4111" s="4">
        <v>419.25</v>
      </c>
      <c r="J4111">
        <v>3</v>
      </c>
      <c r="K4111" t="s">
        <v>15</v>
      </c>
      <c r="L4111" t="s">
        <v>16</v>
      </c>
      <c r="O4111"/>
    </row>
    <row r="4112" spans="1:15" x14ac:dyDescent="0.3">
      <c r="A4112" t="s">
        <v>4136</v>
      </c>
      <c r="B4112" s="1">
        <v>45693</v>
      </c>
      <c r="C4112" t="s">
        <v>25</v>
      </c>
      <c r="D4112" t="s">
        <v>25</v>
      </c>
      <c r="E4112" s="2">
        <v>7.11</v>
      </c>
      <c r="F4112" s="3">
        <v>24.77</v>
      </c>
      <c r="G4112" s="4">
        <v>81.59</v>
      </c>
      <c r="H4112">
        <v>1.5</v>
      </c>
      <c r="I4112" s="4">
        <v>122.38</v>
      </c>
      <c r="J4112">
        <v>3.4</v>
      </c>
      <c r="K4112" t="s">
        <v>18</v>
      </c>
      <c r="L4112" t="s">
        <v>19</v>
      </c>
      <c r="O4112"/>
    </row>
    <row r="4113" spans="1:15" x14ac:dyDescent="0.3">
      <c r="A4113" t="s">
        <v>4137</v>
      </c>
      <c r="B4113" s="1">
        <v>45843</v>
      </c>
      <c r="C4113" t="s">
        <v>13</v>
      </c>
      <c r="D4113" t="s">
        <v>22</v>
      </c>
      <c r="E4113" s="2">
        <v>5.65</v>
      </c>
      <c r="F4113" s="3">
        <v>20.100000000000001</v>
      </c>
      <c r="G4113" s="4">
        <v>73.41</v>
      </c>
      <c r="H4113">
        <v>1.2</v>
      </c>
      <c r="I4113" s="4">
        <v>88.09</v>
      </c>
      <c r="J4113">
        <v>4.7</v>
      </c>
      <c r="K4113" t="s">
        <v>33</v>
      </c>
      <c r="L4113" t="s">
        <v>26</v>
      </c>
      <c r="O4113"/>
    </row>
    <row r="4114" spans="1:15" x14ac:dyDescent="0.3">
      <c r="A4114" t="s">
        <v>4138</v>
      </c>
      <c r="B4114" s="1">
        <v>45680</v>
      </c>
      <c r="C4114" t="s">
        <v>14</v>
      </c>
      <c r="D4114" t="s">
        <v>13</v>
      </c>
      <c r="E4114" s="2">
        <v>12.9</v>
      </c>
      <c r="F4114" s="3">
        <v>49.54</v>
      </c>
      <c r="G4114" s="4">
        <v>242.53</v>
      </c>
      <c r="H4114">
        <v>1.2</v>
      </c>
      <c r="I4114" s="4">
        <v>291.04000000000002</v>
      </c>
      <c r="J4114">
        <v>4.7</v>
      </c>
      <c r="K4114" t="s">
        <v>18</v>
      </c>
      <c r="L4114" t="s">
        <v>26</v>
      </c>
      <c r="O4114"/>
    </row>
    <row r="4115" spans="1:15" x14ac:dyDescent="0.3">
      <c r="A4115" t="s">
        <v>4139</v>
      </c>
      <c r="B4115" s="1">
        <v>45944</v>
      </c>
      <c r="C4115" t="s">
        <v>13</v>
      </c>
      <c r="D4115" t="s">
        <v>13</v>
      </c>
      <c r="E4115" s="2">
        <v>8.76</v>
      </c>
      <c r="F4115" s="3">
        <v>27.06</v>
      </c>
      <c r="G4115" s="4">
        <v>158.12</v>
      </c>
      <c r="H4115">
        <v>1.2</v>
      </c>
      <c r="I4115" s="4">
        <v>189.74</v>
      </c>
      <c r="J4115">
        <v>4.8</v>
      </c>
      <c r="K4115" t="s">
        <v>36</v>
      </c>
      <c r="L4115" t="s">
        <v>19</v>
      </c>
      <c r="O4115"/>
    </row>
    <row r="4116" spans="1:15" x14ac:dyDescent="0.3">
      <c r="A4116" t="s">
        <v>4140</v>
      </c>
      <c r="B4116" s="1">
        <v>45907</v>
      </c>
      <c r="C4116" t="s">
        <v>25</v>
      </c>
      <c r="D4116" t="s">
        <v>14</v>
      </c>
      <c r="E4116" s="2">
        <v>14.79</v>
      </c>
      <c r="F4116" s="3">
        <v>31.62</v>
      </c>
      <c r="G4116" s="4">
        <v>251.62</v>
      </c>
      <c r="H4116">
        <v>1.2</v>
      </c>
      <c r="I4116" s="4">
        <v>301.94</v>
      </c>
      <c r="J4116">
        <v>4.5999999999999996</v>
      </c>
      <c r="K4116" t="s">
        <v>33</v>
      </c>
      <c r="L4116" t="s">
        <v>19</v>
      </c>
      <c r="O4116"/>
    </row>
    <row r="4117" spans="1:15" x14ac:dyDescent="0.3">
      <c r="A4117" t="s">
        <v>4141</v>
      </c>
      <c r="B4117" s="1">
        <v>45927</v>
      </c>
      <c r="C4117" t="s">
        <v>14</v>
      </c>
      <c r="D4117" t="s">
        <v>25</v>
      </c>
      <c r="E4117" s="2">
        <v>7.71</v>
      </c>
      <c r="F4117" s="3">
        <v>21.09</v>
      </c>
      <c r="G4117" s="4">
        <v>116.2</v>
      </c>
      <c r="H4117">
        <v>1.2</v>
      </c>
      <c r="I4117" s="4">
        <v>139.44</v>
      </c>
      <c r="J4117">
        <v>3.8</v>
      </c>
      <c r="K4117" t="s">
        <v>36</v>
      </c>
      <c r="L4117" t="s">
        <v>28</v>
      </c>
      <c r="O4117"/>
    </row>
    <row r="4118" spans="1:15" x14ac:dyDescent="0.3">
      <c r="A4118" t="s">
        <v>4142</v>
      </c>
      <c r="B4118" s="1">
        <v>45894</v>
      </c>
      <c r="C4118" t="s">
        <v>21</v>
      </c>
      <c r="D4118" t="s">
        <v>13</v>
      </c>
      <c r="E4118" s="2">
        <v>16.59</v>
      </c>
      <c r="F4118" s="3">
        <v>39.53</v>
      </c>
      <c r="G4118" s="4">
        <v>208.48</v>
      </c>
      <c r="H4118">
        <v>1.5</v>
      </c>
      <c r="I4118" s="4">
        <v>312.72000000000003</v>
      </c>
      <c r="J4118">
        <v>4.4000000000000004</v>
      </c>
      <c r="K4118" t="s">
        <v>15</v>
      </c>
      <c r="L4118" t="s">
        <v>28</v>
      </c>
      <c r="O4118"/>
    </row>
    <row r="4119" spans="1:15" x14ac:dyDescent="0.3">
      <c r="A4119" t="s">
        <v>4143</v>
      </c>
      <c r="B4119" s="1">
        <v>45710</v>
      </c>
      <c r="C4119" t="s">
        <v>25</v>
      </c>
      <c r="D4119" t="s">
        <v>25</v>
      </c>
      <c r="E4119" s="2">
        <v>11.49</v>
      </c>
      <c r="F4119" s="3">
        <v>28.04</v>
      </c>
      <c r="G4119" s="4">
        <v>173.19</v>
      </c>
      <c r="H4119">
        <v>1</v>
      </c>
      <c r="I4119" s="4">
        <v>173.19</v>
      </c>
      <c r="J4119">
        <v>4.5</v>
      </c>
      <c r="K4119" t="s">
        <v>36</v>
      </c>
      <c r="L4119" t="s">
        <v>19</v>
      </c>
      <c r="O4119"/>
    </row>
    <row r="4120" spans="1:15" x14ac:dyDescent="0.3">
      <c r="A4120" t="s">
        <v>4144</v>
      </c>
      <c r="B4120" s="1">
        <v>45824</v>
      </c>
      <c r="C4120" t="s">
        <v>21</v>
      </c>
      <c r="D4120" t="s">
        <v>14</v>
      </c>
      <c r="E4120" s="2">
        <v>9.5399999999999991</v>
      </c>
      <c r="F4120" s="3">
        <v>35.99</v>
      </c>
      <c r="G4120" s="4">
        <v>142.87</v>
      </c>
      <c r="H4120">
        <v>1</v>
      </c>
      <c r="I4120" s="4">
        <v>142.87</v>
      </c>
      <c r="J4120">
        <v>3.5</v>
      </c>
      <c r="K4120" t="s">
        <v>33</v>
      </c>
      <c r="L4120" t="s">
        <v>28</v>
      </c>
      <c r="O4120"/>
    </row>
    <row r="4121" spans="1:15" x14ac:dyDescent="0.3">
      <c r="A4121" t="s">
        <v>4145</v>
      </c>
      <c r="B4121" s="1">
        <v>45858</v>
      </c>
      <c r="C4121" t="s">
        <v>14</v>
      </c>
      <c r="D4121" t="s">
        <v>21</v>
      </c>
      <c r="E4121" s="2">
        <v>1.53</v>
      </c>
      <c r="F4121" s="3">
        <v>4.18</v>
      </c>
      <c r="G4121" s="4">
        <v>26.45</v>
      </c>
      <c r="H4121">
        <v>1.2</v>
      </c>
      <c r="I4121" s="4">
        <v>31.74</v>
      </c>
      <c r="J4121">
        <v>3.7</v>
      </c>
      <c r="K4121" t="s">
        <v>30</v>
      </c>
      <c r="L4121" t="s">
        <v>16</v>
      </c>
      <c r="O4121"/>
    </row>
    <row r="4122" spans="1:15" x14ac:dyDescent="0.3">
      <c r="A4122" t="s">
        <v>4146</v>
      </c>
      <c r="B4122" s="1">
        <v>46017</v>
      </c>
      <c r="C4122" t="s">
        <v>22</v>
      </c>
      <c r="D4122" t="s">
        <v>14</v>
      </c>
      <c r="E4122" s="2">
        <v>19.809999999999999</v>
      </c>
      <c r="F4122" s="3">
        <v>77.849999999999994</v>
      </c>
      <c r="G4122" s="4">
        <v>307.42</v>
      </c>
      <c r="H4122">
        <v>1.2</v>
      </c>
      <c r="I4122" s="4">
        <v>368.9</v>
      </c>
      <c r="J4122">
        <v>5</v>
      </c>
      <c r="K4122" t="s">
        <v>15</v>
      </c>
      <c r="L4122" t="s">
        <v>28</v>
      </c>
      <c r="O4122"/>
    </row>
    <row r="4123" spans="1:15" x14ac:dyDescent="0.3">
      <c r="A4123" t="s">
        <v>4147</v>
      </c>
      <c r="B4123" s="1">
        <v>45911</v>
      </c>
      <c r="C4123" t="s">
        <v>25</v>
      </c>
      <c r="D4123" t="s">
        <v>22</v>
      </c>
      <c r="E4123" s="2">
        <v>2.31</v>
      </c>
      <c r="F4123" s="3">
        <v>7.27</v>
      </c>
      <c r="G4123" s="4">
        <v>27.29</v>
      </c>
      <c r="H4123">
        <v>1</v>
      </c>
      <c r="I4123" s="4">
        <v>27.29</v>
      </c>
      <c r="J4123">
        <v>3.4</v>
      </c>
      <c r="K4123" t="s">
        <v>33</v>
      </c>
      <c r="L4123" t="s">
        <v>26</v>
      </c>
      <c r="O4123"/>
    </row>
    <row r="4124" spans="1:15" x14ac:dyDescent="0.3">
      <c r="A4124" t="s">
        <v>4148</v>
      </c>
      <c r="B4124" s="1">
        <v>45678</v>
      </c>
      <c r="C4124" t="s">
        <v>21</v>
      </c>
      <c r="D4124" t="s">
        <v>13</v>
      </c>
      <c r="E4124" s="2">
        <v>17.22</v>
      </c>
      <c r="F4124" s="3">
        <v>57.35</v>
      </c>
      <c r="G4124" s="4">
        <v>333.56</v>
      </c>
      <c r="H4124">
        <v>2</v>
      </c>
      <c r="I4124" s="4">
        <v>667.12</v>
      </c>
      <c r="J4124">
        <v>4.2</v>
      </c>
      <c r="K4124" t="s">
        <v>18</v>
      </c>
      <c r="L4124" t="s">
        <v>28</v>
      </c>
      <c r="O4124"/>
    </row>
    <row r="4125" spans="1:15" x14ac:dyDescent="0.3">
      <c r="A4125" t="s">
        <v>4149</v>
      </c>
      <c r="B4125" s="1">
        <v>45806</v>
      </c>
      <c r="C4125" t="s">
        <v>25</v>
      </c>
      <c r="D4125" t="s">
        <v>14</v>
      </c>
      <c r="E4125" s="2">
        <v>17.61</v>
      </c>
      <c r="F4125" s="3">
        <v>68.8</v>
      </c>
      <c r="G4125" s="4">
        <v>305.66000000000003</v>
      </c>
      <c r="H4125">
        <v>1.2</v>
      </c>
      <c r="I4125" s="4">
        <v>366.79</v>
      </c>
      <c r="J4125">
        <v>4.5999999999999996</v>
      </c>
      <c r="K4125" t="s">
        <v>30</v>
      </c>
      <c r="L4125" t="s">
        <v>16</v>
      </c>
      <c r="O4125"/>
    </row>
    <row r="4126" spans="1:15" x14ac:dyDescent="0.3">
      <c r="A4126" t="s">
        <v>4150</v>
      </c>
      <c r="B4126" s="1">
        <v>45928</v>
      </c>
      <c r="C4126" t="s">
        <v>14</v>
      </c>
      <c r="D4126" t="s">
        <v>14</v>
      </c>
      <c r="E4126" s="2">
        <v>10.35</v>
      </c>
      <c r="F4126" s="3">
        <v>35.799999999999997</v>
      </c>
      <c r="G4126" s="4">
        <v>127.6</v>
      </c>
      <c r="H4126">
        <v>2</v>
      </c>
      <c r="I4126" s="4">
        <v>255.2</v>
      </c>
      <c r="J4126">
        <v>3.5</v>
      </c>
      <c r="K4126" t="s">
        <v>36</v>
      </c>
      <c r="L4126" t="s">
        <v>16</v>
      </c>
      <c r="O4126"/>
    </row>
    <row r="4127" spans="1:15" x14ac:dyDescent="0.3">
      <c r="A4127" t="s">
        <v>4151</v>
      </c>
      <c r="B4127" s="1">
        <v>45687</v>
      </c>
      <c r="C4127" t="s">
        <v>21</v>
      </c>
      <c r="D4127" t="s">
        <v>14</v>
      </c>
      <c r="E4127" s="2">
        <v>1.55</v>
      </c>
      <c r="F4127" s="3">
        <v>4.38</v>
      </c>
      <c r="G4127" s="4">
        <v>19.64</v>
      </c>
      <c r="H4127">
        <v>2</v>
      </c>
      <c r="I4127" s="4">
        <v>39.28</v>
      </c>
      <c r="J4127">
        <v>3.3</v>
      </c>
      <c r="K4127" t="s">
        <v>15</v>
      </c>
      <c r="L4127" t="s">
        <v>28</v>
      </c>
      <c r="O4127"/>
    </row>
    <row r="4128" spans="1:15" x14ac:dyDescent="0.3">
      <c r="A4128" t="s">
        <v>4152</v>
      </c>
      <c r="B4128" s="1">
        <v>45930</v>
      </c>
      <c r="C4128" t="s">
        <v>14</v>
      </c>
      <c r="D4128" t="s">
        <v>21</v>
      </c>
      <c r="E4128" s="2">
        <v>1.07</v>
      </c>
      <c r="F4128" s="3">
        <v>3.92</v>
      </c>
      <c r="G4128" s="4">
        <v>13.51</v>
      </c>
      <c r="H4128">
        <v>1.5</v>
      </c>
      <c r="I4128" s="4">
        <v>20.260000000000002</v>
      </c>
      <c r="J4128">
        <v>3.3</v>
      </c>
      <c r="K4128" t="s">
        <v>30</v>
      </c>
      <c r="L4128" t="s">
        <v>26</v>
      </c>
      <c r="O4128"/>
    </row>
    <row r="4129" spans="1:15" x14ac:dyDescent="0.3">
      <c r="A4129" t="s">
        <v>4153</v>
      </c>
      <c r="B4129" s="1">
        <v>45780</v>
      </c>
      <c r="C4129" t="s">
        <v>22</v>
      </c>
      <c r="D4129" t="s">
        <v>14</v>
      </c>
      <c r="E4129" s="2">
        <v>11.59</v>
      </c>
      <c r="F4129" s="3">
        <v>24.56</v>
      </c>
      <c r="G4129" s="4">
        <v>212.11</v>
      </c>
      <c r="H4129">
        <v>1.5</v>
      </c>
      <c r="I4129" s="4">
        <v>318.17</v>
      </c>
      <c r="J4129">
        <v>3.2</v>
      </c>
      <c r="K4129" t="s">
        <v>30</v>
      </c>
      <c r="L4129" t="s">
        <v>19</v>
      </c>
      <c r="O4129"/>
    </row>
    <row r="4130" spans="1:15" x14ac:dyDescent="0.3">
      <c r="A4130" t="s">
        <v>4154</v>
      </c>
      <c r="B4130" s="1">
        <v>45826</v>
      </c>
      <c r="C4130" t="s">
        <v>22</v>
      </c>
      <c r="D4130" t="s">
        <v>25</v>
      </c>
      <c r="E4130" s="2">
        <v>18.41</v>
      </c>
      <c r="F4130" s="3">
        <v>54.58</v>
      </c>
      <c r="G4130" s="4">
        <v>220.67</v>
      </c>
      <c r="H4130">
        <v>1.5</v>
      </c>
      <c r="I4130" s="4">
        <v>331</v>
      </c>
      <c r="J4130">
        <v>4.9000000000000004</v>
      </c>
      <c r="K4130" t="s">
        <v>30</v>
      </c>
      <c r="L4130" t="s">
        <v>19</v>
      </c>
      <c r="O4130"/>
    </row>
    <row r="4131" spans="1:15" x14ac:dyDescent="0.3">
      <c r="A4131" t="s">
        <v>4155</v>
      </c>
      <c r="B4131" s="1">
        <v>45998</v>
      </c>
      <c r="C4131" t="s">
        <v>14</v>
      </c>
      <c r="D4131" t="s">
        <v>22</v>
      </c>
      <c r="E4131" s="2">
        <v>1.92</v>
      </c>
      <c r="F4131" s="3">
        <v>7.59</v>
      </c>
      <c r="G4131" s="4">
        <v>23.01</v>
      </c>
      <c r="H4131">
        <v>2</v>
      </c>
      <c r="I4131" s="4">
        <v>46.02</v>
      </c>
      <c r="J4131">
        <v>3.1</v>
      </c>
      <c r="K4131" t="s">
        <v>33</v>
      </c>
      <c r="L4131" t="s">
        <v>16</v>
      </c>
      <c r="O4131"/>
    </row>
    <row r="4132" spans="1:15" x14ac:dyDescent="0.3">
      <c r="A4132" t="s">
        <v>4156</v>
      </c>
      <c r="B4132" s="1">
        <v>45839</v>
      </c>
      <c r="C4132" t="s">
        <v>14</v>
      </c>
      <c r="D4132" t="s">
        <v>25</v>
      </c>
      <c r="E4132" s="2">
        <v>3.32</v>
      </c>
      <c r="F4132" s="3">
        <v>10.64</v>
      </c>
      <c r="G4132" s="4">
        <v>61.44</v>
      </c>
      <c r="H4132">
        <v>1.5</v>
      </c>
      <c r="I4132" s="4">
        <v>92.16</v>
      </c>
      <c r="J4132">
        <v>4.2</v>
      </c>
      <c r="K4132" t="s">
        <v>15</v>
      </c>
      <c r="L4132" t="s">
        <v>26</v>
      </c>
      <c r="O4132"/>
    </row>
    <row r="4133" spans="1:15" x14ac:dyDescent="0.3">
      <c r="A4133" t="s">
        <v>4157</v>
      </c>
      <c r="B4133" s="1">
        <v>45955</v>
      </c>
      <c r="C4133" t="s">
        <v>14</v>
      </c>
      <c r="D4133" t="s">
        <v>13</v>
      </c>
      <c r="E4133" s="2">
        <v>12.44</v>
      </c>
      <c r="F4133" s="3">
        <v>28.85</v>
      </c>
      <c r="G4133" s="4">
        <v>146.31</v>
      </c>
      <c r="H4133">
        <v>1.5</v>
      </c>
      <c r="I4133" s="4">
        <v>219.46</v>
      </c>
      <c r="J4133">
        <v>4.2</v>
      </c>
      <c r="K4133" t="s">
        <v>18</v>
      </c>
      <c r="L4133" t="s">
        <v>26</v>
      </c>
      <c r="O4133"/>
    </row>
    <row r="4134" spans="1:15" x14ac:dyDescent="0.3">
      <c r="A4134" t="s">
        <v>4158</v>
      </c>
      <c r="B4134" s="1">
        <v>45950</v>
      </c>
      <c r="C4134" t="s">
        <v>22</v>
      </c>
      <c r="D4134" t="s">
        <v>14</v>
      </c>
      <c r="E4134" s="2">
        <v>26.14</v>
      </c>
      <c r="F4134" s="3">
        <v>80.73</v>
      </c>
      <c r="G4134" s="4">
        <v>271.61</v>
      </c>
      <c r="H4134">
        <v>2</v>
      </c>
      <c r="I4134" s="4">
        <v>543.22</v>
      </c>
      <c r="J4134">
        <v>5</v>
      </c>
      <c r="K4134" t="s">
        <v>36</v>
      </c>
      <c r="L4134" t="s">
        <v>26</v>
      </c>
      <c r="O4134"/>
    </row>
    <row r="4135" spans="1:15" x14ac:dyDescent="0.3">
      <c r="A4135" t="s">
        <v>4159</v>
      </c>
      <c r="B4135" s="1">
        <v>45764</v>
      </c>
      <c r="C4135" t="s">
        <v>21</v>
      </c>
      <c r="D4135" t="s">
        <v>25</v>
      </c>
      <c r="E4135" s="2">
        <v>22.06</v>
      </c>
      <c r="F4135" s="3">
        <v>65.69</v>
      </c>
      <c r="G4135" s="4">
        <v>410.33</v>
      </c>
      <c r="H4135">
        <v>2</v>
      </c>
      <c r="I4135" s="4">
        <v>820.66</v>
      </c>
      <c r="J4135">
        <v>4.7</v>
      </c>
      <c r="K4135" t="s">
        <v>33</v>
      </c>
      <c r="L4135" t="s">
        <v>19</v>
      </c>
      <c r="O4135"/>
    </row>
    <row r="4136" spans="1:15" x14ac:dyDescent="0.3">
      <c r="A4136" t="s">
        <v>4160</v>
      </c>
      <c r="B4136" s="1">
        <v>45841</v>
      </c>
      <c r="C4136" t="s">
        <v>13</v>
      </c>
      <c r="D4136" t="s">
        <v>21</v>
      </c>
      <c r="E4136" s="2">
        <v>25.55</v>
      </c>
      <c r="F4136" s="3">
        <v>87.29</v>
      </c>
      <c r="G4136" s="4">
        <v>464.47</v>
      </c>
      <c r="H4136">
        <v>1.2</v>
      </c>
      <c r="I4136" s="4">
        <v>557.36</v>
      </c>
      <c r="J4136">
        <v>4.5999999999999996</v>
      </c>
      <c r="K4136" t="s">
        <v>33</v>
      </c>
      <c r="L4136" t="s">
        <v>16</v>
      </c>
      <c r="O4136"/>
    </row>
    <row r="4137" spans="1:15" x14ac:dyDescent="0.3">
      <c r="A4137" t="s">
        <v>4161</v>
      </c>
      <c r="B4137" s="1">
        <v>45898</v>
      </c>
      <c r="C4137" t="s">
        <v>21</v>
      </c>
      <c r="D4137" t="s">
        <v>22</v>
      </c>
      <c r="E4137" s="2">
        <v>11.78</v>
      </c>
      <c r="F4137" s="3">
        <v>43.14</v>
      </c>
      <c r="G4137" s="4">
        <v>208.52</v>
      </c>
      <c r="H4137">
        <v>2</v>
      </c>
      <c r="I4137" s="4">
        <v>417.04</v>
      </c>
      <c r="J4137">
        <v>3.9</v>
      </c>
      <c r="K4137" t="s">
        <v>33</v>
      </c>
      <c r="L4137" t="s">
        <v>26</v>
      </c>
      <c r="O4137"/>
    </row>
    <row r="4138" spans="1:15" x14ac:dyDescent="0.3">
      <c r="A4138" t="s">
        <v>4162</v>
      </c>
      <c r="B4138" s="1">
        <v>45997</v>
      </c>
      <c r="C4138" t="s">
        <v>14</v>
      </c>
      <c r="D4138" t="s">
        <v>25</v>
      </c>
      <c r="E4138" s="2">
        <v>4.5599999999999996</v>
      </c>
      <c r="F4138" s="3">
        <v>12.06</v>
      </c>
      <c r="G4138" s="4">
        <v>84.45</v>
      </c>
      <c r="H4138">
        <v>1.5</v>
      </c>
      <c r="I4138" s="4">
        <v>126.68</v>
      </c>
      <c r="J4138">
        <v>3.4</v>
      </c>
      <c r="K4138" t="s">
        <v>18</v>
      </c>
      <c r="L4138" t="s">
        <v>28</v>
      </c>
      <c r="O4138"/>
    </row>
    <row r="4139" spans="1:15" x14ac:dyDescent="0.3">
      <c r="A4139" t="s">
        <v>4163</v>
      </c>
      <c r="B4139" s="1">
        <v>45955</v>
      </c>
      <c r="C4139" t="s">
        <v>13</v>
      </c>
      <c r="D4139" t="s">
        <v>22</v>
      </c>
      <c r="E4139" s="2">
        <v>6.08</v>
      </c>
      <c r="F4139" s="3">
        <v>17.32</v>
      </c>
      <c r="G4139" s="4">
        <v>67.78</v>
      </c>
      <c r="H4139">
        <v>1.5</v>
      </c>
      <c r="I4139" s="4">
        <v>101.67</v>
      </c>
      <c r="J4139">
        <v>3.4</v>
      </c>
      <c r="K4139" t="s">
        <v>30</v>
      </c>
      <c r="L4139" t="s">
        <v>28</v>
      </c>
      <c r="O4139"/>
    </row>
    <row r="4140" spans="1:15" x14ac:dyDescent="0.3">
      <c r="A4140" t="s">
        <v>4164</v>
      </c>
      <c r="B4140" s="1">
        <v>45936</v>
      </c>
      <c r="C4140" t="s">
        <v>25</v>
      </c>
      <c r="D4140" t="s">
        <v>13</v>
      </c>
      <c r="E4140" s="2">
        <v>7.19</v>
      </c>
      <c r="F4140" s="3">
        <v>21.2</v>
      </c>
      <c r="G4140" s="4">
        <v>133.97</v>
      </c>
      <c r="H4140">
        <v>1</v>
      </c>
      <c r="I4140" s="4">
        <v>133.97</v>
      </c>
      <c r="J4140">
        <v>4.4000000000000004</v>
      </c>
      <c r="K4140" t="s">
        <v>36</v>
      </c>
      <c r="L4140" t="s">
        <v>19</v>
      </c>
      <c r="O4140"/>
    </row>
    <row r="4141" spans="1:15" x14ac:dyDescent="0.3">
      <c r="A4141" t="s">
        <v>4165</v>
      </c>
      <c r="B4141" s="1">
        <v>45935</v>
      </c>
      <c r="C4141" t="s">
        <v>13</v>
      </c>
      <c r="D4141" t="s">
        <v>14</v>
      </c>
      <c r="E4141" s="2">
        <v>19.91</v>
      </c>
      <c r="F4141" s="3">
        <v>41.95</v>
      </c>
      <c r="G4141" s="4">
        <v>394.21</v>
      </c>
      <c r="H4141">
        <v>1.5</v>
      </c>
      <c r="I4141" s="4">
        <v>591.30999999999995</v>
      </c>
      <c r="J4141">
        <v>3.9</v>
      </c>
      <c r="K4141" t="s">
        <v>15</v>
      </c>
      <c r="L4141" t="s">
        <v>26</v>
      </c>
      <c r="O4141"/>
    </row>
    <row r="4142" spans="1:15" x14ac:dyDescent="0.3">
      <c r="A4142" t="s">
        <v>4166</v>
      </c>
      <c r="B4142" s="1">
        <v>45928</v>
      </c>
      <c r="C4142" t="s">
        <v>14</v>
      </c>
      <c r="D4142" t="s">
        <v>21</v>
      </c>
      <c r="E4142" s="2">
        <v>13.47</v>
      </c>
      <c r="F4142" s="3">
        <v>42.38</v>
      </c>
      <c r="G4142" s="4">
        <v>146.91</v>
      </c>
      <c r="H4142">
        <v>1</v>
      </c>
      <c r="I4142" s="4">
        <v>146.91</v>
      </c>
      <c r="J4142">
        <v>3.1</v>
      </c>
      <c r="K4142" t="s">
        <v>15</v>
      </c>
      <c r="L4142" t="s">
        <v>28</v>
      </c>
      <c r="O4142"/>
    </row>
    <row r="4143" spans="1:15" x14ac:dyDescent="0.3">
      <c r="A4143" t="s">
        <v>4167</v>
      </c>
      <c r="B4143" s="1">
        <v>45906</v>
      </c>
      <c r="C4143" t="s">
        <v>14</v>
      </c>
      <c r="D4143" t="s">
        <v>25</v>
      </c>
      <c r="E4143" s="2">
        <v>28.56</v>
      </c>
      <c r="F4143" s="3">
        <v>105.79</v>
      </c>
      <c r="G4143" s="4">
        <v>415.3</v>
      </c>
      <c r="H4143">
        <v>1.5</v>
      </c>
      <c r="I4143" s="4">
        <v>622.95000000000005</v>
      </c>
      <c r="J4143">
        <v>4.3</v>
      </c>
      <c r="K4143" t="s">
        <v>36</v>
      </c>
      <c r="L4143" t="s">
        <v>19</v>
      </c>
      <c r="O4143"/>
    </row>
    <row r="4144" spans="1:15" x14ac:dyDescent="0.3">
      <c r="A4144" t="s">
        <v>4168</v>
      </c>
      <c r="B4144" s="1">
        <v>45918</v>
      </c>
      <c r="C4144" t="s">
        <v>21</v>
      </c>
      <c r="D4144" t="s">
        <v>14</v>
      </c>
      <c r="E4144" s="2">
        <v>23.96</v>
      </c>
      <c r="F4144" s="3">
        <v>56.8</v>
      </c>
      <c r="G4144" s="4">
        <v>434.96</v>
      </c>
      <c r="H4144">
        <v>2</v>
      </c>
      <c r="I4144" s="4">
        <v>869.92</v>
      </c>
      <c r="J4144">
        <v>3.1</v>
      </c>
      <c r="K4144" t="s">
        <v>15</v>
      </c>
      <c r="L4144" t="s">
        <v>16</v>
      </c>
      <c r="O4144"/>
    </row>
    <row r="4145" spans="1:15" x14ac:dyDescent="0.3">
      <c r="A4145" t="s">
        <v>4169</v>
      </c>
      <c r="B4145" s="1">
        <v>46019</v>
      </c>
      <c r="C4145" t="s">
        <v>22</v>
      </c>
      <c r="D4145" t="s">
        <v>21</v>
      </c>
      <c r="E4145" s="2">
        <v>26.96</v>
      </c>
      <c r="F4145" s="3">
        <v>85.08</v>
      </c>
      <c r="G4145" s="4">
        <v>446.52</v>
      </c>
      <c r="H4145">
        <v>1.5</v>
      </c>
      <c r="I4145" s="4">
        <v>669.78</v>
      </c>
      <c r="J4145">
        <v>4.7</v>
      </c>
      <c r="K4145" t="s">
        <v>15</v>
      </c>
      <c r="L4145" t="s">
        <v>26</v>
      </c>
      <c r="O4145"/>
    </row>
    <row r="4146" spans="1:15" x14ac:dyDescent="0.3">
      <c r="A4146" t="s">
        <v>4170</v>
      </c>
      <c r="B4146" s="1">
        <v>45977</v>
      </c>
      <c r="C4146" t="s">
        <v>22</v>
      </c>
      <c r="D4146" t="s">
        <v>13</v>
      </c>
      <c r="E4146" s="2">
        <v>16.809999999999999</v>
      </c>
      <c r="F4146" s="3">
        <v>47.78</v>
      </c>
      <c r="G4146" s="4">
        <v>257.91000000000003</v>
      </c>
      <c r="H4146">
        <v>1.5</v>
      </c>
      <c r="I4146" s="4">
        <v>386.86</v>
      </c>
      <c r="J4146">
        <v>4.7</v>
      </c>
      <c r="K4146" t="s">
        <v>33</v>
      </c>
      <c r="L4146" t="s">
        <v>16</v>
      </c>
      <c r="O4146"/>
    </row>
    <row r="4147" spans="1:15" x14ac:dyDescent="0.3">
      <c r="A4147" t="s">
        <v>4171</v>
      </c>
      <c r="B4147" s="1">
        <v>45747</v>
      </c>
      <c r="C4147" t="s">
        <v>25</v>
      </c>
      <c r="D4147" t="s">
        <v>14</v>
      </c>
      <c r="E4147" s="2">
        <v>3.19</v>
      </c>
      <c r="F4147" s="3">
        <v>6.69</v>
      </c>
      <c r="G4147" s="4">
        <v>58.62</v>
      </c>
      <c r="H4147">
        <v>2</v>
      </c>
      <c r="I4147" s="4">
        <v>117.24</v>
      </c>
      <c r="J4147">
        <v>4.5</v>
      </c>
      <c r="K4147" t="s">
        <v>18</v>
      </c>
      <c r="L4147" t="s">
        <v>28</v>
      </c>
      <c r="O4147"/>
    </row>
    <row r="4148" spans="1:15" x14ac:dyDescent="0.3">
      <c r="A4148" t="s">
        <v>4172</v>
      </c>
      <c r="B4148" s="1">
        <v>45801</v>
      </c>
      <c r="C4148" t="s">
        <v>22</v>
      </c>
      <c r="D4148" t="s">
        <v>25</v>
      </c>
      <c r="E4148" s="2">
        <v>10.07</v>
      </c>
      <c r="F4148" s="3">
        <v>28.15</v>
      </c>
      <c r="G4148" s="4">
        <v>171.21</v>
      </c>
      <c r="H4148">
        <v>1.5</v>
      </c>
      <c r="I4148" s="4">
        <v>256.82</v>
      </c>
      <c r="J4148">
        <v>3</v>
      </c>
      <c r="K4148" t="s">
        <v>36</v>
      </c>
      <c r="L4148" t="s">
        <v>28</v>
      </c>
      <c r="O4148"/>
    </row>
    <row r="4149" spans="1:15" x14ac:dyDescent="0.3">
      <c r="A4149" t="s">
        <v>4173</v>
      </c>
      <c r="B4149" s="1">
        <v>45694</v>
      </c>
      <c r="C4149" t="s">
        <v>13</v>
      </c>
      <c r="D4149" t="s">
        <v>22</v>
      </c>
      <c r="E4149" s="2">
        <v>25.98</v>
      </c>
      <c r="F4149" s="3">
        <v>93.16</v>
      </c>
      <c r="G4149" s="4">
        <v>341.78</v>
      </c>
      <c r="H4149">
        <v>1.5</v>
      </c>
      <c r="I4149" s="4">
        <v>512.66999999999996</v>
      </c>
      <c r="J4149">
        <v>4.8</v>
      </c>
      <c r="K4149" t="s">
        <v>18</v>
      </c>
      <c r="L4149" t="s">
        <v>26</v>
      </c>
      <c r="O4149"/>
    </row>
    <row r="4150" spans="1:15" x14ac:dyDescent="0.3">
      <c r="A4150" t="s">
        <v>4174</v>
      </c>
      <c r="B4150" s="1">
        <v>45852</v>
      </c>
      <c r="C4150" t="s">
        <v>21</v>
      </c>
      <c r="D4150" t="s">
        <v>13</v>
      </c>
      <c r="E4150" s="2">
        <v>16.13</v>
      </c>
      <c r="F4150" s="3">
        <v>37.18</v>
      </c>
      <c r="G4150" s="4">
        <v>283.68</v>
      </c>
      <c r="H4150">
        <v>1</v>
      </c>
      <c r="I4150" s="4">
        <v>283.68</v>
      </c>
      <c r="J4150">
        <v>4.0999999999999996</v>
      </c>
      <c r="K4150" t="s">
        <v>36</v>
      </c>
      <c r="L4150" t="s">
        <v>16</v>
      </c>
      <c r="O4150"/>
    </row>
    <row r="4151" spans="1:15" x14ac:dyDescent="0.3">
      <c r="A4151" t="s">
        <v>4175</v>
      </c>
      <c r="B4151" s="1">
        <v>45726</v>
      </c>
      <c r="C4151" t="s">
        <v>13</v>
      </c>
      <c r="D4151" t="s">
        <v>21</v>
      </c>
      <c r="E4151" s="2">
        <v>4.3899999999999997</v>
      </c>
      <c r="F4151" s="3">
        <v>16.079999999999998</v>
      </c>
      <c r="G4151" s="4">
        <v>73.5</v>
      </c>
      <c r="H4151">
        <v>1</v>
      </c>
      <c r="I4151" s="4">
        <v>73.5</v>
      </c>
      <c r="J4151">
        <v>4</v>
      </c>
      <c r="K4151" t="s">
        <v>36</v>
      </c>
      <c r="L4151" t="s">
        <v>28</v>
      </c>
      <c r="O4151"/>
    </row>
    <row r="4152" spans="1:15" x14ac:dyDescent="0.3">
      <c r="A4152" t="s">
        <v>4176</v>
      </c>
      <c r="B4152" s="1">
        <v>45875</v>
      </c>
      <c r="C4152" t="s">
        <v>14</v>
      </c>
      <c r="D4152" t="s">
        <v>13</v>
      </c>
      <c r="E4152" s="2">
        <v>24.5</v>
      </c>
      <c r="F4152" s="3">
        <v>77.95</v>
      </c>
      <c r="G4152" s="4">
        <v>349.05</v>
      </c>
      <c r="H4152">
        <v>1</v>
      </c>
      <c r="I4152" s="4">
        <v>349.05</v>
      </c>
      <c r="J4152">
        <v>3.2</v>
      </c>
      <c r="K4152" t="s">
        <v>30</v>
      </c>
      <c r="L4152" t="s">
        <v>16</v>
      </c>
      <c r="O4152"/>
    </row>
    <row r="4153" spans="1:15" x14ac:dyDescent="0.3">
      <c r="A4153" t="s">
        <v>4177</v>
      </c>
      <c r="B4153" s="1">
        <v>45831</v>
      </c>
      <c r="C4153" t="s">
        <v>22</v>
      </c>
      <c r="D4153" t="s">
        <v>25</v>
      </c>
      <c r="E4153" s="2">
        <v>19.559999999999999</v>
      </c>
      <c r="F4153" s="3">
        <v>76.95</v>
      </c>
      <c r="G4153" s="4">
        <v>230.54</v>
      </c>
      <c r="H4153">
        <v>1.2</v>
      </c>
      <c r="I4153" s="4">
        <v>276.64999999999998</v>
      </c>
      <c r="J4153">
        <v>4.8</v>
      </c>
      <c r="K4153" t="s">
        <v>15</v>
      </c>
      <c r="L4153" t="s">
        <v>16</v>
      </c>
      <c r="O4153"/>
    </row>
    <row r="4154" spans="1:15" x14ac:dyDescent="0.3">
      <c r="A4154" t="s">
        <v>4178</v>
      </c>
      <c r="B4154" s="1">
        <v>45913</v>
      </c>
      <c r="C4154" t="s">
        <v>22</v>
      </c>
      <c r="D4154" t="s">
        <v>25</v>
      </c>
      <c r="E4154" s="2">
        <v>7.09</v>
      </c>
      <c r="F4154" s="3">
        <v>23.67</v>
      </c>
      <c r="G4154" s="4">
        <v>135.84</v>
      </c>
      <c r="H4154">
        <v>1</v>
      </c>
      <c r="I4154" s="4">
        <v>135.84</v>
      </c>
      <c r="J4154">
        <v>4</v>
      </c>
      <c r="K4154" t="s">
        <v>15</v>
      </c>
      <c r="L4154" t="s">
        <v>19</v>
      </c>
      <c r="O4154"/>
    </row>
    <row r="4155" spans="1:15" x14ac:dyDescent="0.3">
      <c r="A4155" t="s">
        <v>4179</v>
      </c>
      <c r="B4155" s="1">
        <v>45950</v>
      </c>
      <c r="C4155" t="s">
        <v>25</v>
      </c>
      <c r="D4155" t="s">
        <v>14</v>
      </c>
      <c r="E4155" s="2">
        <v>10.26</v>
      </c>
      <c r="F4155" s="3">
        <v>28.55</v>
      </c>
      <c r="G4155" s="4">
        <v>118.37</v>
      </c>
      <c r="H4155">
        <v>1.2</v>
      </c>
      <c r="I4155" s="4">
        <v>142.04</v>
      </c>
      <c r="J4155">
        <v>4.9000000000000004</v>
      </c>
      <c r="K4155" t="s">
        <v>30</v>
      </c>
      <c r="L4155" t="s">
        <v>16</v>
      </c>
      <c r="O4155"/>
    </row>
    <row r="4156" spans="1:15" x14ac:dyDescent="0.3">
      <c r="A4156" t="s">
        <v>4180</v>
      </c>
      <c r="B4156" s="1">
        <v>45924</v>
      </c>
      <c r="C4156" t="s">
        <v>22</v>
      </c>
      <c r="D4156" t="s">
        <v>14</v>
      </c>
      <c r="E4156" s="2">
        <v>13.83</v>
      </c>
      <c r="F4156" s="3">
        <v>40.83</v>
      </c>
      <c r="G4156" s="4">
        <v>224.46</v>
      </c>
      <c r="H4156">
        <v>2</v>
      </c>
      <c r="I4156" s="4">
        <v>448.92</v>
      </c>
      <c r="J4156">
        <v>3.4</v>
      </c>
      <c r="K4156" t="s">
        <v>30</v>
      </c>
      <c r="L4156" t="s">
        <v>19</v>
      </c>
      <c r="O4156"/>
    </row>
    <row r="4157" spans="1:15" x14ac:dyDescent="0.3">
      <c r="A4157" t="s">
        <v>4181</v>
      </c>
      <c r="B4157" s="1">
        <v>45671</v>
      </c>
      <c r="C4157" t="s">
        <v>13</v>
      </c>
      <c r="D4157" t="s">
        <v>21</v>
      </c>
      <c r="E4157" s="2">
        <v>26.64</v>
      </c>
      <c r="F4157" s="3">
        <v>88.85</v>
      </c>
      <c r="G4157" s="4">
        <v>321.12</v>
      </c>
      <c r="H4157">
        <v>1.5</v>
      </c>
      <c r="I4157" s="4">
        <v>481.68</v>
      </c>
      <c r="J4157">
        <v>4.9000000000000004</v>
      </c>
      <c r="K4157" t="s">
        <v>15</v>
      </c>
      <c r="L4157" t="s">
        <v>28</v>
      </c>
      <c r="O4157"/>
    </row>
    <row r="4158" spans="1:15" x14ac:dyDescent="0.3">
      <c r="A4158" t="s">
        <v>4182</v>
      </c>
      <c r="B4158" s="1">
        <v>45904</v>
      </c>
      <c r="C4158" t="s">
        <v>14</v>
      </c>
      <c r="D4158" t="s">
        <v>22</v>
      </c>
      <c r="E4158" s="2">
        <v>5.61</v>
      </c>
      <c r="F4158" s="3">
        <v>15.05</v>
      </c>
      <c r="G4158" s="4">
        <v>65.11</v>
      </c>
      <c r="H4158">
        <v>1.2</v>
      </c>
      <c r="I4158" s="4">
        <v>78.13</v>
      </c>
      <c r="J4158">
        <v>3.6</v>
      </c>
      <c r="K4158" t="s">
        <v>30</v>
      </c>
      <c r="L4158" t="s">
        <v>16</v>
      </c>
      <c r="O4158"/>
    </row>
    <row r="4159" spans="1:15" x14ac:dyDescent="0.3">
      <c r="A4159" t="s">
        <v>4183</v>
      </c>
      <c r="B4159" s="1">
        <v>45899</v>
      </c>
      <c r="C4159" t="s">
        <v>14</v>
      </c>
      <c r="D4159" t="s">
        <v>21</v>
      </c>
      <c r="E4159" s="2">
        <v>25.37</v>
      </c>
      <c r="F4159" s="3">
        <v>98.55</v>
      </c>
      <c r="G4159" s="4">
        <v>425.36</v>
      </c>
      <c r="H4159">
        <v>1.2</v>
      </c>
      <c r="I4159" s="4">
        <v>510.43</v>
      </c>
      <c r="J4159">
        <v>4.7</v>
      </c>
      <c r="K4159" t="s">
        <v>33</v>
      </c>
      <c r="L4159" t="s">
        <v>26</v>
      </c>
      <c r="O4159"/>
    </row>
    <row r="4160" spans="1:15" x14ac:dyDescent="0.3">
      <c r="A4160" t="s">
        <v>4184</v>
      </c>
      <c r="B4160" s="1">
        <v>45866</v>
      </c>
      <c r="C4160" t="s">
        <v>25</v>
      </c>
      <c r="D4160" t="s">
        <v>25</v>
      </c>
      <c r="E4160" s="2">
        <v>14.84</v>
      </c>
      <c r="F4160" s="3">
        <v>47.63</v>
      </c>
      <c r="G4160" s="4">
        <v>247.63</v>
      </c>
      <c r="H4160">
        <v>2</v>
      </c>
      <c r="I4160" s="4">
        <v>495.26</v>
      </c>
      <c r="J4160">
        <v>4.8</v>
      </c>
      <c r="K4160" t="s">
        <v>33</v>
      </c>
      <c r="L4160" t="s">
        <v>28</v>
      </c>
      <c r="O4160"/>
    </row>
    <row r="4161" spans="1:15" x14ac:dyDescent="0.3">
      <c r="A4161" t="s">
        <v>4185</v>
      </c>
      <c r="B4161" s="1">
        <v>45882</v>
      </c>
      <c r="C4161" t="s">
        <v>21</v>
      </c>
      <c r="D4161" t="s">
        <v>14</v>
      </c>
      <c r="E4161" s="2">
        <v>26.84</v>
      </c>
      <c r="F4161" s="3">
        <v>58.05</v>
      </c>
      <c r="G4161" s="4">
        <v>393.54</v>
      </c>
      <c r="H4161">
        <v>2</v>
      </c>
      <c r="I4161" s="4">
        <v>787.08</v>
      </c>
      <c r="J4161">
        <v>4.0999999999999996</v>
      </c>
      <c r="K4161" t="s">
        <v>33</v>
      </c>
      <c r="L4161" t="s">
        <v>28</v>
      </c>
      <c r="O4161"/>
    </row>
    <row r="4162" spans="1:15" x14ac:dyDescent="0.3">
      <c r="A4162" t="s">
        <v>4186</v>
      </c>
      <c r="B4162" s="1">
        <v>45926</v>
      </c>
      <c r="C4162" t="s">
        <v>13</v>
      </c>
      <c r="D4162" t="s">
        <v>14</v>
      </c>
      <c r="E4162" s="2">
        <v>21.45</v>
      </c>
      <c r="F4162" s="3">
        <v>78.069999999999993</v>
      </c>
      <c r="G4162" s="4">
        <v>356.25</v>
      </c>
      <c r="H4162">
        <v>1</v>
      </c>
      <c r="I4162" s="4">
        <v>356.25</v>
      </c>
      <c r="J4162">
        <v>3.6</v>
      </c>
      <c r="K4162" t="s">
        <v>36</v>
      </c>
      <c r="L4162" t="s">
        <v>28</v>
      </c>
      <c r="O4162"/>
    </row>
    <row r="4163" spans="1:15" x14ac:dyDescent="0.3">
      <c r="A4163" t="s">
        <v>4187</v>
      </c>
      <c r="B4163" s="1">
        <v>45811</v>
      </c>
      <c r="C4163" t="s">
        <v>21</v>
      </c>
      <c r="D4163" t="s">
        <v>14</v>
      </c>
      <c r="E4163" s="2">
        <v>10.92</v>
      </c>
      <c r="F4163" s="3">
        <v>26.94</v>
      </c>
      <c r="G4163" s="4">
        <v>214.32</v>
      </c>
      <c r="H4163">
        <v>1.5</v>
      </c>
      <c r="I4163" s="4">
        <v>321.48</v>
      </c>
      <c r="J4163">
        <v>4.5</v>
      </c>
      <c r="K4163" t="s">
        <v>18</v>
      </c>
      <c r="L4163" t="s">
        <v>16</v>
      </c>
      <c r="O4163"/>
    </row>
    <row r="4164" spans="1:15" x14ac:dyDescent="0.3">
      <c r="A4164" t="s">
        <v>4188</v>
      </c>
      <c r="B4164" s="1">
        <v>45855</v>
      </c>
      <c r="C4164" t="s">
        <v>22</v>
      </c>
      <c r="D4164" t="s">
        <v>22</v>
      </c>
      <c r="E4164" s="2">
        <v>24.89</v>
      </c>
      <c r="F4164" s="3">
        <v>66.900000000000006</v>
      </c>
      <c r="G4164" s="4">
        <v>354.98</v>
      </c>
      <c r="H4164">
        <v>1.5</v>
      </c>
      <c r="I4164" s="4">
        <v>532.47</v>
      </c>
      <c r="J4164">
        <v>4.9000000000000004</v>
      </c>
      <c r="K4164" t="s">
        <v>15</v>
      </c>
      <c r="L4164" t="s">
        <v>19</v>
      </c>
      <c r="O4164"/>
    </row>
    <row r="4165" spans="1:15" x14ac:dyDescent="0.3">
      <c r="A4165" t="s">
        <v>4189</v>
      </c>
      <c r="B4165" s="1">
        <v>45917</v>
      </c>
      <c r="C4165" t="s">
        <v>21</v>
      </c>
      <c r="D4165" t="s">
        <v>21</v>
      </c>
      <c r="E4165" s="2">
        <v>12.04</v>
      </c>
      <c r="F4165" s="3">
        <v>42.26</v>
      </c>
      <c r="G4165" s="4">
        <v>122.62</v>
      </c>
      <c r="H4165">
        <v>1.2</v>
      </c>
      <c r="I4165" s="4">
        <v>147.13999999999999</v>
      </c>
      <c r="J4165">
        <v>3.1</v>
      </c>
      <c r="K4165" t="s">
        <v>33</v>
      </c>
      <c r="L4165" t="s">
        <v>28</v>
      </c>
      <c r="O4165"/>
    </row>
    <row r="4166" spans="1:15" x14ac:dyDescent="0.3">
      <c r="A4166" t="s">
        <v>4190</v>
      </c>
      <c r="B4166" s="1">
        <v>45699</v>
      </c>
      <c r="C4166" t="s">
        <v>25</v>
      </c>
      <c r="D4166" t="s">
        <v>21</v>
      </c>
      <c r="E4166" s="2">
        <v>11.53</v>
      </c>
      <c r="F4166" s="3">
        <v>40.93</v>
      </c>
      <c r="G4166" s="4">
        <v>202.04</v>
      </c>
      <c r="H4166">
        <v>1</v>
      </c>
      <c r="I4166" s="4">
        <v>202.04</v>
      </c>
      <c r="J4166">
        <v>3.4</v>
      </c>
      <c r="K4166" t="s">
        <v>18</v>
      </c>
      <c r="L4166" t="s">
        <v>26</v>
      </c>
      <c r="O4166"/>
    </row>
    <row r="4167" spans="1:15" x14ac:dyDescent="0.3">
      <c r="A4167" t="s">
        <v>4191</v>
      </c>
      <c r="B4167" s="1">
        <v>46005</v>
      </c>
      <c r="C4167" t="s">
        <v>25</v>
      </c>
      <c r="D4167" t="s">
        <v>13</v>
      </c>
      <c r="E4167" s="2">
        <v>14.5</v>
      </c>
      <c r="F4167" s="3">
        <v>54.08</v>
      </c>
      <c r="G4167" s="4">
        <v>257.89</v>
      </c>
      <c r="H4167">
        <v>1.5</v>
      </c>
      <c r="I4167" s="4">
        <v>386.84</v>
      </c>
      <c r="J4167">
        <v>3.1</v>
      </c>
      <c r="K4167" t="s">
        <v>18</v>
      </c>
      <c r="L4167" t="s">
        <v>28</v>
      </c>
      <c r="O4167"/>
    </row>
    <row r="4168" spans="1:15" x14ac:dyDescent="0.3">
      <c r="A4168" t="s">
        <v>4192</v>
      </c>
      <c r="B4168" s="1">
        <v>45662</v>
      </c>
      <c r="C4168" t="s">
        <v>14</v>
      </c>
      <c r="D4168" t="s">
        <v>21</v>
      </c>
      <c r="E4168" s="2">
        <v>14.52</v>
      </c>
      <c r="F4168" s="3">
        <v>57.34</v>
      </c>
      <c r="G4168" s="4">
        <v>273.14</v>
      </c>
      <c r="H4168">
        <v>1.5</v>
      </c>
      <c r="I4168" s="4">
        <v>409.71</v>
      </c>
      <c r="J4168">
        <v>4</v>
      </c>
      <c r="K4168" t="s">
        <v>15</v>
      </c>
      <c r="L4168" t="s">
        <v>19</v>
      </c>
      <c r="O4168"/>
    </row>
    <row r="4169" spans="1:15" x14ac:dyDescent="0.3">
      <c r="A4169" t="s">
        <v>4193</v>
      </c>
      <c r="B4169" s="1">
        <v>45880</v>
      </c>
      <c r="C4169" t="s">
        <v>14</v>
      </c>
      <c r="D4169" t="s">
        <v>21</v>
      </c>
      <c r="E4169" s="2">
        <v>28.17</v>
      </c>
      <c r="F4169" s="3">
        <v>56.84</v>
      </c>
      <c r="G4169" s="4">
        <v>484.79</v>
      </c>
      <c r="H4169">
        <v>1</v>
      </c>
      <c r="I4169" s="4">
        <v>484.79</v>
      </c>
      <c r="J4169">
        <v>3.4</v>
      </c>
      <c r="K4169" t="s">
        <v>36</v>
      </c>
      <c r="L4169" t="s">
        <v>19</v>
      </c>
      <c r="O4169"/>
    </row>
    <row r="4170" spans="1:15" x14ac:dyDescent="0.3">
      <c r="A4170" t="s">
        <v>4194</v>
      </c>
      <c r="B4170" s="1">
        <v>45682</v>
      </c>
      <c r="C4170" t="s">
        <v>14</v>
      </c>
      <c r="D4170" t="s">
        <v>25</v>
      </c>
      <c r="E4170" s="2">
        <v>12.6</v>
      </c>
      <c r="F4170" s="3">
        <v>37.950000000000003</v>
      </c>
      <c r="G4170" s="4">
        <v>207.23</v>
      </c>
      <c r="H4170">
        <v>2</v>
      </c>
      <c r="I4170" s="4">
        <v>414.46</v>
      </c>
      <c r="J4170">
        <v>3.5</v>
      </c>
      <c r="K4170" t="s">
        <v>33</v>
      </c>
      <c r="L4170" t="s">
        <v>28</v>
      </c>
      <c r="O4170"/>
    </row>
    <row r="4171" spans="1:15" x14ac:dyDescent="0.3">
      <c r="A4171" t="s">
        <v>4195</v>
      </c>
      <c r="B4171" s="1">
        <v>45973</v>
      </c>
      <c r="C4171" t="s">
        <v>21</v>
      </c>
      <c r="D4171" t="s">
        <v>21</v>
      </c>
      <c r="E4171" s="2">
        <v>2.3199999999999998</v>
      </c>
      <c r="F4171" s="3">
        <v>8.5299999999999994</v>
      </c>
      <c r="G4171" s="4">
        <v>46.15</v>
      </c>
      <c r="H4171">
        <v>2</v>
      </c>
      <c r="I4171" s="4">
        <v>92.3</v>
      </c>
      <c r="J4171">
        <v>4.2</v>
      </c>
      <c r="K4171" t="s">
        <v>36</v>
      </c>
      <c r="L4171" t="s">
        <v>26</v>
      </c>
      <c r="O4171"/>
    </row>
    <row r="4172" spans="1:15" x14ac:dyDescent="0.3">
      <c r="A4172" t="s">
        <v>4196</v>
      </c>
      <c r="B4172" s="1">
        <v>45850</v>
      </c>
      <c r="C4172" t="s">
        <v>14</v>
      </c>
      <c r="D4172" t="s">
        <v>14</v>
      </c>
      <c r="E4172" s="2">
        <v>16.87</v>
      </c>
      <c r="F4172" s="3">
        <v>49.25</v>
      </c>
      <c r="G4172" s="4">
        <v>224.61</v>
      </c>
      <c r="H4172">
        <v>2</v>
      </c>
      <c r="I4172" s="4">
        <v>449.22</v>
      </c>
      <c r="J4172">
        <v>3.9</v>
      </c>
      <c r="K4172" t="s">
        <v>30</v>
      </c>
      <c r="L4172" t="s">
        <v>19</v>
      </c>
      <c r="O4172"/>
    </row>
    <row r="4173" spans="1:15" x14ac:dyDescent="0.3">
      <c r="A4173" t="s">
        <v>4197</v>
      </c>
      <c r="B4173" s="1">
        <v>45901</v>
      </c>
      <c r="C4173" t="s">
        <v>21</v>
      </c>
      <c r="D4173" t="s">
        <v>13</v>
      </c>
      <c r="E4173" s="2">
        <v>4.04</v>
      </c>
      <c r="F4173" s="3">
        <v>8.3000000000000007</v>
      </c>
      <c r="G4173" s="4">
        <v>52.21</v>
      </c>
      <c r="H4173">
        <v>1.2</v>
      </c>
      <c r="I4173" s="4">
        <v>62.65</v>
      </c>
      <c r="J4173">
        <v>4.8</v>
      </c>
      <c r="K4173" t="s">
        <v>36</v>
      </c>
      <c r="L4173" t="s">
        <v>26</v>
      </c>
      <c r="O4173"/>
    </row>
    <row r="4174" spans="1:15" x14ac:dyDescent="0.3">
      <c r="A4174" t="s">
        <v>4198</v>
      </c>
      <c r="B4174" s="1">
        <v>45928</v>
      </c>
      <c r="C4174" t="s">
        <v>14</v>
      </c>
      <c r="D4174" t="s">
        <v>14</v>
      </c>
      <c r="E4174" s="2">
        <v>9.49</v>
      </c>
      <c r="F4174" s="3">
        <v>37.659999999999997</v>
      </c>
      <c r="G4174" s="4">
        <v>122.59</v>
      </c>
      <c r="H4174">
        <v>1.2</v>
      </c>
      <c r="I4174" s="4">
        <v>147.11000000000001</v>
      </c>
      <c r="J4174">
        <v>4.5</v>
      </c>
      <c r="K4174" t="s">
        <v>33</v>
      </c>
      <c r="L4174" t="s">
        <v>16</v>
      </c>
      <c r="O4174"/>
    </row>
    <row r="4175" spans="1:15" x14ac:dyDescent="0.3">
      <c r="A4175" t="s">
        <v>4199</v>
      </c>
      <c r="B4175" s="1">
        <v>45664</v>
      </c>
      <c r="C4175" t="s">
        <v>22</v>
      </c>
      <c r="D4175" t="s">
        <v>14</v>
      </c>
      <c r="E4175" s="2">
        <v>8.56</v>
      </c>
      <c r="F4175" s="3">
        <v>17.95</v>
      </c>
      <c r="G4175" s="4">
        <v>133.49</v>
      </c>
      <c r="H4175">
        <v>1.5</v>
      </c>
      <c r="I4175" s="4">
        <v>200.24</v>
      </c>
      <c r="J4175">
        <v>3.7</v>
      </c>
      <c r="K4175" t="s">
        <v>30</v>
      </c>
      <c r="L4175" t="s">
        <v>28</v>
      </c>
      <c r="O4175"/>
    </row>
    <row r="4176" spans="1:15" x14ac:dyDescent="0.3">
      <c r="A4176" t="s">
        <v>4200</v>
      </c>
      <c r="B4176" s="1">
        <v>45759</v>
      </c>
      <c r="C4176" t="s">
        <v>14</v>
      </c>
      <c r="D4176" t="s">
        <v>22</v>
      </c>
      <c r="E4176" s="2">
        <v>11.67</v>
      </c>
      <c r="F4176" s="3">
        <v>23.73</v>
      </c>
      <c r="G4176" s="4">
        <v>214.67</v>
      </c>
      <c r="H4176">
        <v>1.5</v>
      </c>
      <c r="I4176" s="4">
        <v>322</v>
      </c>
      <c r="J4176">
        <v>3.5</v>
      </c>
      <c r="K4176" t="s">
        <v>33</v>
      </c>
      <c r="L4176" t="s">
        <v>19</v>
      </c>
      <c r="O4176"/>
    </row>
    <row r="4177" spans="1:15" x14ac:dyDescent="0.3">
      <c r="A4177" t="s">
        <v>4201</v>
      </c>
      <c r="B4177" s="1">
        <v>45806</v>
      </c>
      <c r="C4177" t="s">
        <v>25</v>
      </c>
      <c r="D4177" t="s">
        <v>13</v>
      </c>
      <c r="E4177" s="2">
        <v>11.58</v>
      </c>
      <c r="F4177" s="3">
        <v>45.28</v>
      </c>
      <c r="G4177" s="4">
        <v>161.19999999999999</v>
      </c>
      <c r="H4177">
        <v>1</v>
      </c>
      <c r="I4177" s="4">
        <v>161.19999999999999</v>
      </c>
      <c r="J4177">
        <v>3.1</v>
      </c>
      <c r="K4177" t="s">
        <v>36</v>
      </c>
      <c r="L4177" t="s">
        <v>19</v>
      </c>
      <c r="O4177"/>
    </row>
    <row r="4178" spans="1:15" x14ac:dyDescent="0.3">
      <c r="A4178" t="s">
        <v>4202</v>
      </c>
      <c r="B4178" s="1">
        <v>45769</v>
      </c>
      <c r="C4178" t="s">
        <v>25</v>
      </c>
      <c r="D4178" t="s">
        <v>22</v>
      </c>
      <c r="E4178" s="2">
        <v>18.29</v>
      </c>
      <c r="F4178" s="3">
        <v>72.36</v>
      </c>
      <c r="G4178" s="4">
        <v>365.34</v>
      </c>
      <c r="H4178">
        <v>2</v>
      </c>
      <c r="I4178" s="4">
        <v>730.68</v>
      </c>
      <c r="J4178">
        <v>3.4</v>
      </c>
      <c r="K4178" t="s">
        <v>18</v>
      </c>
      <c r="L4178" t="s">
        <v>26</v>
      </c>
      <c r="O4178"/>
    </row>
    <row r="4179" spans="1:15" x14ac:dyDescent="0.3">
      <c r="A4179" t="s">
        <v>4203</v>
      </c>
      <c r="B4179" s="1">
        <v>45981</v>
      </c>
      <c r="C4179" t="s">
        <v>25</v>
      </c>
      <c r="D4179" t="s">
        <v>13</v>
      </c>
      <c r="E4179" s="2">
        <v>15.34</v>
      </c>
      <c r="F4179" s="3">
        <v>41.62</v>
      </c>
      <c r="G4179" s="4">
        <v>304.58999999999997</v>
      </c>
      <c r="H4179">
        <v>1.5</v>
      </c>
      <c r="I4179" s="4">
        <v>456.88</v>
      </c>
      <c r="J4179">
        <v>3.4</v>
      </c>
      <c r="K4179" t="s">
        <v>18</v>
      </c>
      <c r="L4179" t="s">
        <v>19</v>
      </c>
      <c r="O4179"/>
    </row>
    <row r="4180" spans="1:15" x14ac:dyDescent="0.3">
      <c r="A4180" t="s">
        <v>4204</v>
      </c>
      <c r="B4180" s="1">
        <v>45806</v>
      </c>
      <c r="C4180" t="s">
        <v>14</v>
      </c>
      <c r="D4180" t="s">
        <v>13</v>
      </c>
      <c r="E4180" s="2">
        <v>1.82</v>
      </c>
      <c r="F4180" s="3">
        <v>4.88</v>
      </c>
      <c r="G4180" s="4">
        <v>31.8</v>
      </c>
      <c r="H4180">
        <v>2</v>
      </c>
      <c r="I4180" s="4">
        <v>63.6</v>
      </c>
      <c r="J4180">
        <v>3.4</v>
      </c>
      <c r="K4180" t="s">
        <v>30</v>
      </c>
      <c r="L4180" t="s">
        <v>16</v>
      </c>
      <c r="O4180"/>
    </row>
    <row r="4181" spans="1:15" x14ac:dyDescent="0.3">
      <c r="A4181" t="s">
        <v>4205</v>
      </c>
      <c r="B4181" s="1">
        <v>45938</v>
      </c>
      <c r="C4181" t="s">
        <v>13</v>
      </c>
      <c r="D4181" t="s">
        <v>25</v>
      </c>
      <c r="E4181" s="2">
        <v>11.29</v>
      </c>
      <c r="F4181" s="3">
        <v>43.31</v>
      </c>
      <c r="G4181" s="4">
        <v>225.41</v>
      </c>
      <c r="H4181">
        <v>1.5</v>
      </c>
      <c r="I4181" s="4">
        <v>338.12</v>
      </c>
      <c r="J4181">
        <v>4.4000000000000004</v>
      </c>
      <c r="K4181" t="s">
        <v>15</v>
      </c>
      <c r="L4181" t="s">
        <v>26</v>
      </c>
      <c r="O4181"/>
    </row>
    <row r="4182" spans="1:15" x14ac:dyDescent="0.3">
      <c r="A4182" t="s">
        <v>4206</v>
      </c>
      <c r="B4182" s="1">
        <v>45757</v>
      </c>
      <c r="C4182" t="s">
        <v>22</v>
      </c>
      <c r="D4182" t="s">
        <v>25</v>
      </c>
      <c r="E4182" s="2">
        <v>17.190000000000001</v>
      </c>
      <c r="F4182" s="3">
        <v>54.69</v>
      </c>
      <c r="G4182" s="4">
        <v>264.55</v>
      </c>
      <c r="H4182">
        <v>1.5</v>
      </c>
      <c r="I4182" s="4">
        <v>396.83</v>
      </c>
      <c r="J4182">
        <v>3.6</v>
      </c>
      <c r="K4182" t="s">
        <v>30</v>
      </c>
      <c r="L4182" t="s">
        <v>26</v>
      </c>
      <c r="O4182"/>
    </row>
    <row r="4183" spans="1:15" x14ac:dyDescent="0.3">
      <c r="A4183" t="s">
        <v>4207</v>
      </c>
      <c r="B4183" s="1">
        <v>46008</v>
      </c>
      <c r="C4183" t="s">
        <v>14</v>
      </c>
      <c r="D4183" t="s">
        <v>13</v>
      </c>
      <c r="E4183" s="2">
        <v>20.41</v>
      </c>
      <c r="F4183" s="3">
        <v>45.78</v>
      </c>
      <c r="G4183" s="4">
        <v>258.33</v>
      </c>
      <c r="H4183">
        <v>1</v>
      </c>
      <c r="I4183" s="4">
        <v>258.33</v>
      </c>
      <c r="J4183">
        <v>3.9</v>
      </c>
      <c r="K4183" t="s">
        <v>33</v>
      </c>
      <c r="L4183" t="s">
        <v>16</v>
      </c>
      <c r="O4183"/>
    </row>
    <row r="4184" spans="1:15" x14ac:dyDescent="0.3">
      <c r="A4184" t="s">
        <v>4208</v>
      </c>
      <c r="B4184" s="1">
        <v>45784</v>
      </c>
      <c r="C4184" t="s">
        <v>14</v>
      </c>
      <c r="D4184" t="s">
        <v>25</v>
      </c>
      <c r="E4184" s="2">
        <v>16.63</v>
      </c>
      <c r="F4184" s="3">
        <v>34.31</v>
      </c>
      <c r="G4184" s="4">
        <v>320.45999999999998</v>
      </c>
      <c r="H4184">
        <v>2</v>
      </c>
      <c r="I4184" s="4">
        <v>640.91999999999996</v>
      </c>
      <c r="J4184">
        <v>4.2</v>
      </c>
      <c r="K4184" t="s">
        <v>15</v>
      </c>
      <c r="L4184" t="s">
        <v>19</v>
      </c>
      <c r="O4184"/>
    </row>
    <row r="4185" spans="1:15" x14ac:dyDescent="0.3">
      <c r="A4185" t="s">
        <v>4209</v>
      </c>
      <c r="B4185" s="1">
        <v>45876</v>
      </c>
      <c r="C4185" t="s">
        <v>25</v>
      </c>
      <c r="D4185" t="s">
        <v>13</v>
      </c>
      <c r="E4185" s="2">
        <v>7.94</v>
      </c>
      <c r="F4185" s="3">
        <v>29.07</v>
      </c>
      <c r="G4185" s="4">
        <v>139.84</v>
      </c>
      <c r="H4185">
        <v>1</v>
      </c>
      <c r="I4185" s="4">
        <v>139.84</v>
      </c>
      <c r="J4185">
        <v>3.3</v>
      </c>
      <c r="K4185" t="s">
        <v>18</v>
      </c>
      <c r="L4185" t="s">
        <v>26</v>
      </c>
      <c r="O4185"/>
    </row>
    <row r="4186" spans="1:15" x14ac:dyDescent="0.3">
      <c r="A4186" t="s">
        <v>4210</v>
      </c>
      <c r="B4186" s="1">
        <v>45819</v>
      </c>
      <c r="C4186" t="s">
        <v>13</v>
      </c>
      <c r="D4186" t="s">
        <v>13</v>
      </c>
      <c r="E4186" s="2">
        <v>26.78</v>
      </c>
      <c r="F4186" s="3">
        <v>53.87</v>
      </c>
      <c r="G4186" s="4">
        <v>485.65</v>
      </c>
      <c r="H4186">
        <v>1.2</v>
      </c>
      <c r="I4186" s="4">
        <v>582.78</v>
      </c>
      <c r="J4186">
        <v>3</v>
      </c>
      <c r="K4186" t="s">
        <v>30</v>
      </c>
      <c r="L4186" t="s">
        <v>28</v>
      </c>
      <c r="O4186"/>
    </row>
    <row r="4187" spans="1:15" x14ac:dyDescent="0.3">
      <c r="A4187" t="s">
        <v>4211</v>
      </c>
      <c r="B4187" s="1">
        <v>45805</v>
      </c>
      <c r="C4187" t="s">
        <v>21</v>
      </c>
      <c r="D4187" t="s">
        <v>14</v>
      </c>
      <c r="E4187" s="2">
        <v>11.77</v>
      </c>
      <c r="F4187" s="3">
        <v>37.81</v>
      </c>
      <c r="G4187" s="4">
        <v>193.83</v>
      </c>
      <c r="H4187">
        <v>2</v>
      </c>
      <c r="I4187" s="4">
        <v>387.66</v>
      </c>
      <c r="J4187">
        <v>4.0999999999999996</v>
      </c>
      <c r="K4187" t="s">
        <v>33</v>
      </c>
      <c r="L4187" t="s">
        <v>16</v>
      </c>
      <c r="O4187"/>
    </row>
    <row r="4188" spans="1:15" x14ac:dyDescent="0.3">
      <c r="A4188" t="s">
        <v>4212</v>
      </c>
      <c r="B4188" s="1">
        <v>45719</v>
      </c>
      <c r="C4188" t="s">
        <v>22</v>
      </c>
      <c r="D4188" t="s">
        <v>21</v>
      </c>
      <c r="E4188" s="2">
        <v>22.06</v>
      </c>
      <c r="F4188" s="3">
        <v>65.13</v>
      </c>
      <c r="G4188" s="4">
        <v>223.68</v>
      </c>
      <c r="H4188">
        <v>1.2</v>
      </c>
      <c r="I4188" s="4">
        <v>268.42</v>
      </c>
      <c r="J4188">
        <v>3</v>
      </c>
      <c r="K4188" t="s">
        <v>15</v>
      </c>
      <c r="L4188" t="s">
        <v>28</v>
      </c>
      <c r="O4188"/>
    </row>
    <row r="4189" spans="1:15" x14ac:dyDescent="0.3">
      <c r="A4189" t="s">
        <v>4213</v>
      </c>
      <c r="B4189" s="1">
        <v>45977</v>
      </c>
      <c r="C4189" t="s">
        <v>13</v>
      </c>
      <c r="D4189" t="s">
        <v>13</v>
      </c>
      <c r="E4189" s="2">
        <v>11.25</v>
      </c>
      <c r="F4189" s="3">
        <v>23.93</v>
      </c>
      <c r="G4189" s="4">
        <v>145.80000000000001</v>
      </c>
      <c r="H4189">
        <v>1.5</v>
      </c>
      <c r="I4189" s="4">
        <v>218.7</v>
      </c>
      <c r="J4189">
        <v>3.5</v>
      </c>
      <c r="K4189" t="s">
        <v>36</v>
      </c>
      <c r="L4189" t="s">
        <v>19</v>
      </c>
      <c r="O4189"/>
    </row>
    <row r="4190" spans="1:15" x14ac:dyDescent="0.3">
      <c r="A4190" t="s">
        <v>4214</v>
      </c>
      <c r="B4190" s="1">
        <v>45946</v>
      </c>
      <c r="C4190" t="s">
        <v>21</v>
      </c>
      <c r="D4190" t="s">
        <v>14</v>
      </c>
      <c r="E4190" s="2">
        <v>8.5500000000000007</v>
      </c>
      <c r="F4190" s="3">
        <v>24.22</v>
      </c>
      <c r="G4190" s="4">
        <v>143.74</v>
      </c>
      <c r="H4190">
        <v>1.2</v>
      </c>
      <c r="I4190" s="4">
        <v>172.49</v>
      </c>
      <c r="J4190">
        <v>3.6</v>
      </c>
      <c r="K4190" t="s">
        <v>18</v>
      </c>
      <c r="L4190" t="s">
        <v>19</v>
      </c>
      <c r="O4190"/>
    </row>
    <row r="4191" spans="1:15" x14ac:dyDescent="0.3">
      <c r="A4191" t="s">
        <v>4215</v>
      </c>
      <c r="B4191" s="1">
        <v>45851</v>
      </c>
      <c r="C4191" t="s">
        <v>13</v>
      </c>
      <c r="D4191" t="s">
        <v>21</v>
      </c>
      <c r="E4191" s="2">
        <v>9.73</v>
      </c>
      <c r="F4191" s="3">
        <v>30.53</v>
      </c>
      <c r="G4191" s="4">
        <v>157.46</v>
      </c>
      <c r="H4191">
        <v>2</v>
      </c>
      <c r="I4191" s="4">
        <v>314.92</v>
      </c>
      <c r="J4191">
        <v>4.4000000000000004</v>
      </c>
      <c r="K4191" t="s">
        <v>36</v>
      </c>
      <c r="L4191" t="s">
        <v>28</v>
      </c>
      <c r="O4191"/>
    </row>
    <row r="4192" spans="1:15" x14ac:dyDescent="0.3">
      <c r="A4192" t="s">
        <v>4216</v>
      </c>
      <c r="B4192" s="1">
        <v>45997</v>
      </c>
      <c r="C4192" t="s">
        <v>13</v>
      </c>
      <c r="D4192" t="s">
        <v>22</v>
      </c>
      <c r="E4192" s="2">
        <v>16.309999999999999</v>
      </c>
      <c r="F4192" s="3">
        <v>59.62</v>
      </c>
      <c r="G4192" s="4">
        <v>199.34</v>
      </c>
      <c r="H4192">
        <v>1</v>
      </c>
      <c r="I4192" s="4">
        <v>199.34</v>
      </c>
      <c r="J4192">
        <v>4.7</v>
      </c>
      <c r="K4192" t="s">
        <v>30</v>
      </c>
      <c r="L4192" t="s">
        <v>28</v>
      </c>
      <c r="O4192"/>
    </row>
    <row r="4193" spans="1:15" x14ac:dyDescent="0.3">
      <c r="A4193" t="s">
        <v>4217</v>
      </c>
      <c r="B4193" s="1">
        <v>45973</v>
      </c>
      <c r="C4193" t="s">
        <v>22</v>
      </c>
      <c r="D4193" t="s">
        <v>22</v>
      </c>
      <c r="E4193" s="2">
        <v>21.41</v>
      </c>
      <c r="F4193" s="3">
        <v>76.72</v>
      </c>
      <c r="G4193" s="4">
        <v>381.51</v>
      </c>
      <c r="H4193">
        <v>1.5</v>
      </c>
      <c r="I4193" s="4">
        <v>572.26</v>
      </c>
      <c r="J4193">
        <v>3.8</v>
      </c>
      <c r="K4193" t="s">
        <v>33</v>
      </c>
      <c r="L4193" t="s">
        <v>28</v>
      </c>
      <c r="O4193"/>
    </row>
    <row r="4194" spans="1:15" x14ac:dyDescent="0.3">
      <c r="A4194" t="s">
        <v>4218</v>
      </c>
      <c r="B4194" s="1">
        <v>45824</v>
      </c>
      <c r="C4194" t="s">
        <v>14</v>
      </c>
      <c r="D4194" t="s">
        <v>13</v>
      </c>
      <c r="E4194" s="2">
        <v>8.5399999999999991</v>
      </c>
      <c r="F4194" s="3">
        <v>33.04</v>
      </c>
      <c r="G4194" s="4">
        <v>127.03</v>
      </c>
      <c r="H4194">
        <v>1</v>
      </c>
      <c r="I4194" s="4">
        <v>127.03</v>
      </c>
      <c r="J4194">
        <v>3.1</v>
      </c>
      <c r="K4194" t="s">
        <v>36</v>
      </c>
      <c r="L4194" t="s">
        <v>26</v>
      </c>
      <c r="O4194"/>
    </row>
    <row r="4195" spans="1:15" x14ac:dyDescent="0.3">
      <c r="A4195" t="s">
        <v>4219</v>
      </c>
      <c r="B4195" s="1">
        <v>45789</v>
      </c>
      <c r="C4195" t="s">
        <v>14</v>
      </c>
      <c r="D4195" t="s">
        <v>13</v>
      </c>
      <c r="E4195" s="2">
        <v>26.29</v>
      </c>
      <c r="F4195" s="3">
        <v>97.12</v>
      </c>
      <c r="G4195" s="4">
        <v>499.6</v>
      </c>
      <c r="H4195">
        <v>2</v>
      </c>
      <c r="I4195" s="4">
        <v>999.2</v>
      </c>
      <c r="J4195">
        <v>3.3</v>
      </c>
      <c r="K4195" t="s">
        <v>15</v>
      </c>
      <c r="L4195" t="s">
        <v>26</v>
      </c>
      <c r="O4195"/>
    </row>
    <row r="4196" spans="1:15" x14ac:dyDescent="0.3">
      <c r="A4196" t="s">
        <v>4220</v>
      </c>
      <c r="B4196" s="1">
        <v>45709</v>
      </c>
      <c r="C4196" t="s">
        <v>25</v>
      </c>
      <c r="D4196" t="s">
        <v>25</v>
      </c>
      <c r="E4196" s="2">
        <v>9.07</v>
      </c>
      <c r="F4196" s="3">
        <v>21.42</v>
      </c>
      <c r="G4196" s="4">
        <v>92.69</v>
      </c>
      <c r="H4196">
        <v>2</v>
      </c>
      <c r="I4196" s="4">
        <v>185.38</v>
      </c>
      <c r="J4196">
        <v>4.2</v>
      </c>
      <c r="K4196" t="s">
        <v>15</v>
      </c>
      <c r="L4196" t="s">
        <v>28</v>
      </c>
      <c r="O4196"/>
    </row>
    <row r="4197" spans="1:15" x14ac:dyDescent="0.3">
      <c r="A4197" t="s">
        <v>4221</v>
      </c>
      <c r="B4197" s="1">
        <v>45911</v>
      </c>
      <c r="C4197" t="s">
        <v>21</v>
      </c>
      <c r="D4197" t="s">
        <v>21</v>
      </c>
      <c r="E4197" s="2">
        <v>27.22</v>
      </c>
      <c r="F4197" s="3">
        <v>61.7</v>
      </c>
      <c r="G4197" s="4">
        <v>522.08000000000004</v>
      </c>
      <c r="H4197">
        <v>1.2</v>
      </c>
      <c r="I4197" s="4">
        <v>626.5</v>
      </c>
      <c r="J4197">
        <v>4</v>
      </c>
      <c r="K4197" t="s">
        <v>30</v>
      </c>
      <c r="L4197" t="s">
        <v>19</v>
      </c>
      <c r="O4197"/>
    </row>
    <row r="4198" spans="1:15" x14ac:dyDescent="0.3">
      <c r="A4198" t="s">
        <v>4222</v>
      </c>
      <c r="B4198" s="1">
        <v>45837</v>
      </c>
      <c r="C4198" t="s">
        <v>13</v>
      </c>
      <c r="D4198" t="s">
        <v>13</v>
      </c>
      <c r="E4198" s="2">
        <v>11.58</v>
      </c>
      <c r="F4198" s="3">
        <v>32.619999999999997</v>
      </c>
      <c r="G4198" s="4">
        <v>145.81</v>
      </c>
      <c r="H4198">
        <v>2</v>
      </c>
      <c r="I4198" s="4">
        <v>291.62</v>
      </c>
      <c r="J4198">
        <v>4.4000000000000004</v>
      </c>
      <c r="K4198" t="s">
        <v>15</v>
      </c>
      <c r="L4198" t="s">
        <v>28</v>
      </c>
      <c r="O4198"/>
    </row>
    <row r="4199" spans="1:15" x14ac:dyDescent="0.3">
      <c r="A4199" t="s">
        <v>4223</v>
      </c>
      <c r="B4199" s="1">
        <v>45861</v>
      </c>
      <c r="C4199" t="s">
        <v>25</v>
      </c>
      <c r="D4199" t="s">
        <v>21</v>
      </c>
      <c r="E4199" s="2">
        <v>3.83</v>
      </c>
      <c r="F4199" s="3">
        <v>11.25</v>
      </c>
      <c r="G4199" s="4">
        <v>41.42</v>
      </c>
      <c r="H4199">
        <v>2</v>
      </c>
      <c r="I4199" s="4">
        <v>82.84</v>
      </c>
      <c r="J4199">
        <v>4.9000000000000004</v>
      </c>
      <c r="K4199" t="s">
        <v>30</v>
      </c>
      <c r="L4199" t="s">
        <v>26</v>
      </c>
      <c r="O4199"/>
    </row>
    <row r="4200" spans="1:15" x14ac:dyDescent="0.3">
      <c r="A4200" t="s">
        <v>4224</v>
      </c>
      <c r="B4200" s="1">
        <v>45767</v>
      </c>
      <c r="C4200" t="s">
        <v>21</v>
      </c>
      <c r="D4200" t="s">
        <v>13</v>
      </c>
      <c r="E4200" s="2">
        <v>28.91</v>
      </c>
      <c r="F4200" s="3">
        <v>66.42</v>
      </c>
      <c r="G4200" s="4">
        <v>443.02</v>
      </c>
      <c r="H4200">
        <v>2</v>
      </c>
      <c r="I4200" s="4">
        <v>886.04</v>
      </c>
      <c r="J4200">
        <v>3.1</v>
      </c>
      <c r="K4200" t="s">
        <v>33</v>
      </c>
      <c r="L4200" t="s">
        <v>16</v>
      </c>
      <c r="O4200"/>
    </row>
    <row r="4201" spans="1:15" x14ac:dyDescent="0.3">
      <c r="A4201" t="s">
        <v>4225</v>
      </c>
      <c r="B4201" s="1">
        <v>45956</v>
      </c>
      <c r="C4201" t="s">
        <v>22</v>
      </c>
      <c r="D4201" t="s">
        <v>21</v>
      </c>
      <c r="E4201" s="2">
        <v>5.22</v>
      </c>
      <c r="F4201" s="3">
        <v>15</v>
      </c>
      <c r="G4201" s="4">
        <v>86.38</v>
      </c>
      <c r="H4201">
        <v>1.5</v>
      </c>
      <c r="I4201" s="4">
        <v>129.57</v>
      </c>
      <c r="J4201">
        <v>3.9</v>
      </c>
      <c r="K4201" t="s">
        <v>15</v>
      </c>
      <c r="L4201" t="s">
        <v>26</v>
      </c>
      <c r="O4201"/>
    </row>
    <row r="4202" spans="1:15" x14ac:dyDescent="0.3">
      <c r="A4202" t="s">
        <v>4226</v>
      </c>
      <c r="B4202" s="1">
        <v>45912</v>
      </c>
      <c r="C4202" t="s">
        <v>13</v>
      </c>
      <c r="D4202" t="s">
        <v>25</v>
      </c>
      <c r="E4202" s="2">
        <v>15.89</v>
      </c>
      <c r="F4202" s="3">
        <v>32.85</v>
      </c>
      <c r="G4202" s="4">
        <v>240.89</v>
      </c>
      <c r="H4202">
        <v>1.5</v>
      </c>
      <c r="I4202" s="4">
        <v>361.34</v>
      </c>
      <c r="J4202">
        <v>4.7</v>
      </c>
      <c r="K4202" t="s">
        <v>33</v>
      </c>
      <c r="L4202" t="s">
        <v>28</v>
      </c>
      <c r="O4202"/>
    </row>
    <row r="4203" spans="1:15" x14ac:dyDescent="0.3">
      <c r="A4203" t="s">
        <v>4227</v>
      </c>
      <c r="B4203" s="1">
        <v>45933</v>
      </c>
      <c r="C4203" t="s">
        <v>25</v>
      </c>
      <c r="D4203" t="s">
        <v>25</v>
      </c>
      <c r="E4203" s="2">
        <v>23.11</v>
      </c>
      <c r="F4203" s="3">
        <v>52.49</v>
      </c>
      <c r="G4203" s="4">
        <v>434.05</v>
      </c>
      <c r="H4203">
        <v>2</v>
      </c>
      <c r="I4203" s="4">
        <v>868.1</v>
      </c>
      <c r="J4203">
        <v>3.2</v>
      </c>
      <c r="K4203" t="s">
        <v>33</v>
      </c>
      <c r="L4203" t="s">
        <v>28</v>
      </c>
      <c r="O4203"/>
    </row>
    <row r="4204" spans="1:15" x14ac:dyDescent="0.3">
      <c r="A4204" t="s">
        <v>4228</v>
      </c>
      <c r="B4204" s="1">
        <v>45762</v>
      </c>
      <c r="C4204" t="s">
        <v>22</v>
      </c>
      <c r="D4204" t="s">
        <v>13</v>
      </c>
      <c r="E4204" s="2">
        <v>25.44</v>
      </c>
      <c r="F4204" s="3">
        <v>76.63</v>
      </c>
      <c r="G4204" s="4">
        <v>371.78</v>
      </c>
      <c r="H4204">
        <v>1.5</v>
      </c>
      <c r="I4204" s="4">
        <v>557.66999999999996</v>
      </c>
      <c r="J4204">
        <v>3.9</v>
      </c>
      <c r="K4204" t="s">
        <v>18</v>
      </c>
      <c r="L4204" t="s">
        <v>16</v>
      </c>
      <c r="O4204"/>
    </row>
    <row r="4205" spans="1:15" x14ac:dyDescent="0.3">
      <c r="A4205" t="s">
        <v>4229</v>
      </c>
      <c r="B4205" s="1">
        <v>46019</v>
      </c>
      <c r="C4205" t="s">
        <v>25</v>
      </c>
      <c r="D4205" t="s">
        <v>14</v>
      </c>
      <c r="E4205" s="2">
        <v>28.56</v>
      </c>
      <c r="F4205" s="3">
        <v>69.16</v>
      </c>
      <c r="G4205" s="4">
        <v>336.73</v>
      </c>
      <c r="H4205">
        <v>2</v>
      </c>
      <c r="I4205" s="4">
        <v>673.46</v>
      </c>
      <c r="J4205">
        <v>3.7</v>
      </c>
      <c r="K4205" t="s">
        <v>33</v>
      </c>
      <c r="L4205" t="s">
        <v>28</v>
      </c>
      <c r="O4205"/>
    </row>
    <row r="4206" spans="1:15" x14ac:dyDescent="0.3">
      <c r="A4206" t="s">
        <v>4230</v>
      </c>
      <c r="B4206" s="1">
        <v>45898</v>
      </c>
      <c r="C4206" t="s">
        <v>13</v>
      </c>
      <c r="D4206" t="s">
        <v>13</v>
      </c>
      <c r="E4206" s="2">
        <v>18</v>
      </c>
      <c r="F4206" s="3">
        <v>45.13</v>
      </c>
      <c r="G4206" s="4">
        <v>327.20999999999998</v>
      </c>
      <c r="H4206">
        <v>1.5</v>
      </c>
      <c r="I4206" s="4">
        <v>490.81</v>
      </c>
      <c r="J4206">
        <v>3.8</v>
      </c>
      <c r="K4206" t="s">
        <v>15</v>
      </c>
      <c r="L4206" t="s">
        <v>26</v>
      </c>
      <c r="O4206"/>
    </row>
    <row r="4207" spans="1:15" x14ac:dyDescent="0.3">
      <c r="A4207" t="s">
        <v>4231</v>
      </c>
      <c r="B4207" s="1">
        <v>45674</v>
      </c>
      <c r="C4207" t="s">
        <v>25</v>
      </c>
      <c r="D4207" t="s">
        <v>13</v>
      </c>
      <c r="E4207" s="2">
        <v>13.73</v>
      </c>
      <c r="F4207" s="3">
        <v>47.54</v>
      </c>
      <c r="G4207" s="4">
        <v>264.64</v>
      </c>
      <c r="H4207">
        <v>2</v>
      </c>
      <c r="I4207" s="4">
        <v>529.28</v>
      </c>
      <c r="J4207">
        <v>4.0999999999999996</v>
      </c>
      <c r="K4207" t="s">
        <v>36</v>
      </c>
      <c r="L4207" t="s">
        <v>16</v>
      </c>
      <c r="O4207"/>
    </row>
    <row r="4208" spans="1:15" x14ac:dyDescent="0.3">
      <c r="A4208" t="s">
        <v>4232</v>
      </c>
      <c r="B4208" s="1">
        <v>45696</v>
      </c>
      <c r="C4208" t="s">
        <v>25</v>
      </c>
      <c r="D4208" t="s">
        <v>21</v>
      </c>
      <c r="E4208" s="2">
        <v>24.38</v>
      </c>
      <c r="F4208" s="3">
        <v>71.22</v>
      </c>
      <c r="G4208" s="4">
        <v>262.16000000000003</v>
      </c>
      <c r="H4208">
        <v>1</v>
      </c>
      <c r="I4208" s="4">
        <v>262.16000000000003</v>
      </c>
      <c r="J4208">
        <v>4.5999999999999996</v>
      </c>
      <c r="K4208" t="s">
        <v>30</v>
      </c>
      <c r="L4208" t="s">
        <v>19</v>
      </c>
      <c r="O4208"/>
    </row>
    <row r="4209" spans="1:15" x14ac:dyDescent="0.3">
      <c r="A4209" t="s">
        <v>4233</v>
      </c>
      <c r="B4209" s="1">
        <v>45676</v>
      </c>
      <c r="C4209" t="s">
        <v>14</v>
      </c>
      <c r="D4209" t="s">
        <v>22</v>
      </c>
      <c r="E4209" s="2">
        <v>2.42</v>
      </c>
      <c r="F4209" s="3">
        <v>9.2100000000000009</v>
      </c>
      <c r="G4209" s="4">
        <v>35.89</v>
      </c>
      <c r="H4209">
        <v>1</v>
      </c>
      <c r="I4209" s="4">
        <v>35.89</v>
      </c>
      <c r="J4209">
        <v>3.4</v>
      </c>
      <c r="K4209" t="s">
        <v>33</v>
      </c>
      <c r="L4209" t="s">
        <v>19</v>
      </c>
      <c r="O4209"/>
    </row>
    <row r="4210" spans="1:15" x14ac:dyDescent="0.3">
      <c r="A4210" t="s">
        <v>4234</v>
      </c>
      <c r="B4210" s="1">
        <v>45706</v>
      </c>
      <c r="C4210" t="s">
        <v>21</v>
      </c>
      <c r="D4210" t="s">
        <v>25</v>
      </c>
      <c r="E4210" s="2">
        <v>26.69</v>
      </c>
      <c r="F4210" s="3">
        <v>53.4</v>
      </c>
      <c r="G4210" s="4">
        <v>450.49</v>
      </c>
      <c r="H4210">
        <v>1.5</v>
      </c>
      <c r="I4210" s="4">
        <v>675.74</v>
      </c>
      <c r="J4210">
        <v>4.8</v>
      </c>
      <c r="K4210" t="s">
        <v>15</v>
      </c>
      <c r="L4210" t="s">
        <v>26</v>
      </c>
      <c r="O4210"/>
    </row>
    <row r="4211" spans="1:15" x14ac:dyDescent="0.3">
      <c r="A4211" t="s">
        <v>4235</v>
      </c>
      <c r="B4211" s="1">
        <v>45858</v>
      </c>
      <c r="C4211" t="s">
        <v>14</v>
      </c>
      <c r="D4211" t="s">
        <v>13</v>
      </c>
      <c r="E4211" s="2">
        <v>7.57</v>
      </c>
      <c r="F4211" s="3">
        <v>22.64</v>
      </c>
      <c r="G4211" s="4">
        <v>122.29</v>
      </c>
      <c r="H4211">
        <v>1</v>
      </c>
      <c r="I4211" s="4">
        <v>122.29</v>
      </c>
      <c r="J4211">
        <v>3.2</v>
      </c>
      <c r="K4211" t="s">
        <v>30</v>
      </c>
      <c r="L4211" t="s">
        <v>16</v>
      </c>
      <c r="O4211"/>
    </row>
    <row r="4212" spans="1:15" x14ac:dyDescent="0.3">
      <c r="A4212" t="s">
        <v>4236</v>
      </c>
      <c r="B4212" s="1">
        <v>45670</v>
      </c>
      <c r="C4212" t="s">
        <v>21</v>
      </c>
      <c r="D4212" t="s">
        <v>13</v>
      </c>
      <c r="E4212" s="2">
        <v>7.32</v>
      </c>
      <c r="F4212" s="3">
        <v>18.670000000000002</v>
      </c>
      <c r="G4212" s="4">
        <v>122.47</v>
      </c>
      <c r="H4212">
        <v>2</v>
      </c>
      <c r="I4212" s="4">
        <v>244.94</v>
      </c>
      <c r="J4212">
        <v>3</v>
      </c>
      <c r="K4212" t="s">
        <v>18</v>
      </c>
      <c r="L4212" t="s">
        <v>16</v>
      </c>
      <c r="O4212"/>
    </row>
    <row r="4213" spans="1:15" x14ac:dyDescent="0.3">
      <c r="A4213" t="s">
        <v>4237</v>
      </c>
      <c r="B4213" s="1">
        <v>45805</v>
      </c>
      <c r="C4213" t="s">
        <v>13</v>
      </c>
      <c r="D4213" t="s">
        <v>22</v>
      </c>
      <c r="E4213" s="2">
        <v>5.01</v>
      </c>
      <c r="F4213" s="3">
        <v>13.75</v>
      </c>
      <c r="G4213" s="4">
        <v>96.42</v>
      </c>
      <c r="H4213">
        <v>2</v>
      </c>
      <c r="I4213" s="4">
        <v>192.84</v>
      </c>
      <c r="J4213">
        <v>4.0999999999999996</v>
      </c>
      <c r="K4213" t="s">
        <v>33</v>
      </c>
      <c r="L4213" t="s">
        <v>26</v>
      </c>
      <c r="O4213"/>
    </row>
    <row r="4214" spans="1:15" x14ac:dyDescent="0.3">
      <c r="A4214" t="s">
        <v>4238</v>
      </c>
      <c r="B4214" s="1">
        <v>45862</v>
      </c>
      <c r="C4214" t="s">
        <v>22</v>
      </c>
      <c r="D4214" t="s">
        <v>25</v>
      </c>
      <c r="E4214" s="2">
        <v>13.12</v>
      </c>
      <c r="F4214" s="3">
        <v>43.79</v>
      </c>
      <c r="G4214" s="4">
        <v>209.08</v>
      </c>
      <c r="H4214">
        <v>2</v>
      </c>
      <c r="I4214" s="4">
        <v>418.16</v>
      </c>
      <c r="J4214">
        <v>3.3</v>
      </c>
      <c r="K4214" t="s">
        <v>36</v>
      </c>
      <c r="L4214" t="s">
        <v>19</v>
      </c>
      <c r="O4214"/>
    </row>
    <row r="4215" spans="1:15" x14ac:dyDescent="0.3">
      <c r="A4215" t="s">
        <v>4239</v>
      </c>
      <c r="B4215" s="1">
        <v>45739</v>
      </c>
      <c r="C4215" t="s">
        <v>13</v>
      </c>
      <c r="D4215" t="s">
        <v>14</v>
      </c>
      <c r="E4215" s="2">
        <v>19.29</v>
      </c>
      <c r="F4215" s="3">
        <v>45.22</v>
      </c>
      <c r="G4215" s="4">
        <v>224.18</v>
      </c>
      <c r="H4215">
        <v>1.2</v>
      </c>
      <c r="I4215" s="4">
        <v>269.02</v>
      </c>
      <c r="J4215">
        <v>3.2</v>
      </c>
      <c r="K4215" t="s">
        <v>33</v>
      </c>
      <c r="L4215" t="s">
        <v>28</v>
      </c>
      <c r="O4215"/>
    </row>
    <row r="4216" spans="1:15" x14ac:dyDescent="0.3">
      <c r="A4216" t="s">
        <v>4240</v>
      </c>
      <c r="B4216" s="1">
        <v>45821</v>
      </c>
      <c r="C4216" t="s">
        <v>25</v>
      </c>
      <c r="D4216" t="s">
        <v>21</v>
      </c>
      <c r="E4216" s="2">
        <v>28.9</v>
      </c>
      <c r="F4216" s="3">
        <v>82.19</v>
      </c>
      <c r="G4216" s="4">
        <v>510.07</v>
      </c>
      <c r="H4216">
        <v>1</v>
      </c>
      <c r="I4216" s="4">
        <v>510.07</v>
      </c>
      <c r="J4216">
        <v>4.9000000000000004</v>
      </c>
      <c r="K4216" t="s">
        <v>36</v>
      </c>
      <c r="L4216" t="s">
        <v>19</v>
      </c>
      <c r="O4216"/>
    </row>
    <row r="4217" spans="1:15" x14ac:dyDescent="0.3">
      <c r="A4217" t="s">
        <v>4241</v>
      </c>
      <c r="B4217" s="1">
        <v>45941</v>
      </c>
      <c r="C4217" t="s">
        <v>21</v>
      </c>
      <c r="D4217" t="s">
        <v>21</v>
      </c>
      <c r="E4217" s="2">
        <v>19.36</v>
      </c>
      <c r="F4217" s="3">
        <v>63.08</v>
      </c>
      <c r="G4217" s="4">
        <v>221.18</v>
      </c>
      <c r="H4217">
        <v>2</v>
      </c>
      <c r="I4217" s="4">
        <v>442.36</v>
      </c>
      <c r="J4217">
        <v>3.5</v>
      </c>
      <c r="K4217" t="s">
        <v>33</v>
      </c>
      <c r="L4217" t="s">
        <v>26</v>
      </c>
      <c r="O4217"/>
    </row>
    <row r="4218" spans="1:15" x14ac:dyDescent="0.3">
      <c r="A4218" t="s">
        <v>4242</v>
      </c>
      <c r="B4218" s="1">
        <v>45776</v>
      </c>
      <c r="C4218" t="s">
        <v>14</v>
      </c>
      <c r="D4218" t="s">
        <v>22</v>
      </c>
      <c r="E4218" s="2">
        <v>4.3899999999999997</v>
      </c>
      <c r="F4218" s="3">
        <v>9.89</v>
      </c>
      <c r="G4218" s="4">
        <v>52.13</v>
      </c>
      <c r="H4218">
        <v>1.2</v>
      </c>
      <c r="I4218" s="4">
        <v>62.56</v>
      </c>
      <c r="J4218">
        <v>4.8</v>
      </c>
      <c r="K4218" t="s">
        <v>18</v>
      </c>
      <c r="L4218" t="s">
        <v>16</v>
      </c>
      <c r="O4218"/>
    </row>
    <row r="4219" spans="1:15" x14ac:dyDescent="0.3">
      <c r="A4219" t="s">
        <v>4243</v>
      </c>
      <c r="B4219" s="1">
        <v>45799</v>
      </c>
      <c r="C4219" t="s">
        <v>22</v>
      </c>
      <c r="D4219" t="s">
        <v>22</v>
      </c>
      <c r="E4219" s="2">
        <v>13.24</v>
      </c>
      <c r="F4219" s="3">
        <v>33.53</v>
      </c>
      <c r="G4219" s="4">
        <v>190.76</v>
      </c>
      <c r="H4219">
        <v>1.5</v>
      </c>
      <c r="I4219" s="4">
        <v>286.14</v>
      </c>
      <c r="J4219">
        <v>3.4</v>
      </c>
      <c r="K4219" t="s">
        <v>36</v>
      </c>
      <c r="L4219" t="s">
        <v>26</v>
      </c>
      <c r="O4219"/>
    </row>
    <row r="4220" spans="1:15" x14ac:dyDescent="0.3">
      <c r="A4220" t="s">
        <v>4244</v>
      </c>
      <c r="B4220" s="1">
        <v>45824</v>
      </c>
      <c r="C4220" t="s">
        <v>22</v>
      </c>
      <c r="D4220" t="s">
        <v>25</v>
      </c>
      <c r="E4220" s="2">
        <v>15.14</v>
      </c>
      <c r="F4220" s="3">
        <v>47.44</v>
      </c>
      <c r="G4220" s="4">
        <v>190.34</v>
      </c>
      <c r="H4220">
        <v>1</v>
      </c>
      <c r="I4220" s="4">
        <v>190.34</v>
      </c>
      <c r="J4220">
        <v>4.8</v>
      </c>
      <c r="K4220" t="s">
        <v>36</v>
      </c>
      <c r="L4220" t="s">
        <v>19</v>
      </c>
      <c r="O4220"/>
    </row>
    <row r="4221" spans="1:15" x14ac:dyDescent="0.3">
      <c r="A4221" t="s">
        <v>4245</v>
      </c>
      <c r="B4221" s="1">
        <v>45850</v>
      </c>
      <c r="C4221" t="s">
        <v>13</v>
      </c>
      <c r="D4221" t="s">
        <v>25</v>
      </c>
      <c r="E4221" s="2">
        <v>15.27</v>
      </c>
      <c r="F4221" s="3">
        <v>39.770000000000003</v>
      </c>
      <c r="G4221" s="4">
        <v>241.58</v>
      </c>
      <c r="H4221">
        <v>1.5</v>
      </c>
      <c r="I4221" s="4">
        <v>362.37</v>
      </c>
      <c r="J4221">
        <v>4.3</v>
      </c>
      <c r="K4221" t="s">
        <v>36</v>
      </c>
      <c r="L4221" t="s">
        <v>19</v>
      </c>
      <c r="O4221"/>
    </row>
    <row r="4222" spans="1:15" x14ac:dyDescent="0.3">
      <c r="A4222" t="s">
        <v>4246</v>
      </c>
      <c r="B4222" s="1">
        <v>46008</v>
      </c>
      <c r="C4222" t="s">
        <v>14</v>
      </c>
      <c r="D4222" t="s">
        <v>13</v>
      </c>
      <c r="E4222" s="2">
        <v>9.01</v>
      </c>
      <c r="F4222" s="3">
        <v>22.37</v>
      </c>
      <c r="G4222" s="4">
        <v>165.65</v>
      </c>
      <c r="H4222">
        <v>2</v>
      </c>
      <c r="I4222" s="4">
        <v>331.3</v>
      </c>
      <c r="J4222">
        <v>4.4000000000000004</v>
      </c>
      <c r="K4222" t="s">
        <v>15</v>
      </c>
      <c r="L4222" t="s">
        <v>26</v>
      </c>
      <c r="O4222"/>
    </row>
    <row r="4223" spans="1:15" x14ac:dyDescent="0.3">
      <c r="A4223" t="s">
        <v>4247</v>
      </c>
      <c r="B4223" s="1">
        <v>45774</v>
      </c>
      <c r="C4223" t="s">
        <v>14</v>
      </c>
      <c r="D4223" t="s">
        <v>21</v>
      </c>
      <c r="E4223" s="2">
        <v>23.59</v>
      </c>
      <c r="F4223" s="3">
        <v>64.86</v>
      </c>
      <c r="G4223" s="4">
        <v>416.28</v>
      </c>
      <c r="H4223">
        <v>1</v>
      </c>
      <c r="I4223" s="4">
        <v>416.28</v>
      </c>
      <c r="J4223">
        <v>3.2</v>
      </c>
      <c r="K4223" t="s">
        <v>33</v>
      </c>
      <c r="L4223" t="s">
        <v>19</v>
      </c>
      <c r="O4223"/>
    </row>
    <row r="4224" spans="1:15" x14ac:dyDescent="0.3">
      <c r="A4224" t="s">
        <v>4248</v>
      </c>
      <c r="B4224" s="1">
        <v>45842</v>
      </c>
      <c r="C4224" t="s">
        <v>22</v>
      </c>
      <c r="D4224" t="s">
        <v>14</v>
      </c>
      <c r="E4224" s="2">
        <v>24.02</v>
      </c>
      <c r="F4224" s="3">
        <v>78.31</v>
      </c>
      <c r="G4224" s="4">
        <v>354.07</v>
      </c>
      <c r="H4224">
        <v>1.5</v>
      </c>
      <c r="I4224" s="4">
        <v>531.1</v>
      </c>
      <c r="J4224">
        <v>4</v>
      </c>
      <c r="K4224" t="s">
        <v>36</v>
      </c>
      <c r="L4224" t="s">
        <v>28</v>
      </c>
      <c r="O4224"/>
    </row>
    <row r="4225" spans="1:15" x14ac:dyDescent="0.3">
      <c r="A4225" t="s">
        <v>4249</v>
      </c>
      <c r="B4225" s="1">
        <v>45758</v>
      </c>
      <c r="C4225" t="s">
        <v>21</v>
      </c>
      <c r="D4225" t="s">
        <v>13</v>
      </c>
      <c r="E4225" s="2">
        <v>24.19</v>
      </c>
      <c r="F4225" s="3">
        <v>95.83</v>
      </c>
      <c r="G4225" s="4">
        <v>412.58</v>
      </c>
      <c r="H4225">
        <v>1</v>
      </c>
      <c r="I4225" s="4">
        <v>412.58</v>
      </c>
      <c r="J4225">
        <v>3.9</v>
      </c>
      <c r="K4225" t="s">
        <v>33</v>
      </c>
      <c r="L4225" t="s">
        <v>16</v>
      </c>
      <c r="O4225"/>
    </row>
    <row r="4226" spans="1:15" x14ac:dyDescent="0.3">
      <c r="A4226" t="s">
        <v>4250</v>
      </c>
      <c r="B4226" s="1">
        <v>45768</v>
      </c>
      <c r="C4226" t="s">
        <v>22</v>
      </c>
      <c r="D4226" t="s">
        <v>25</v>
      </c>
      <c r="E4226" s="2">
        <v>11.86</v>
      </c>
      <c r="F4226" s="3">
        <v>37.130000000000003</v>
      </c>
      <c r="G4226" s="4">
        <v>213.15</v>
      </c>
      <c r="H4226">
        <v>1.2</v>
      </c>
      <c r="I4226" s="4">
        <v>255.78</v>
      </c>
      <c r="J4226">
        <v>4</v>
      </c>
      <c r="K4226" t="s">
        <v>30</v>
      </c>
      <c r="L4226" t="s">
        <v>19</v>
      </c>
      <c r="O4226"/>
    </row>
    <row r="4227" spans="1:15" x14ac:dyDescent="0.3">
      <c r="A4227" t="s">
        <v>4251</v>
      </c>
      <c r="B4227" s="1">
        <v>46020</v>
      </c>
      <c r="C4227" t="s">
        <v>13</v>
      </c>
      <c r="D4227" t="s">
        <v>14</v>
      </c>
      <c r="E4227" s="2">
        <v>8.8800000000000008</v>
      </c>
      <c r="F4227" s="3">
        <v>30.98</v>
      </c>
      <c r="G4227" s="4">
        <v>126.01</v>
      </c>
      <c r="H4227">
        <v>1.2</v>
      </c>
      <c r="I4227" s="4">
        <v>151.21</v>
      </c>
      <c r="J4227">
        <v>4.0999999999999996</v>
      </c>
      <c r="K4227" t="s">
        <v>33</v>
      </c>
      <c r="L4227" t="s">
        <v>26</v>
      </c>
      <c r="O4227"/>
    </row>
    <row r="4228" spans="1:15" x14ac:dyDescent="0.3">
      <c r="A4228" t="s">
        <v>4252</v>
      </c>
      <c r="B4228" s="1">
        <v>45960</v>
      </c>
      <c r="C4228" t="s">
        <v>21</v>
      </c>
      <c r="D4228" t="s">
        <v>25</v>
      </c>
      <c r="E4228" s="2">
        <v>9.59</v>
      </c>
      <c r="F4228" s="3">
        <v>21.04</v>
      </c>
      <c r="G4228" s="4">
        <v>145.79</v>
      </c>
      <c r="H4228">
        <v>1.2</v>
      </c>
      <c r="I4228" s="4">
        <v>174.95</v>
      </c>
      <c r="J4228">
        <v>3.7</v>
      </c>
      <c r="K4228" t="s">
        <v>33</v>
      </c>
      <c r="L4228" t="s">
        <v>28</v>
      </c>
      <c r="O4228"/>
    </row>
    <row r="4229" spans="1:15" x14ac:dyDescent="0.3">
      <c r="A4229" t="s">
        <v>4253</v>
      </c>
      <c r="B4229" s="1">
        <v>45882</v>
      </c>
      <c r="C4229" t="s">
        <v>13</v>
      </c>
      <c r="D4229" t="s">
        <v>14</v>
      </c>
      <c r="E4229" s="2">
        <v>29.08</v>
      </c>
      <c r="F4229" s="3">
        <v>61.38</v>
      </c>
      <c r="G4229" s="4">
        <v>462.86</v>
      </c>
      <c r="H4229">
        <v>1</v>
      </c>
      <c r="I4229" s="4">
        <v>462.86</v>
      </c>
      <c r="J4229">
        <v>3.9</v>
      </c>
      <c r="K4229" t="s">
        <v>33</v>
      </c>
      <c r="L4229" t="s">
        <v>16</v>
      </c>
      <c r="O4229"/>
    </row>
    <row r="4230" spans="1:15" x14ac:dyDescent="0.3">
      <c r="A4230" t="s">
        <v>4254</v>
      </c>
      <c r="B4230" s="1">
        <v>45962</v>
      </c>
      <c r="C4230" t="s">
        <v>22</v>
      </c>
      <c r="D4230" t="s">
        <v>14</v>
      </c>
      <c r="E4230" s="2">
        <v>28.34</v>
      </c>
      <c r="F4230" s="3">
        <v>97.06</v>
      </c>
      <c r="G4230" s="4">
        <v>431.28</v>
      </c>
      <c r="H4230">
        <v>1.5</v>
      </c>
      <c r="I4230" s="4">
        <v>646.91999999999996</v>
      </c>
      <c r="J4230">
        <v>4.7</v>
      </c>
      <c r="K4230" t="s">
        <v>36</v>
      </c>
      <c r="L4230" t="s">
        <v>26</v>
      </c>
      <c r="O4230"/>
    </row>
    <row r="4231" spans="1:15" x14ac:dyDescent="0.3">
      <c r="A4231" t="s">
        <v>4255</v>
      </c>
      <c r="B4231" s="1">
        <v>45782</v>
      </c>
      <c r="C4231" t="s">
        <v>25</v>
      </c>
      <c r="D4231" t="s">
        <v>25</v>
      </c>
      <c r="E4231" s="2">
        <v>19.43</v>
      </c>
      <c r="F4231" s="3">
        <v>66.61</v>
      </c>
      <c r="G4231" s="4">
        <v>277.68</v>
      </c>
      <c r="H4231">
        <v>1</v>
      </c>
      <c r="I4231" s="4">
        <v>277.68</v>
      </c>
      <c r="J4231">
        <v>4.5</v>
      </c>
      <c r="K4231" t="s">
        <v>15</v>
      </c>
      <c r="L4231" t="s">
        <v>28</v>
      </c>
      <c r="O4231"/>
    </row>
    <row r="4232" spans="1:15" x14ac:dyDescent="0.3">
      <c r="A4232" t="s">
        <v>4256</v>
      </c>
      <c r="B4232" s="1">
        <v>45893</v>
      </c>
      <c r="C4232" t="s">
        <v>22</v>
      </c>
      <c r="D4232" t="s">
        <v>21</v>
      </c>
      <c r="E4232" s="2">
        <v>5.72</v>
      </c>
      <c r="F4232" s="3">
        <v>21.63</v>
      </c>
      <c r="G4232" s="4">
        <v>61.55</v>
      </c>
      <c r="H4232">
        <v>2</v>
      </c>
      <c r="I4232" s="4">
        <v>123.1</v>
      </c>
      <c r="J4232">
        <v>4.5</v>
      </c>
      <c r="K4232" t="s">
        <v>30</v>
      </c>
      <c r="L4232" t="s">
        <v>19</v>
      </c>
      <c r="O4232"/>
    </row>
    <row r="4233" spans="1:15" x14ac:dyDescent="0.3">
      <c r="A4233" t="s">
        <v>4257</v>
      </c>
      <c r="B4233" s="1">
        <v>45908</v>
      </c>
      <c r="C4233" t="s">
        <v>14</v>
      </c>
      <c r="D4233" t="s">
        <v>13</v>
      </c>
      <c r="E4233" s="2">
        <v>14.58</v>
      </c>
      <c r="F4233" s="3">
        <v>55.87</v>
      </c>
      <c r="G4233" s="4">
        <v>231.23</v>
      </c>
      <c r="H4233">
        <v>1.2</v>
      </c>
      <c r="I4233" s="4">
        <v>277.48</v>
      </c>
      <c r="J4233">
        <v>3.9</v>
      </c>
      <c r="K4233" t="s">
        <v>33</v>
      </c>
      <c r="L4233" t="s">
        <v>26</v>
      </c>
      <c r="O4233"/>
    </row>
    <row r="4234" spans="1:15" x14ac:dyDescent="0.3">
      <c r="A4234" t="s">
        <v>4258</v>
      </c>
      <c r="B4234" s="1">
        <v>45859</v>
      </c>
      <c r="C4234" t="s">
        <v>21</v>
      </c>
      <c r="D4234" t="s">
        <v>14</v>
      </c>
      <c r="E4234" s="2">
        <v>27.69</v>
      </c>
      <c r="F4234" s="3">
        <v>79.040000000000006</v>
      </c>
      <c r="G4234" s="4">
        <v>439.44</v>
      </c>
      <c r="H4234">
        <v>1.2</v>
      </c>
      <c r="I4234" s="4">
        <v>527.33000000000004</v>
      </c>
      <c r="J4234">
        <v>3.9</v>
      </c>
      <c r="K4234" t="s">
        <v>30</v>
      </c>
      <c r="L4234" t="s">
        <v>26</v>
      </c>
      <c r="O4234"/>
    </row>
    <row r="4235" spans="1:15" x14ac:dyDescent="0.3">
      <c r="A4235" t="s">
        <v>4259</v>
      </c>
      <c r="B4235" s="1">
        <v>45736</v>
      </c>
      <c r="C4235" t="s">
        <v>22</v>
      </c>
      <c r="D4235" t="s">
        <v>25</v>
      </c>
      <c r="E4235" s="2">
        <v>7.48</v>
      </c>
      <c r="F4235" s="3">
        <v>25.23</v>
      </c>
      <c r="G4235" s="4">
        <v>128.52000000000001</v>
      </c>
      <c r="H4235">
        <v>1.5</v>
      </c>
      <c r="I4235" s="4">
        <v>192.78</v>
      </c>
      <c r="J4235">
        <v>3.9</v>
      </c>
      <c r="K4235" t="s">
        <v>36</v>
      </c>
      <c r="L4235" t="s">
        <v>19</v>
      </c>
      <c r="O4235"/>
    </row>
    <row r="4236" spans="1:15" x14ac:dyDescent="0.3">
      <c r="A4236" t="s">
        <v>4260</v>
      </c>
      <c r="B4236" s="1">
        <v>45709</v>
      </c>
      <c r="C4236" t="s">
        <v>13</v>
      </c>
      <c r="D4236" t="s">
        <v>25</v>
      </c>
      <c r="E4236" s="2">
        <v>27.7</v>
      </c>
      <c r="F4236" s="3">
        <v>64.33</v>
      </c>
      <c r="G4236" s="4">
        <v>361.19</v>
      </c>
      <c r="H4236">
        <v>1.2</v>
      </c>
      <c r="I4236" s="4">
        <v>433.43</v>
      </c>
      <c r="J4236">
        <v>4.2</v>
      </c>
      <c r="K4236" t="s">
        <v>15</v>
      </c>
      <c r="L4236" t="s">
        <v>16</v>
      </c>
      <c r="O4236"/>
    </row>
    <row r="4237" spans="1:15" x14ac:dyDescent="0.3">
      <c r="A4237" t="s">
        <v>4261</v>
      </c>
      <c r="B4237" s="1">
        <v>45915</v>
      </c>
      <c r="C4237" t="s">
        <v>21</v>
      </c>
      <c r="D4237" t="s">
        <v>22</v>
      </c>
      <c r="E4237" s="2">
        <v>1.1000000000000001</v>
      </c>
      <c r="F4237" s="3">
        <v>4.12</v>
      </c>
      <c r="G4237" s="4">
        <v>14.59</v>
      </c>
      <c r="H4237">
        <v>1.5</v>
      </c>
      <c r="I4237" s="4">
        <v>21.88</v>
      </c>
      <c r="J4237">
        <v>3.2</v>
      </c>
      <c r="K4237" t="s">
        <v>15</v>
      </c>
      <c r="L4237" t="s">
        <v>16</v>
      </c>
      <c r="O4237"/>
    </row>
    <row r="4238" spans="1:15" x14ac:dyDescent="0.3">
      <c r="A4238" t="s">
        <v>4262</v>
      </c>
      <c r="B4238" s="1">
        <v>45992</v>
      </c>
      <c r="C4238" t="s">
        <v>13</v>
      </c>
      <c r="D4238" t="s">
        <v>25</v>
      </c>
      <c r="E4238" s="2">
        <v>25.6</v>
      </c>
      <c r="F4238" s="3">
        <v>68.5</v>
      </c>
      <c r="G4238" s="4">
        <v>484.42</v>
      </c>
      <c r="H4238">
        <v>2</v>
      </c>
      <c r="I4238" s="4">
        <v>968.84</v>
      </c>
      <c r="J4238">
        <v>3.8</v>
      </c>
      <c r="K4238" t="s">
        <v>33</v>
      </c>
      <c r="L4238" t="s">
        <v>28</v>
      </c>
      <c r="O4238"/>
    </row>
    <row r="4239" spans="1:15" x14ac:dyDescent="0.3">
      <c r="A4239" t="s">
        <v>4263</v>
      </c>
      <c r="B4239" s="1">
        <v>45930</v>
      </c>
      <c r="C4239" t="s">
        <v>14</v>
      </c>
      <c r="D4239" t="s">
        <v>22</v>
      </c>
      <c r="E4239" s="2">
        <v>10.44</v>
      </c>
      <c r="F4239" s="3">
        <v>25.97</v>
      </c>
      <c r="G4239" s="4">
        <v>169.55</v>
      </c>
      <c r="H4239">
        <v>1.5</v>
      </c>
      <c r="I4239" s="4">
        <v>254.32</v>
      </c>
      <c r="J4239">
        <v>4.5999999999999996</v>
      </c>
      <c r="K4239" t="s">
        <v>33</v>
      </c>
      <c r="L4239" t="s">
        <v>28</v>
      </c>
      <c r="O4239"/>
    </row>
    <row r="4240" spans="1:15" x14ac:dyDescent="0.3">
      <c r="A4240" t="s">
        <v>4264</v>
      </c>
      <c r="B4240" s="1">
        <v>46008</v>
      </c>
      <c r="C4240" t="s">
        <v>21</v>
      </c>
      <c r="D4240" t="s">
        <v>21</v>
      </c>
      <c r="E4240" s="2">
        <v>15.26</v>
      </c>
      <c r="F4240" s="3">
        <v>46.14</v>
      </c>
      <c r="G4240" s="4">
        <v>216.19</v>
      </c>
      <c r="H4240">
        <v>1.2</v>
      </c>
      <c r="I4240" s="4">
        <v>259.43</v>
      </c>
      <c r="J4240">
        <v>3.5</v>
      </c>
      <c r="K4240" t="s">
        <v>33</v>
      </c>
      <c r="L4240" t="s">
        <v>28</v>
      </c>
      <c r="O4240"/>
    </row>
    <row r="4241" spans="1:15" x14ac:dyDescent="0.3">
      <c r="A4241" t="s">
        <v>4265</v>
      </c>
      <c r="B4241" s="1">
        <v>45999</v>
      </c>
      <c r="C4241" t="s">
        <v>14</v>
      </c>
      <c r="D4241" t="s">
        <v>21</v>
      </c>
      <c r="E4241" s="2">
        <v>8.81</v>
      </c>
      <c r="F4241" s="3">
        <v>32.81</v>
      </c>
      <c r="G4241" s="4">
        <v>140.68</v>
      </c>
      <c r="H4241">
        <v>1</v>
      </c>
      <c r="I4241" s="4">
        <v>140.68</v>
      </c>
      <c r="J4241">
        <v>4.5999999999999996</v>
      </c>
      <c r="K4241" t="s">
        <v>36</v>
      </c>
      <c r="L4241" t="s">
        <v>26</v>
      </c>
      <c r="O4241"/>
    </row>
    <row r="4242" spans="1:15" x14ac:dyDescent="0.3">
      <c r="A4242" t="s">
        <v>4266</v>
      </c>
      <c r="B4242" s="1">
        <v>45971</v>
      </c>
      <c r="C4242" t="s">
        <v>22</v>
      </c>
      <c r="D4242" t="s">
        <v>13</v>
      </c>
      <c r="E4242" s="2">
        <v>10.08</v>
      </c>
      <c r="F4242" s="3">
        <v>20.84</v>
      </c>
      <c r="G4242" s="4">
        <v>182.51</v>
      </c>
      <c r="H4242">
        <v>1.5</v>
      </c>
      <c r="I4242" s="4">
        <v>273.76</v>
      </c>
      <c r="J4242">
        <v>3.9</v>
      </c>
      <c r="K4242" t="s">
        <v>30</v>
      </c>
      <c r="L4242" t="s">
        <v>26</v>
      </c>
      <c r="O4242"/>
    </row>
    <row r="4243" spans="1:15" x14ac:dyDescent="0.3">
      <c r="A4243" t="s">
        <v>4267</v>
      </c>
      <c r="B4243" s="1">
        <v>45700</v>
      </c>
      <c r="C4243" t="s">
        <v>22</v>
      </c>
      <c r="D4243" t="s">
        <v>21</v>
      </c>
      <c r="E4243" s="2">
        <v>3.39</v>
      </c>
      <c r="F4243" s="3">
        <v>9.32</v>
      </c>
      <c r="G4243" s="4">
        <v>36.04</v>
      </c>
      <c r="H4243">
        <v>2</v>
      </c>
      <c r="I4243" s="4">
        <v>72.08</v>
      </c>
      <c r="J4243">
        <v>4.2</v>
      </c>
      <c r="K4243" t="s">
        <v>30</v>
      </c>
      <c r="L4243" t="s">
        <v>28</v>
      </c>
      <c r="O4243"/>
    </row>
    <row r="4244" spans="1:15" x14ac:dyDescent="0.3">
      <c r="A4244" t="s">
        <v>4268</v>
      </c>
      <c r="B4244" s="1">
        <v>46014</v>
      </c>
      <c r="C4244" t="s">
        <v>25</v>
      </c>
      <c r="D4244" t="s">
        <v>21</v>
      </c>
      <c r="E4244" s="2">
        <v>5.97</v>
      </c>
      <c r="F4244" s="3">
        <v>16.38</v>
      </c>
      <c r="G4244" s="4">
        <v>115.24</v>
      </c>
      <c r="H4244">
        <v>2</v>
      </c>
      <c r="I4244" s="4">
        <v>230.48</v>
      </c>
      <c r="J4244">
        <v>3.4</v>
      </c>
      <c r="K4244" t="s">
        <v>18</v>
      </c>
      <c r="L4244" t="s">
        <v>26</v>
      </c>
      <c r="O4244"/>
    </row>
    <row r="4245" spans="1:15" x14ac:dyDescent="0.3">
      <c r="A4245" t="s">
        <v>4269</v>
      </c>
      <c r="B4245" s="1">
        <v>45753</v>
      </c>
      <c r="C4245" t="s">
        <v>13</v>
      </c>
      <c r="D4245" t="s">
        <v>25</v>
      </c>
      <c r="E4245" s="2">
        <v>27.89</v>
      </c>
      <c r="F4245" s="3">
        <v>110.13</v>
      </c>
      <c r="G4245" s="4">
        <v>529.44000000000005</v>
      </c>
      <c r="H4245">
        <v>1.2</v>
      </c>
      <c r="I4245" s="4">
        <v>635.33000000000004</v>
      </c>
      <c r="J4245">
        <v>3.3</v>
      </c>
      <c r="K4245" t="s">
        <v>36</v>
      </c>
      <c r="L4245" t="s">
        <v>26</v>
      </c>
      <c r="O4245"/>
    </row>
    <row r="4246" spans="1:15" x14ac:dyDescent="0.3">
      <c r="A4246" t="s">
        <v>4270</v>
      </c>
      <c r="B4246" s="1">
        <v>45759</v>
      </c>
      <c r="C4246" t="s">
        <v>22</v>
      </c>
      <c r="D4246" t="s">
        <v>21</v>
      </c>
      <c r="E4246" s="2">
        <v>17.97</v>
      </c>
      <c r="F4246" s="3">
        <v>63.73</v>
      </c>
      <c r="G4246" s="4">
        <v>262.82</v>
      </c>
      <c r="H4246">
        <v>1</v>
      </c>
      <c r="I4246" s="4">
        <v>262.82</v>
      </c>
      <c r="J4246">
        <v>4.5999999999999996</v>
      </c>
      <c r="K4246" t="s">
        <v>15</v>
      </c>
      <c r="L4246" t="s">
        <v>16</v>
      </c>
      <c r="O4246"/>
    </row>
    <row r="4247" spans="1:15" x14ac:dyDescent="0.3">
      <c r="A4247" t="s">
        <v>4271</v>
      </c>
      <c r="B4247" s="1">
        <v>45794</v>
      </c>
      <c r="C4247" t="s">
        <v>22</v>
      </c>
      <c r="D4247" t="s">
        <v>21</v>
      </c>
      <c r="E4247" s="2">
        <v>17.22</v>
      </c>
      <c r="F4247" s="3">
        <v>39.99</v>
      </c>
      <c r="G4247" s="4">
        <v>204.43</v>
      </c>
      <c r="H4247">
        <v>1.5</v>
      </c>
      <c r="I4247" s="4">
        <v>306.64</v>
      </c>
      <c r="J4247">
        <v>4</v>
      </c>
      <c r="K4247" t="s">
        <v>33</v>
      </c>
      <c r="L4247" t="s">
        <v>28</v>
      </c>
      <c r="O4247"/>
    </row>
    <row r="4248" spans="1:15" x14ac:dyDescent="0.3">
      <c r="A4248" t="s">
        <v>4272</v>
      </c>
      <c r="B4248" s="1">
        <v>45808</v>
      </c>
      <c r="C4248" t="s">
        <v>22</v>
      </c>
      <c r="D4248" t="s">
        <v>13</v>
      </c>
      <c r="E4248" s="2">
        <v>4.83</v>
      </c>
      <c r="F4248" s="3">
        <v>18.79</v>
      </c>
      <c r="G4248" s="4">
        <v>54.66</v>
      </c>
      <c r="H4248">
        <v>1.2</v>
      </c>
      <c r="I4248" s="4">
        <v>65.59</v>
      </c>
      <c r="J4248">
        <v>3.7</v>
      </c>
      <c r="K4248" t="s">
        <v>36</v>
      </c>
      <c r="L4248" t="s">
        <v>28</v>
      </c>
      <c r="O4248"/>
    </row>
    <row r="4249" spans="1:15" x14ac:dyDescent="0.3">
      <c r="A4249" t="s">
        <v>4273</v>
      </c>
      <c r="B4249" s="1">
        <v>45961</v>
      </c>
      <c r="C4249" t="s">
        <v>25</v>
      </c>
      <c r="D4249" t="s">
        <v>25</v>
      </c>
      <c r="E4249" s="2">
        <v>26.12</v>
      </c>
      <c r="F4249" s="3">
        <v>73.66</v>
      </c>
      <c r="G4249" s="4">
        <v>293.60000000000002</v>
      </c>
      <c r="H4249">
        <v>1.2</v>
      </c>
      <c r="I4249" s="4">
        <v>352.32</v>
      </c>
      <c r="J4249">
        <v>4.8</v>
      </c>
      <c r="K4249" t="s">
        <v>15</v>
      </c>
      <c r="L4249" t="s">
        <v>19</v>
      </c>
      <c r="O4249"/>
    </row>
    <row r="4250" spans="1:15" x14ac:dyDescent="0.3">
      <c r="A4250" t="s">
        <v>4274</v>
      </c>
      <c r="B4250" s="1">
        <v>45953</v>
      </c>
      <c r="C4250" t="s">
        <v>21</v>
      </c>
      <c r="D4250" t="s">
        <v>21</v>
      </c>
      <c r="E4250" s="2">
        <v>9.64</v>
      </c>
      <c r="F4250" s="3">
        <v>22.35</v>
      </c>
      <c r="G4250" s="4">
        <v>176.43</v>
      </c>
      <c r="H4250">
        <v>1.5</v>
      </c>
      <c r="I4250" s="4">
        <v>264.64</v>
      </c>
      <c r="J4250">
        <v>4.2</v>
      </c>
      <c r="K4250" t="s">
        <v>18</v>
      </c>
      <c r="L4250" t="s">
        <v>28</v>
      </c>
      <c r="O4250"/>
    </row>
    <row r="4251" spans="1:15" x14ac:dyDescent="0.3">
      <c r="A4251" t="s">
        <v>4275</v>
      </c>
      <c r="B4251" s="1">
        <v>45880</v>
      </c>
      <c r="C4251" t="s">
        <v>25</v>
      </c>
      <c r="D4251" t="s">
        <v>21</v>
      </c>
      <c r="E4251" s="2">
        <v>9.44</v>
      </c>
      <c r="F4251" s="3">
        <v>30.24</v>
      </c>
      <c r="G4251" s="4">
        <v>167.59</v>
      </c>
      <c r="H4251">
        <v>2</v>
      </c>
      <c r="I4251" s="4">
        <v>335.18</v>
      </c>
      <c r="J4251">
        <v>4.2</v>
      </c>
      <c r="K4251" t="s">
        <v>18</v>
      </c>
      <c r="L4251" t="s">
        <v>16</v>
      </c>
      <c r="O4251"/>
    </row>
    <row r="4252" spans="1:15" x14ac:dyDescent="0.3">
      <c r="A4252" t="s">
        <v>4276</v>
      </c>
      <c r="B4252" s="1">
        <v>45862</v>
      </c>
      <c r="C4252" t="s">
        <v>25</v>
      </c>
      <c r="D4252" t="s">
        <v>21</v>
      </c>
      <c r="E4252" s="2">
        <v>21.78</v>
      </c>
      <c r="F4252" s="3">
        <v>85.4</v>
      </c>
      <c r="G4252" s="4">
        <v>253.75</v>
      </c>
      <c r="H4252">
        <v>1</v>
      </c>
      <c r="I4252" s="4">
        <v>253.75</v>
      </c>
      <c r="J4252">
        <v>3.5</v>
      </c>
      <c r="K4252" t="s">
        <v>15</v>
      </c>
      <c r="L4252" t="s">
        <v>19</v>
      </c>
      <c r="O4252"/>
    </row>
    <row r="4253" spans="1:15" x14ac:dyDescent="0.3">
      <c r="A4253" t="s">
        <v>4277</v>
      </c>
      <c r="B4253" s="1">
        <v>45943</v>
      </c>
      <c r="C4253" t="s">
        <v>14</v>
      </c>
      <c r="D4253" t="s">
        <v>21</v>
      </c>
      <c r="E4253" s="2">
        <v>21.97</v>
      </c>
      <c r="F4253" s="3">
        <v>69.09</v>
      </c>
      <c r="G4253" s="4">
        <v>326.62</v>
      </c>
      <c r="H4253">
        <v>1.5</v>
      </c>
      <c r="I4253" s="4">
        <v>489.93</v>
      </c>
      <c r="J4253">
        <v>4.9000000000000004</v>
      </c>
      <c r="K4253" t="s">
        <v>18</v>
      </c>
      <c r="L4253" t="s">
        <v>26</v>
      </c>
      <c r="O4253"/>
    </row>
    <row r="4254" spans="1:15" x14ac:dyDescent="0.3">
      <c r="A4254" t="s">
        <v>4278</v>
      </c>
      <c r="B4254" s="1">
        <v>45947</v>
      </c>
      <c r="C4254" t="s">
        <v>13</v>
      </c>
      <c r="D4254" t="s">
        <v>13</v>
      </c>
      <c r="E4254" s="2">
        <v>4.66</v>
      </c>
      <c r="F4254" s="3">
        <v>13.88</v>
      </c>
      <c r="G4254" s="4">
        <v>70.92</v>
      </c>
      <c r="H4254">
        <v>1</v>
      </c>
      <c r="I4254" s="4">
        <v>70.92</v>
      </c>
      <c r="J4254">
        <v>3.6</v>
      </c>
      <c r="K4254" t="s">
        <v>18</v>
      </c>
      <c r="L4254" t="s">
        <v>26</v>
      </c>
      <c r="O4254"/>
    </row>
    <row r="4255" spans="1:15" x14ac:dyDescent="0.3">
      <c r="A4255" t="s">
        <v>4279</v>
      </c>
      <c r="B4255" s="1">
        <v>45670</v>
      </c>
      <c r="C4255" t="s">
        <v>25</v>
      </c>
      <c r="D4255" t="s">
        <v>22</v>
      </c>
      <c r="E4255" s="2">
        <v>14.58</v>
      </c>
      <c r="F4255" s="3">
        <v>55.78</v>
      </c>
      <c r="G4255" s="4">
        <v>228.62</v>
      </c>
      <c r="H4255">
        <v>1.5</v>
      </c>
      <c r="I4255" s="4">
        <v>342.93</v>
      </c>
      <c r="J4255">
        <v>3.6</v>
      </c>
      <c r="K4255" t="s">
        <v>36</v>
      </c>
      <c r="L4255" t="s">
        <v>19</v>
      </c>
      <c r="O4255"/>
    </row>
    <row r="4256" spans="1:15" x14ac:dyDescent="0.3">
      <c r="A4256" t="s">
        <v>4280</v>
      </c>
      <c r="B4256" s="1">
        <v>45878</v>
      </c>
      <c r="C4256" t="s">
        <v>14</v>
      </c>
      <c r="D4256" t="s">
        <v>22</v>
      </c>
      <c r="E4256" s="2">
        <v>1.1200000000000001</v>
      </c>
      <c r="F4256" s="3">
        <v>2.68</v>
      </c>
      <c r="G4256" s="4">
        <v>16.760000000000002</v>
      </c>
      <c r="H4256">
        <v>1.2</v>
      </c>
      <c r="I4256" s="4">
        <v>20.11</v>
      </c>
      <c r="J4256">
        <v>4.3</v>
      </c>
      <c r="K4256" t="s">
        <v>36</v>
      </c>
      <c r="L4256" t="s">
        <v>28</v>
      </c>
      <c r="O4256"/>
    </row>
    <row r="4257" spans="1:15" x14ac:dyDescent="0.3">
      <c r="A4257" t="s">
        <v>4281</v>
      </c>
      <c r="B4257" s="1">
        <v>45785</v>
      </c>
      <c r="C4257" t="s">
        <v>25</v>
      </c>
      <c r="D4257" t="s">
        <v>14</v>
      </c>
      <c r="E4257" s="2">
        <v>2.38</v>
      </c>
      <c r="F4257" s="3">
        <v>8.8800000000000008</v>
      </c>
      <c r="G4257" s="4">
        <v>27.84</v>
      </c>
      <c r="H4257">
        <v>1</v>
      </c>
      <c r="I4257" s="4">
        <v>27.84</v>
      </c>
      <c r="J4257">
        <v>4.8</v>
      </c>
      <c r="K4257" t="s">
        <v>33</v>
      </c>
      <c r="L4257" t="s">
        <v>19</v>
      </c>
      <c r="O4257"/>
    </row>
    <row r="4258" spans="1:15" x14ac:dyDescent="0.3">
      <c r="A4258" t="s">
        <v>4282</v>
      </c>
      <c r="B4258" s="1">
        <v>45679</v>
      </c>
      <c r="C4258" t="s">
        <v>13</v>
      </c>
      <c r="D4258" t="s">
        <v>13</v>
      </c>
      <c r="E4258" s="2">
        <v>10.87</v>
      </c>
      <c r="F4258" s="3">
        <v>37.869999999999997</v>
      </c>
      <c r="G4258" s="4">
        <v>204.01</v>
      </c>
      <c r="H4258">
        <v>2</v>
      </c>
      <c r="I4258" s="4">
        <v>408.02</v>
      </c>
      <c r="J4258">
        <v>3.5</v>
      </c>
      <c r="K4258" t="s">
        <v>18</v>
      </c>
      <c r="L4258" t="s">
        <v>16</v>
      </c>
      <c r="O4258"/>
    </row>
    <row r="4259" spans="1:15" x14ac:dyDescent="0.3">
      <c r="A4259" t="s">
        <v>4283</v>
      </c>
      <c r="B4259" s="1">
        <v>45929</v>
      </c>
      <c r="C4259" t="s">
        <v>13</v>
      </c>
      <c r="D4259" t="s">
        <v>13</v>
      </c>
      <c r="E4259" s="2">
        <v>2.89</v>
      </c>
      <c r="F4259" s="3">
        <v>10.37</v>
      </c>
      <c r="G4259" s="4">
        <v>41.49</v>
      </c>
      <c r="H4259">
        <v>1</v>
      </c>
      <c r="I4259" s="4">
        <v>41.49</v>
      </c>
      <c r="J4259">
        <v>3.4</v>
      </c>
      <c r="K4259" t="s">
        <v>36</v>
      </c>
      <c r="L4259" t="s">
        <v>16</v>
      </c>
      <c r="O4259"/>
    </row>
    <row r="4260" spans="1:15" x14ac:dyDescent="0.3">
      <c r="A4260" t="s">
        <v>4284</v>
      </c>
      <c r="B4260" s="1">
        <v>45670</v>
      </c>
      <c r="C4260" t="s">
        <v>22</v>
      </c>
      <c r="D4260" t="s">
        <v>13</v>
      </c>
      <c r="E4260" s="2">
        <v>12.3</v>
      </c>
      <c r="F4260" s="3">
        <v>34.18</v>
      </c>
      <c r="G4260" s="4">
        <v>151.28</v>
      </c>
      <c r="H4260">
        <v>1</v>
      </c>
      <c r="I4260" s="4">
        <v>151.28</v>
      </c>
      <c r="J4260">
        <v>3.2</v>
      </c>
      <c r="K4260" t="s">
        <v>18</v>
      </c>
      <c r="L4260" t="s">
        <v>19</v>
      </c>
      <c r="O4260"/>
    </row>
    <row r="4261" spans="1:15" x14ac:dyDescent="0.3">
      <c r="A4261" t="s">
        <v>4285</v>
      </c>
      <c r="B4261" s="1">
        <v>45929</v>
      </c>
      <c r="C4261" t="s">
        <v>13</v>
      </c>
      <c r="D4261" t="s">
        <v>21</v>
      </c>
      <c r="E4261" s="2">
        <v>12.89</v>
      </c>
      <c r="F4261" s="3">
        <v>37.18</v>
      </c>
      <c r="G4261" s="4">
        <v>240.88</v>
      </c>
      <c r="H4261">
        <v>1.5</v>
      </c>
      <c r="I4261" s="4">
        <v>361.32</v>
      </c>
      <c r="J4261">
        <v>3.2</v>
      </c>
      <c r="K4261" t="s">
        <v>36</v>
      </c>
      <c r="L4261" t="s">
        <v>28</v>
      </c>
      <c r="O4261"/>
    </row>
    <row r="4262" spans="1:15" x14ac:dyDescent="0.3">
      <c r="A4262" t="s">
        <v>4286</v>
      </c>
      <c r="B4262" s="1">
        <v>45681</v>
      </c>
      <c r="C4262" t="s">
        <v>22</v>
      </c>
      <c r="D4262" t="s">
        <v>21</v>
      </c>
      <c r="E4262" s="2">
        <v>25.24</v>
      </c>
      <c r="F4262" s="3">
        <v>83.69</v>
      </c>
      <c r="G4262" s="4">
        <v>268.69</v>
      </c>
      <c r="H4262">
        <v>1.5</v>
      </c>
      <c r="I4262" s="4">
        <v>403.04</v>
      </c>
      <c r="J4262">
        <v>3.9</v>
      </c>
      <c r="K4262" t="s">
        <v>30</v>
      </c>
      <c r="L4262" t="s">
        <v>19</v>
      </c>
      <c r="O4262"/>
    </row>
    <row r="4263" spans="1:15" x14ac:dyDescent="0.3">
      <c r="A4263" t="s">
        <v>4287</v>
      </c>
      <c r="B4263" s="1">
        <v>45958</v>
      </c>
      <c r="C4263" t="s">
        <v>22</v>
      </c>
      <c r="D4263" t="s">
        <v>22</v>
      </c>
      <c r="E4263" s="2">
        <v>17.760000000000002</v>
      </c>
      <c r="F4263" s="3">
        <v>54.09</v>
      </c>
      <c r="G4263" s="4">
        <v>263.05</v>
      </c>
      <c r="H4263">
        <v>2</v>
      </c>
      <c r="I4263" s="4">
        <v>526.1</v>
      </c>
      <c r="J4263">
        <v>4.5999999999999996</v>
      </c>
      <c r="K4263" t="s">
        <v>33</v>
      </c>
      <c r="L4263" t="s">
        <v>19</v>
      </c>
      <c r="O4263"/>
    </row>
    <row r="4264" spans="1:15" x14ac:dyDescent="0.3">
      <c r="A4264" t="s">
        <v>4288</v>
      </c>
      <c r="B4264" s="1">
        <v>45709</v>
      </c>
      <c r="C4264" t="s">
        <v>13</v>
      </c>
      <c r="D4264" t="s">
        <v>14</v>
      </c>
      <c r="E4264" s="2">
        <v>22.53</v>
      </c>
      <c r="F4264" s="3">
        <v>84.71</v>
      </c>
      <c r="G4264" s="4">
        <v>438.02</v>
      </c>
      <c r="H4264">
        <v>1</v>
      </c>
      <c r="I4264" s="4">
        <v>438.02</v>
      </c>
      <c r="J4264">
        <v>3.1</v>
      </c>
      <c r="K4264" t="s">
        <v>18</v>
      </c>
      <c r="L4264" t="s">
        <v>16</v>
      </c>
      <c r="O4264"/>
    </row>
    <row r="4265" spans="1:15" x14ac:dyDescent="0.3">
      <c r="A4265" t="s">
        <v>4289</v>
      </c>
      <c r="B4265" s="1">
        <v>45840</v>
      </c>
      <c r="C4265" t="s">
        <v>14</v>
      </c>
      <c r="D4265" t="s">
        <v>13</v>
      </c>
      <c r="E4265" s="2">
        <v>22.07</v>
      </c>
      <c r="F4265" s="3">
        <v>85.95</v>
      </c>
      <c r="G4265" s="4">
        <v>276.52</v>
      </c>
      <c r="H4265">
        <v>1</v>
      </c>
      <c r="I4265" s="4">
        <v>276.52</v>
      </c>
      <c r="J4265">
        <v>3.6</v>
      </c>
      <c r="K4265" t="s">
        <v>36</v>
      </c>
      <c r="L4265" t="s">
        <v>26</v>
      </c>
      <c r="O4265"/>
    </row>
    <row r="4266" spans="1:15" x14ac:dyDescent="0.3">
      <c r="A4266" t="s">
        <v>4290</v>
      </c>
      <c r="B4266" s="1">
        <v>45813</v>
      </c>
      <c r="C4266" t="s">
        <v>25</v>
      </c>
      <c r="D4266" t="s">
        <v>13</v>
      </c>
      <c r="E4266" s="2">
        <v>19.309999999999999</v>
      </c>
      <c r="F4266" s="3">
        <v>52.17</v>
      </c>
      <c r="G4266" s="4">
        <v>341.58</v>
      </c>
      <c r="H4266">
        <v>1.2</v>
      </c>
      <c r="I4266" s="4">
        <v>409.9</v>
      </c>
      <c r="J4266">
        <v>4.8</v>
      </c>
      <c r="K4266" t="s">
        <v>36</v>
      </c>
      <c r="L4266" t="s">
        <v>28</v>
      </c>
      <c r="O4266"/>
    </row>
    <row r="4267" spans="1:15" x14ac:dyDescent="0.3">
      <c r="A4267" t="s">
        <v>4291</v>
      </c>
      <c r="B4267" s="1">
        <v>45933</v>
      </c>
      <c r="C4267" t="s">
        <v>14</v>
      </c>
      <c r="D4267" t="s">
        <v>22</v>
      </c>
      <c r="E4267" s="2">
        <v>16.239999999999998</v>
      </c>
      <c r="F4267" s="3">
        <v>36.29</v>
      </c>
      <c r="G4267" s="4">
        <v>230.11</v>
      </c>
      <c r="H4267">
        <v>1.5</v>
      </c>
      <c r="I4267" s="4">
        <v>345.16</v>
      </c>
      <c r="J4267">
        <v>3.1</v>
      </c>
      <c r="K4267" t="s">
        <v>15</v>
      </c>
      <c r="L4267" t="s">
        <v>19</v>
      </c>
      <c r="O4267"/>
    </row>
    <row r="4268" spans="1:15" x14ac:dyDescent="0.3">
      <c r="A4268" t="s">
        <v>4292</v>
      </c>
      <c r="B4268" s="1">
        <v>45952</v>
      </c>
      <c r="C4268" t="s">
        <v>21</v>
      </c>
      <c r="D4268" t="s">
        <v>13</v>
      </c>
      <c r="E4268" s="2">
        <v>26.94</v>
      </c>
      <c r="F4268" s="3">
        <v>61.86</v>
      </c>
      <c r="G4268" s="4">
        <v>440.67</v>
      </c>
      <c r="H4268">
        <v>2</v>
      </c>
      <c r="I4268" s="4">
        <v>881.34</v>
      </c>
      <c r="J4268">
        <v>3.4</v>
      </c>
      <c r="K4268" t="s">
        <v>36</v>
      </c>
      <c r="L4268" t="s">
        <v>19</v>
      </c>
      <c r="O4268"/>
    </row>
    <row r="4269" spans="1:15" x14ac:dyDescent="0.3">
      <c r="A4269" t="s">
        <v>4293</v>
      </c>
      <c r="B4269" s="1">
        <v>45658</v>
      </c>
      <c r="C4269" t="s">
        <v>21</v>
      </c>
      <c r="D4269" t="s">
        <v>13</v>
      </c>
      <c r="E4269" s="2">
        <v>6.11</v>
      </c>
      <c r="F4269" s="3">
        <v>22.21</v>
      </c>
      <c r="G4269" s="4">
        <v>78</v>
      </c>
      <c r="H4269">
        <v>1</v>
      </c>
      <c r="I4269" s="4">
        <v>78</v>
      </c>
      <c r="J4269">
        <v>4.0999999999999996</v>
      </c>
      <c r="K4269" t="s">
        <v>15</v>
      </c>
      <c r="L4269" t="s">
        <v>26</v>
      </c>
      <c r="O4269"/>
    </row>
    <row r="4270" spans="1:15" x14ac:dyDescent="0.3">
      <c r="A4270" t="s">
        <v>4294</v>
      </c>
      <c r="B4270" s="1">
        <v>45986</v>
      </c>
      <c r="C4270" t="s">
        <v>21</v>
      </c>
      <c r="D4270" t="s">
        <v>22</v>
      </c>
      <c r="E4270" s="2">
        <v>23.77</v>
      </c>
      <c r="F4270" s="3">
        <v>51.58</v>
      </c>
      <c r="G4270" s="4">
        <v>376.22</v>
      </c>
      <c r="H4270">
        <v>1.5</v>
      </c>
      <c r="I4270" s="4">
        <v>564.33000000000004</v>
      </c>
      <c r="J4270">
        <v>4.3</v>
      </c>
      <c r="K4270" t="s">
        <v>33</v>
      </c>
      <c r="L4270" t="s">
        <v>19</v>
      </c>
      <c r="O4270"/>
    </row>
    <row r="4271" spans="1:15" x14ac:dyDescent="0.3">
      <c r="A4271" t="s">
        <v>4295</v>
      </c>
      <c r="B4271" s="1">
        <v>45926</v>
      </c>
      <c r="C4271" t="s">
        <v>22</v>
      </c>
      <c r="D4271" t="s">
        <v>21</v>
      </c>
      <c r="E4271" s="2">
        <v>1.83</v>
      </c>
      <c r="F4271" s="3">
        <v>7.1</v>
      </c>
      <c r="G4271" s="4">
        <v>19.09</v>
      </c>
      <c r="H4271">
        <v>1</v>
      </c>
      <c r="I4271" s="4">
        <v>19.09</v>
      </c>
      <c r="J4271">
        <v>5</v>
      </c>
      <c r="K4271" t="s">
        <v>36</v>
      </c>
      <c r="L4271" t="s">
        <v>16</v>
      </c>
      <c r="O4271"/>
    </row>
    <row r="4272" spans="1:15" x14ac:dyDescent="0.3">
      <c r="A4272" t="s">
        <v>4296</v>
      </c>
      <c r="B4272" s="1">
        <v>45830</v>
      </c>
      <c r="C4272" t="s">
        <v>22</v>
      </c>
      <c r="D4272" t="s">
        <v>21</v>
      </c>
      <c r="E4272" s="2">
        <v>4.1100000000000003</v>
      </c>
      <c r="F4272" s="3">
        <v>8.61</v>
      </c>
      <c r="G4272" s="4">
        <v>73.36</v>
      </c>
      <c r="H4272">
        <v>1</v>
      </c>
      <c r="I4272" s="4">
        <v>73.36</v>
      </c>
      <c r="J4272">
        <v>3.6</v>
      </c>
      <c r="K4272" t="s">
        <v>33</v>
      </c>
      <c r="L4272" t="s">
        <v>26</v>
      </c>
      <c r="O4272"/>
    </row>
    <row r="4273" spans="1:15" x14ac:dyDescent="0.3">
      <c r="A4273" t="s">
        <v>4297</v>
      </c>
      <c r="B4273" s="1">
        <v>45847</v>
      </c>
      <c r="C4273" t="s">
        <v>14</v>
      </c>
      <c r="D4273" t="s">
        <v>22</v>
      </c>
      <c r="E4273" s="2">
        <v>16.489999999999998</v>
      </c>
      <c r="F4273" s="3">
        <v>65.17</v>
      </c>
      <c r="G4273" s="4">
        <v>326.87</v>
      </c>
      <c r="H4273">
        <v>1</v>
      </c>
      <c r="I4273" s="4">
        <v>326.87</v>
      </c>
      <c r="J4273">
        <v>3</v>
      </c>
      <c r="K4273" t="s">
        <v>30</v>
      </c>
      <c r="L4273" t="s">
        <v>19</v>
      </c>
      <c r="O4273"/>
    </row>
    <row r="4274" spans="1:15" x14ac:dyDescent="0.3">
      <c r="A4274" t="s">
        <v>4298</v>
      </c>
      <c r="B4274" s="1">
        <v>45811</v>
      </c>
      <c r="C4274" t="s">
        <v>14</v>
      </c>
      <c r="D4274" t="s">
        <v>22</v>
      </c>
      <c r="E4274" s="2">
        <v>24.7</v>
      </c>
      <c r="F4274" s="3">
        <v>61.14</v>
      </c>
      <c r="G4274" s="4">
        <v>432.39</v>
      </c>
      <c r="H4274">
        <v>1</v>
      </c>
      <c r="I4274" s="4">
        <v>432.39</v>
      </c>
      <c r="J4274">
        <v>3.9</v>
      </c>
      <c r="K4274" t="s">
        <v>33</v>
      </c>
      <c r="L4274" t="s">
        <v>26</v>
      </c>
      <c r="O4274"/>
    </row>
    <row r="4275" spans="1:15" x14ac:dyDescent="0.3">
      <c r="A4275" t="s">
        <v>4299</v>
      </c>
      <c r="B4275" s="1">
        <v>45905</v>
      </c>
      <c r="C4275" t="s">
        <v>21</v>
      </c>
      <c r="D4275" t="s">
        <v>14</v>
      </c>
      <c r="E4275" s="2">
        <v>10.5</v>
      </c>
      <c r="F4275" s="3">
        <v>40.39</v>
      </c>
      <c r="G4275" s="4">
        <v>197.77</v>
      </c>
      <c r="H4275">
        <v>1.2</v>
      </c>
      <c r="I4275" s="4">
        <v>237.32</v>
      </c>
      <c r="J4275">
        <v>4.9000000000000004</v>
      </c>
      <c r="K4275" t="s">
        <v>36</v>
      </c>
      <c r="L4275" t="s">
        <v>26</v>
      </c>
      <c r="O4275"/>
    </row>
    <row r="4276" spans="1:15" x14ac:dyDescent="0.3">
      <c r="A4276" t="s">
        <v>4300</v>
      </c>
      <c r="B4276" s="1">
        <v>45703</v>
      </c>
      <c r="C4276" t="s">
        <v>13</v>
      </c>
      <c r="D4276" t="s">
        <v>22</v>
      </c>
      <c r="E4276" s="2">
        <v>23.96</v>
      </c>
      <c r="F4276" s="3">
        <v>63.07</v>
      </c>
      <c r="G4276" s="4">
        <v>300.20999999999998</v>
      </c>
      <c r="H4276">
        <v>2</v>
      </c>
      <c r="I4276" s="4">
        <v>600.41999999999996</v>
      </c>
      <c r="J4276">
        <v>4.4000000000000004</v>
      </c>
      <c r="K4276" t="s">
        <v>18</v>
      </c>
      <c r="L4276" t="s">
        <v>26</v>
      </c>
      <c r="O4276"/>
    </row>
    <row r="4277" spans="1:15" x14ac:dyDescent="0.3">
      <c r="A4277" t="s">
        <v>4301</v>
      </c>
      <c r="B4277" s="1">
        <v>45745</v>
      </c>
      <c r="C4277" t="s">
        <v>25</v>
      </c>
      <c r="D4277" t="s">
        <v>22</v>
      </c>
      <c r="E4277" s="2">
        <v>24.33</v>
      </c>
      <c r="F4277" s="3">
        <v>84.17</v>
      </c>
      <c r="G4277" s="4">
        <v>353.27</v>
      </c>
      <c r="H4277">
        <v>1</v>
      </c>
      <c r="I4277" s="4">
        <v>353.27</v>
      </c>
      <c r="J4277">
        <v>4</v>
      </c>
      <c r="K4277" t="s">
        <v>33</v>
      </c>
      <c r="L4277" t="s">
        <v>16</v>
      </c>
      <c r="O4277"/>
    </row>
    <row r="4278" spans="1:15" x14ac:dyDescent="0.3">
      <c r="A4278" t="s">
        <v>4302</v>
      </c>
      <c r="B4278" s="1">
        <v>45948</v>
      </c>
      <c r="C4278" t="s">
        <v>13</v>
      </c>
      <c r="D4278" t="s">
        <v>21</v>
      </c>
      <c r="E4278" s="2">
        <v>24.58</v>
      </c>
      <c r="F4278" s="3">
        <v>73.14</v>
      </c>
      <c r="G4278" s="4">
        <v>431.12</v>
      </c>
      <c r="H4278">
        <v>1.2</v>
      </c>
      <c r="I4278" s="4">
        <v>517.34</v>
      </c>
      <c r="J4278">
        <v>3.8</v>
      </c>
      <c r="K4278" t="s">
        <v>18</v>
      </c>
      <c r="L4278" t="s">
        <v>19</v>
      </c>
      <c r="O4278"/>
    </row>
    <row r="4279" spans="1:15" x14ac:dyDescent="0.3">
      <c r="A4279" t="s">
        <v>4303</v>
      </c>
      <c r="B4279" s="1">
        <v>45693</v>
      </c>
      <c r="C4279" t="s">
        <v>14</v>
      </c>
      <c r="D4279" t="s">
        <v>21</v>
      </c>
      <c r="E4279" s="2">
        <v>8.39</v>
      </c>
      <c r="F4279" s="3">
        <v>32.130000000000003</v>
      </c>
      <c r="G4279" s="4">
        <v>141.58000000000001</v>
      </c>
      <c r="H4279">
        <v>2</v>
      </c>
      <c r="I4279" s="4">
        <v>283.16000000000003</v>
      </c>
      <c r="J4279">
        <v>3.3</v>
      </c>
      <c r="K4279" t="s">
        <v>18</v>
      </c>
      <c r="L4279" t="s">
        <v>19</v>
      </c>
      <c r="O4279"/>
    </row>
    <row r="4280" spans="1:15" x14ac:dyDescent="0.3">
      <c r="A4280" t="s">
        <v>4304</v>
      </c>
      <c r="B4280" s="1">
        <v>45797</v>
      </c>
      <c r="C4280" t="s">
        <v>22</v>
      </c>
      <c r="D4280" t="s">
        <v>25</v>
      </c>
      <c r="E4280" s="2">
        <v>21.34</v>
      </c>
      <c r="F4280" s="3">
        <v>70.260000000000005</v>
      </c>
      <c r="G4280" s="4">
        <v>251.46</v>
      </c>
      <c r="H4280">
        <v>2</v>
      </c>
      <c r="I4280" s="4">
        <v>502.92</v>
      </c>
      <c r="J4280">
        <v>3.6</v>
      </c>
      <c r="K4280" t="s">
        <v>18</v>
      </c>
      <c r="L4280" t="s">
        <v>28</v>
      </c>
      <c r="O4280"/>
    </row>
    <row r="4281" spans="1:15" x14ac:dyDescent="0.3">
      <c r="A4281" t="s">
        <v>4305</v>
      </c>
      <c r="B4281" s="1">
        <v>45772</v>
      </c>
      <c r="C4281" t="s">
        <v>14</v>
      </c>
      <c r="D4281" t="s">
        <v>14</v>
      </c>
      <c r="E4281" s="2">
        <v>10.55</v>
      </c>
      <c r="F4281" s="3">
        <v>28.89</v>
      </c>
      <c r="G4281" s="4">
        <v>115.18</v>
      </c>
      <c r="H4281">
        <v>1.2</v>
      </c>
      <c r="I4281" s="4">
        <v>138.22</v>
      </c>
      <c r="J4281">
        <v>3.7</v>
      </c>
      <c r="K4281" t="s">
        <v>18</v>
      </c>
      <c r="L4281" t="s">
        <v>19</v>
      </c>
      <c r="O4281"/>
    </row>
    <row r="4282" spans="1:15" x14ac:dyDescent="0.3">
      <c r="A4282" t="s">
        <v>4306</v>
      </c>
      <c r="B4282" s="1">
        <v>45978</v>
      </c>
      <c r="C4282" t="s">
        <v>21</v>
      </c>
      <c r="D4282" t="s">
        <v>22</v>
      </c>
      <c r="E4282" s="2">
        <v>29.27</v>
      </c>
      <c r="F4282" s="3">
        <v>96.48</v>
      </c>
      <c r="G4282" s="4">
        <v>419.29</v>
      </c>
      <c r="H4282">
        <v>1</v>
      </c>
      <c r="I4282" s="4">
        <v>419.29</v>
      </c>
      <c r="J4282">
        <v>3.5</v>
      </c>
      <c r="K4282" t="s">
        <v>18</v>
      </c>
      <c r="L4282" t="s">
        <v>28</v>
      </c>
      <c r="O4282"/>
    </row>
    <row r="4283" spans="1:15" x14ac:dyDescent="0.3">
      <c r="A4283" t="s">
        <v>4307</v>
      </c>
      <c r="B4283" s="1">
        <v>45846</v>
      </c>
      <c r="C4283" t="s">
        <v>22</v>
      </c>
      <c r="D4283" t="s">
        <v>13</v>
      </c>
      <c r="E4283" s="2">
        <v>15.91</v>
      </c>
      <c r="F4283" s="3">
        <v>63.17</v>
      </c>
      <c r="G4283" s="4">
        <v>196.53</v>
      </c>
      <c r="H4283">
        <v>1.2</v>
      </c>
      <c r="I4283" s="4">
        <v>235.84</v>
      </c>
      <c r="J4283">
        <v>3.9</v>
      </c>
      <c r="K4283" t="s">
        <v>30</v>
      </c>
      <c r="L4283" t="s">
        <v>26</v>
      </c>
      <c r="O4283"/>
    </row>
    <row r="4284" spans="1:15" x14ac:dyDescent="0.3">
      <c r="A4284" t="s">
        <v>4308</v>
      </c>
      <c r="B4284" s="1">
        <v>45990</v>
      </c>
      <c r="C4284" t="s">
        <v>13</v>
      </c>
      <c r="D4284" t="s">
        <v>25</v>
      </c>
      <c r="E4284" s="2">
        <v>9.85</v>
      </c>
      <c r="F4284" s="3">
        <v>26.23</v>
      </c>
      <c r="G4284" s="4">
        <v>105.44</v>
      </c>
      <c r="H4284">
        <v>1</v>
      </c>
      <c r="I4284" s="4">
        <v>105.44</v>
      </c>
      <c r="J4284">
        <v>3.4</v>
      </c>
      <c r="K4284" t="s">
        <v>30</v>
      </c>
      <c r="L4284" t="s">
        <v>26</v>
      </c>
      <c r="O4284"/>
    </row>
    <row r="4285" spans="1:15" x14ac:dyDescent="0.3">
      <c r="A4285" t="s">
        <v>4309</v>
      </c>
      <c r="B4285" s="1">
        <v>45693</v>
      </c>
      <c r="C4285" t="s">
        <v>21</v>
      </c>
      <c r="D4285" t="s">
        <v>25</v>
      </c>
      <c r="E4285" s="2">
        <v>17.39</v>
      </c>
      <c r="F4285" s="3">
        <v>56.17</v>
      </c>
      <c r="G4285" s="4">
        <v>261.24</v>
      </c>
      <c r="H4285">
        <v>1</v>
      </c>
      <c r="I4285" s="4">
        <v>261.24</v>
      </c>
      <c r="J4285">
        <v>4.7</v>
      </c>
      <c r="K4285" t="s">
        <v>18</v>
      </c>
      <c r="L4285" t="s">
        <v>28</v>
      </c>
      <c r="O4285"/>
    </row>
    <row r="4286" spans="1:15" x14ac:dyDescent="0.3">
      <c r="A4286" t="s">
        <v>4310</v>
      </c>
      <c r="B4286" s="1">
        <v>45823</v>
      </c>
      <c r="C4286" t="s">
        <v>13</v>
      </c>
      <c r="D4286" t="s">
        <v>21</v>
      </c>
      <c r="E4286" s="2">
        <v>24.98</v>
      </c>
      <c r="F4286" s="3">
        <v>58.66</v>
      </c>
      <c r="G4286" s="4">
        <v>353.04</v>
      </c>
      <c r="H4286">
        <v>1</v>
      </c>
      <c r="I4286" s="4">
        <v>353.04</v>
      </c>
      <c r="J4286">
        <v>4</v>
      </c>
      <c r="K4286" t="s">
        <v>18</v>
      </c>
      <c r="L4286" t="s">
        <v>16</v>
      </c>
      <c r="O4286"/>
    </row>
    <row r="4287" spans="1:15" x14ac:dyDescent="0.3">
      <c r="A4287" t="s">
        <v>4311</v>
      </c>
      <c r="B4287" s="1">
        <v>45893</v>
      </c>
      <c r="C4287" t="s">
        <v>13</v>
      </c>
      <c r="D4287" t="s">
        <v>21</v>
      </c>
      <c r="E4287" s="2">
        <v>5.59</v>
      </c>
      <c r="F4287" s="3">
        <v>21.4</v>
      </c>
      <c r="G4287" s="4">
        <v>105.01</v>
      </c>
      <c r="H4287">
        <v>2</v>
      </c>
      <c r="I4287" s="4">
        <v>210.02</v>
      </c>
      <c r="J4287">
        <v>4.3</v>
      </c>
      <c r="K4287" t="s">
        <v>36</v>
      </c>
      <c r="L4287" t="s">
        <v>28</v>
      </c>
      <c r="O4287"/>
    </row>
    <row r="4288" spans="1:15" x14ac:dyDescent="0.3">
      <c r="A4288" t="s">
        <v>4312</v>
      </c>
      <c r="B4288" s="1">
        <v>45999</v>
      </c>
      <c r="C4288" t="s">
        <v>25</v>
      </c>
      <c r="D4288" t="s">
        <v>13</v>
      </c>
      <c r="E4288" s="2">
        <v>18.16</v>
      </c>
      <c r="F4288" s="3">
        <v>49.3</v>
      </c>
      <c r="G4288" s="4">
        <v>319.38</v>
      </c>
      <c r="H4288">
        <v>2</v>
      </c>
      <c r="I4288" s="4">
        <v>638.76</v>
      </c>
      <c r="J4288">
        <v>3.3</v>
      </c>
      <c r="K4288" t="s">
        <v>18</v>
      </c>
      <c r="L4288" t="s">
        <v>16</v>
      </c>
      <c r="O4288"/>
    </row>
    <row r="4289" spans="1:15" x14ac:dyDescent="0.3">
      <c r="A4289" t="s">
        <v>4313</v>
      </c>
      <c r="B4289" s="1">
        <v>45852</v>
      </c>
      <c r="C4289" t="s">
        <v>13</v>
      </c>
      <c r="D4289" t="s">
        <v>13</v>
      </c>
      <c r="E4289" s="2">
        <v>9.18</v>
      </c>
      <c r="F4289" s="3">
        <v>32.4</v>
      </c>
      <c r="G4289" s="4">
        <v>101.59</v>
      </c>
      <c r="H4289">
        <v>1</v>
      </c>
      <c r="I4289" s="4">
        <v>101.59</v>
      </c>
      <c r="J4289">
        <v>3.2</v>
      </c>
      <c r="K4289" t="s">
        <v>15</v>
      </c>
      <c r="L4289" t="s">
        <v>28</v>
      </c>
      <c r="O4289"/>
    </row>
    <row r="4290" spans="1:15" x14ac:dyDescent="0.3">
      <c r="A4290" t="s">
        <v>4314</v>
      </c>
      <c r="B4290" s="1">
        <v>45998</v>
      </c>
      <c r="C4290" t="s">
        <v>25</v>
      </c>
      <c r="D4290" t="s">
        <v>22</v>
      </c>
      <c r="E4290" s="2">
        <v>22.45</v>
      </c>
      <c r="F4290" s="3">
        <v>49.7</v>
      </c>
      <c r="G4290" s="4">
        <v>322.86</v>
      </c>
      <c r="H4290">
        <v>1.2</v>
      </c>
      <c r="I4290" s="4">
        <v>387.43</v>
      </c>
      <c r="J4290">
        <v>3.9</v>
      </c>
      <c r="K4290" t="s">
        <v>18</v>
      </c>
      <c r="L4290" t="s">
        <v>16</v>
      </c>
      <c r="O4290"/>
    </row>
    <row r="4291" spans="1:15" x14ac:dyDescent="0.3">
      <c r="A4291" t="s">
        <v>4315</v>
      </c>
      <c r="B4291" s="1">
        <v>45987</v>
      </c>
      <c r="C4291" t="s">
        <v>14</v>
      </c>
      <c r="D4291" t="s">
        <v>14</v>
      </c>
      <c r="E4291" s="2">
        <v>17.97</v>
      </c>
      <c r="F4291" s="3">
        <v>63.95</v>
      </c>
      <c r="G4291" s="4">
        <v>345.13</v>
      </c>
      <c r="H4291">
        <v>1.2</v>
      </c>
      <c r="I4291" s="4">
        <v>414.16</v>
      </c>
      <c r="J4291">
        <v>3.3</v>
      </c>
      <c r="K4291" t="s">
        <v>30</v>
      </c>
      <c r="L4291" t="s">
        <v>19</v>
      </c>
      <c r="O4291"/>
    </row>
    <row r="4292" spans="1:15" x14ac:dyDescent="0.3">
      <c r="A4292" t="s">
        <v>4316</v>
      </c>
      <c r="B4292" s="1">
        <v>45929</v>
      </c>
      <c r="C4292" t="s">
        <v>13</v>
      </c>
      <c r="D4292" t="s">
        <v>14</v>
      </c>
      <c r="E4292" s="2">
        <v>3.16</v>
      </c>
      <c r="F4292" s="3">
        <v>9.3699999999999992</v>
      </c>
      <c r="G4292" s="4">
        <v>46.9</v>
      </c>
      <c r="H4292">
        <v>1</v>
      </c>
      <c r="I4292" s="4">
        <v>46.9</v>
      </c>
      <c r="J4292">
        <v>4.0999999999999996</v>
      </c>
      <c r="K4292" t="s">
        <v>18</v>
      </c>
      <c r="L4292" t="s">
        <v>16</v>
      </c>
      <c r="O4292"/>
    </row>
    <row r="4293" spans="1:15" x14ac:dyDescent="0.3">
      <c r="A4293" t="s">
        <v>4317</v>
      </c>
      <c r="B4293" s="1">
        <v>45762</v>
      </c>
      <c r="C4293" t="s">
        <v>13</v>
      </c>
      <c r="D4293" t="s">
        <v>21</v>
      </c>
      <c r="E4293" s="2">
        <v>9.19</v>
      </c>
      <c r="F4293" s="3">
        <v>23.68</v>
      </c>
      <c r="G4293" s="4">
        <v>113.43</v>
      </c>
      <c r="H4293">
        <v>1.2</v>
      </c>
      <c r="I4293" s="4">
        <v>136.12</v>
      </c>
      <c r="J4293">
        <v>4.7</v>
      </c>
      <c r="K4293" t="s">
        <v>18</v>
      </c>
      <c r="L4293" t="s">
        <v>26</v>
      </c>
      <c r="O4293"/>
    </row>
    <row r="4294" spans="1:15" x14ac:dyDescent="0.3">
      <c r="A4294" t="s">
        <v>4318</v>
      </c>
      <c r="B4294" s="1">
        <v>45809</v>
      </c>
      <c r="C4294" t="s">
        <v>22</v>
      </c>
      <c r="D4294" t="s">
        <v>25</v>
      </c>
      <c r="E4294" s="2">
        <v>20.75</v>
      </c>
      <c r="F4294" s="3">
        <v>72.3</v>
      </c>
      <c r="G4294" s="4">
        <v>376.28</v>
      </c>
      <c r="H4294">
        <v>1</v>
      </c>
      <c r="I4294" s="4">
        <v>376.28</v>
      </c>
      <c r="J4294">
        <v>4.8</v>
      </c>
      <c r="K4294" t="s">
        <v>15</v>
      </c>
      <c r="L4294" t="s">
        <v>26</v>
      </c>
      <c r="O4294"/>
    </row>
    <row r="4295" spans="1:15" x14ac:dyDescent="0.3">
      <c r="A4295" t="s">
        <v>4319</v>
      </c>
      <c r="B4295" s="1">
        <v>45704</v>
      </c>
      <c r="C4295" t="s">
        <v>13</v>
      </c>
      <c r="D4295" t="s">
        <v>22</v>
      </c>
      <c r="E4295" s="2">
        <v>29.27</v>
      </c>
      <c r="F4295" s="3">
        <v>59.38</v>
      </c>
      <c r="G4295" s="4">
        <v>573.89</v>
      </c>
      <c r="H4295">
        <v>1.5</v>
      </c>
      <c r="I4295" s="4">
        <v>860.84</v>
      </c>
      <c r="J4295">
        <v>3.4</v>
      </c>
      <c r="K4295" t="s">
        <v>15</v>
      </c>
      <c r="L4295" t="s">
        <v>28</v>
      </c>
      <c r="O4295"/>
    </row>
    <row r="4296" spans="1:15" x14ac:dyDescent="0.3">
      <c r="A4296" t="s">
        <v>4320</v>
      </c>
      <c r="B4296" s="1">
        <v>45743</v>
      </c>
      <c r="C4296" t="s">
        <v>21</v>
      </c>
      <c r="D4296" t="s">
        <v>21</v>
      </c>
      <c r="E4296" s="2">
        <v>20.16</v>
      </c>
      <c r="F4296" s="3">
        <v>50.11</v>
      </c>
      <c r="G4296" s="4">
        <v>390.86</v>
      </c>
      <c r="H4296">
        <v>1</v>
      </c>
      <c r="I4296" s="4">
        <v>390.86</v>
      </c>
      <c r="J4296">
        <v>3.3</v>
      </c>
      <c r="K4296" t="s">
        <v>33</v>
      </c>
      <c r="L4296" t="s">
        <v>26</v>
      </c>
      <c r="O4296"/>
    </row>
    <row r="4297" spans="1:15" x14ac:dyDescent="0.3">
      <c r="A4297" t="s">
        <v>4321</v>
      </c>
      <c r="B4297" s="1">
        <v>45770</v>
      </c>
      <c r="C4297" t="s">
        <v>22</v>
      </c>
      <c r="D4297" t="s">
        <v>14</v>
      </c>
      <c r="E4297" s="2">
        <v>15.64</v>
      </c>
      <c r="F4297" s="3">
        <v>46.55</v>
      </c>
      <c r="G4297" s="4">
        <v>181.95</v>
      </c>
      <c r="H4297">
        <v>1.2</v>
      </c>
      <c r="I4297" s="4">
        <v>218.34</v>
      </c>
      <c r="J4297">
        <v>3.4</v>
      </c>
      <c r="K4297" t="s">
        <v>30</v>
      </c>
      <c r="L4297" t="s">
        <v>26</v>
      </c>
      <c r="O4297"/>
    </row>
    <row r="4298" spans="1:15" x14ac:dyDescent="0.3">
      <c r="A4298" t="s">
        <v>4322</v>
      </c>
      <c r="B4298" s="1">
        <v>45882</v>
      </c>
      <c r="C4298" t="s">
        <v>21</v>
      </c>
      <c r="D4298" t="s">
        <v>14</v>
      </c>
      <c r="E4298" s="2">
        <v>26.82</v>
      </c>
      <c r="F4298" s="3">
        <v>54.14</v>
      </c>
      <c r="G4298" s="4">
        <v>530.04</v>
      </c>
      <c r="H4298">
        <v>1.2</v>
      </c>
      <c r="I4298" s="4">
        <v>636.04999999999995</v>
      </c>
      <c r="J4298">
        <v>3.4</v>
      </c>
      <c r="K4298" t="s">
        <v>30</v>
      </c>
      <c r="L4298" t="s">
        <v>16</v>
      </c>
      <c r="O4298"/>
    </row>
    <row r="4299" spans="1:15" x14ac:dyDescent="0.3">
      <c r="A4299" t="s">
        <v>4323</v>
      </c>
      <c r="B4299" s="1">
        <v>45865</v>
      </c>
      <c r="C4299" t="s">
        <v>13</v>
      </c>
      <c r="D4299" t="s">
        <v>22</v>
      </c>
      <c r="E4299" s="2">
        <v>24.63</v>
      </c>
      <c r="F4299" s="3">
        <v>94.37</v>
      </c>
      <c r="G4299" s="4">
        <v>346.37</v>
      </c>
      <c r="H4299">
        <v>1.5</v>
      </c>
      <c r="I4299" s="4">
        <v>519.55999999999995</v>
      </c>
      <c r="J4299">
        <v>3.5</v>
      </c>
      <c r="K4299" t="s">
        <v>18</v>
      </c>
      <c r="L4299" t="s">
        <v>26</v>
      </c>
      <c r="O4299"/>
    </row>
    <row r="4300" spans="1:15" x14ac:dyDescent="0.3">
      <c r="A4300" t="s">
        <v>4324</v>
      </c>
      <c r="B4300" s="1">
        <v>45996</v>
      </c>
      <c r="C4300" t="s">
        <v>13</v>
      </c>
      <c r="D4300" t="s">
        <v>22</v>
      </c>
      <c r="E4300" s="2">
        <v>22.35</v>
      </c>
      <c r="F4300" s="3">
        <v>74.98</v>
      </c>
      <c r="G4300" s="4">
        <v>439.67</v>
      </c>
      <c r="H4300">
        <v>1.5</v>
      </c>
      <c r="I4300" s="4">
        <v>659.5</v>
      </c>
      <c r="J4300">
        <v>4.5999999999999996</v>
      </c>
      <c r="K4300" t="s">
        <v>36</v>
      </c>
      <c r="L4300" t="s">
        <v>19</v>
      </c>
      <c r="O4300"/>
    </row>
    <row r="4301" spans="1:15" x14ac:dyDescent="0.3">
      <c r="A4301" t="s">
        <v>4325</v>
      </c>
      <c r="B4301" s="1">
        <v>45966</v>
      </c>
      <c r="C4301" t="s">
        <v>21</v>
      </c>
      <c r="D4301" t="s">
        <v>14</v>
      </c>
      <c r="E4301" s="2">
        <v>15.67</v>
      </c>
      <c r="F4301" s="3">
        <v>59.63</v>
      </c>
      <c r="G4301" s="4">
        <v>246.99</v>
      </c>
      <c r="H4301">
        <v>1.5</v>
      </c>
      <c r="I4301" s="4">
        <v>370.48</v>
      </c>
      <c r="J4301">
        <v>3.3</v>
      </c>
      <c r="K4301" t="s">
        <v>33</v>
      </c>
      <c r="L4301" t="s">
        <v>19</v>
      </c>
      <c r="O4301"/>
    </row>
    <row r="4302" spans="1:15" x14ac:dyDescent="0.3">
      <c r="A4302" t="s">
        <v>4326</v>
      </c>
      <c r="B4302" s="1">
        <v>45814</v>
      </c>
      <c r="C4302" t="s">
        <v>14</v>
      </c>
      <c r="D4302" t="s">
        <v>13</v>
      </c>
      <c r="E4302" s="2">
        <v>25.17</v>
      </c>
      <c r="F4302" s="3">
        <v>64.56</v>
      </c>
      <c r="G4302" s="4">
        <v>278.76</v>
      </c>
      <c r="H4302">
        <v>2</v>
      </c>
      <c r="I4302" s="4">
        <v>557.52</v>
      </c>
      <c r="J4302">
        <v>3</v>
      </c>
      <c r="K4302" t="s">
        <v>36</v>
      </c>
      <c r="L4302" t="s">
        <v>16</v>
      </c>
      <c r="O4302"/>
    </row>
    <row r="4303" spans="1:15" x14ac:dyDescent="0.3">
      <c r="A4303" t="s">
        <v>4327</v>
      </c>
      <c r="B4303" s="1">
        <v>45941</v>
      </c>
      <c r="C4303" t="s">
        <v>25</v>
      </c>
      <c r="D4303" t="s">
        <v>21</v>
      </c>
      <c r="E4303" s="2">
        <v>19.68</v>
      </c>
      <c r="F4303" s="3">
        <v>42.97</v>
      </c>
      <c r="G4303" s="4">
        <v>200.92</v>
      </c>
      <c r="H4303">
        <v>1</v>
      </c>
      <c r="I4303" s="4">
        <v>200.92</v>
      </c>
      <c r="J4303">
        <v>4.4000000000000004</v>
      </c>
      <c r="K4303" t="s">
        <v>15</v>
      </c>
      <c r="L4303" t="s">
        <v>16</v>
      </c>
      <c r="O4303"/>
    </row>
    <row r="4304" spans="1:15" x14ac:dyDescent="0.3">
      <c r="A4304" t="s">
        <v>4328</v>
      </c>
      <c r="B4304" s="1">
        <v>45977</v>
      </c>
      <c r="C4304" t="s">
        <v>14</v>
      </c>
      <c r="D4304" t="s">
        <v>22</v>
      </c>
      <c r="E4304" s="2">
        <v>18.809999999999999</v>
      </c>
      <c r="F4304" s="3">
        <v>56.42</v>
      </c>
      <c r="G4304" s="4">
        <v>245.8</v>
      </c>
      <c r="H4304">
        <v>1.2</v>
      </c>
      <c r="I4304" s="4">
        <v>294.95999999999998</v>
      </c>
      <c r="J4304">
        <v>3.6</v>
      </c>
      <c r="K4304" t="s">
        <v>15</v>
      </c>
      <c r="L4304" t="s">
        <v>19</v>
      </c>
      <c r="O4304"/>
    </row>
    <row r="4305" spans="1:15" x14ac:dyDescent="0.3">
      <c r="A4305" t="s">
        <v>4329</v>
      </c>
      <c r="B4305" s="1">
        <v>45922</v>
      </c>
      <c r="C4305" t="s">
        <v>22</v>
      </c>
      <c r="D4305" t="s">
        <v>14</v>
      </c>
      <c r="E4305" s="2">
        <v>10.7</v>
      </c>
      <c r="F4305" s="3">
        <v>28.34</v>
      </c>
      <c r="G4305" s="4">
        <v>181.32</v>
      </c>
      <c r="H4305">
        <v>2</v>
      </c>
      <c r="I4305" s="4">
        <v>362.64</v>
      </c>
      <c r="J4305">
        <v>4.5</v>
      </c>
      <c r="K4305" t="s">
        <v>30</v>
      </c>
      <c r="L4305" t="s">
        <v>28</v>
      </c>
      <c r="O4305"/>
    </row>
    <row r="4306" spans="1:15" x14ac:dyDescent="0.3">
      <c r="A4306" t="s">
        <v>4330</v>
      </c>
      <c r="B4306" s="1">
        <v>45985</v>
      </c>
      <c r="C4306" t="s">
        <v>22</v>
      </c>
      <c r="D4306" t="s">
        <v>22</v>
      </c>
      <c r="E4306" s="2">
        <v>29.12</v>
      </c>
      <c r="F4306" s="3">
        <v>83.15</v>
      </c>
      <c r="G4306" s="4">
        <v>456.04</v>
      </c>
      <c r="H4306">
        <v>1</v>
      </c>
      <c r="I4306" s="4">
        <v>456.04</v>
      </c>
      <c r="J4306">
        <v>3.9</v>
      </c>
      <c r="K4306" t="s">
        <v>33</v>
      </c>
      <c r="L4306" t="s">
        <v>28</v>
      </c>
      <c r="O4306"/>
    </row>
    <row r="4307" spans="1:15" x14ac:dyDescent="0.3">
      <c r="A4307" t="s">
        <v>4331</v>
      </c>
      <c r="B4307" s="1">
        <v>45976</v>
      </c>
      <c r="C4307" t="s">
        <v>22</v>
      </c>
      <c r="D4307" t="s">
        <v>25</v>
      </c>
      <c r="E4307" s="2">
        <v>10.02</v>
      </c>
      <c r="F4307" s="3">
        <v>36.03</v>
      </c>
      <c r="G4307" s="4">
        <v>111.24</v>
      </c>
      <c r="H4307">
        <v>1.2</v>
      </c>
      <c r="I4307" s="4">
        <v>133.49</v>
      </c>
      <c r="J4307">
        <v>3.4</v>
      </c>
      <c r="K4307" t="s">
        <v>15</v>
      </c>
      <c r="L4307" t="s">
        <v>19</v>
      </c>
      <c r="O4307"/>
    </row>
    <row r="4308" spans="1:15" x14ac:dyDescent="0.3">
      <c r="A4308" t="s">
        <v>4332</v>
      </c>
      <c r="B4308" s="1">
        <v>46014</v>
      </c>
      <c r="C4308" t="s">
        <v>13</v>
      </c>
      <c r="D4308" t="s">
        <v>13</v>
      </c>
      <c r="E4308" s="2">
        <v>18.86</v>
      </c>
      <c r="F4308" s="3">
        <v>45.94</v>
      </c>
      <c r="G4308" s="4">
        <v>334.24</v>
      </c>
      <c r="H4308">
        <v>1.2</v>
      </c>
      <c r="I4308" s="4">
        <v>401.09</v>
      </c>
      <c r="J4308">
        <v>3.8</v>
      </c>
      <c r="K4308" t="s">
        <v>18</v>
      </c>
      <c r="L4308" t="s">
        <v>28</v>
      </c>
      <c r="O4308"/>
    </row>
    <row r="4309" spans="1:15" x14ac:dyDescent="0.3">
      <c r="A4309" t="s">
        <v>4333</v>
      </c>
      <c r="B4309" s="1">
        <v>45839</v>
      </c>
      <c r="C4309" t="s">
        <v>22</v>
      </c>
      <c r="D4309" t="s">
        <v>21</v>
      </c>
      <c r="E4309" s="2">
        <v>25.71</v>
      </c>
      <c r="F4309" s="3">
        <v>91.08</v>
      </c>
      <c r="G4309" s="4">
        <v>408.53</v>
      </c>
      <c r="H4309">
        <v>1.5</v>
      </c>
      <c r="I4309" s="4">
        <v>612.79</v>
      </c>
      <c r="J4309">
        <v>3.2</v>
      </c>
      <c r="K4309" t="s">
        <v>15</v>
      </c>
      <c r="L4309" t="s">
        <v>28</v>
      </c>
      <c r="O4309"/>
    </row>
    <row r="4310" spans="1:15" x14ac:dyDescent="0.3">
      <c r="A4310" t="s">
        <v>4334</v>
      </c>
      <c r="B4310" s="1">
        <v>45784</v>
      </c>
      <c r="C4310" t="s">
        <v>22</v>
      </c>
      <c r="D4310" t="s">
        <v>22</v>
      </c>
      <c r="E4310" s="2">
        <v>19.95</v>
      </c>
      <c r="F4310" s="3">
        <v>78.62</v>
      </c>
      <c r="G4310" s="4">
        <v>315.23</v>
      </c>
      <c r="H4310">
        <v>2</v>
      </c>
      <c r="I4310" s="4">
        <v>630.46</v>
      </c>
      <c r="J4310">
        <v>3.6</v>
      </c>
      <c r="K4310" t="s">
        <v>36</v>
      </c>
      <c r="L4310" t="s">
        <v>26</v>
      </c>
      <c r="O4310"/>
    </row>
    <row r="4311" spans="1:15" x14ac:dyDescent="0.3">
      <c r="A4311" t="s">
        <v>4335</v>
      </c>
      <c r="B4311" s="1">
        <v>45772</v>
      </c>
      <c r="C4311" t="s">
        <v>22</v>
      </c>
      <c r="D4311" t="s">
        <v>13</v>
      </c>
      <c r="E4311" s="2">
        <v>10.78</v>
      </c>
      <c r="F4311" s="3">
        <v>42.34</v>
      </c>
      <c r="G4311" s="4">
        <v>110.17</v>
      </c>
      <c r="H4311">
        <v>1</v>
      </c>
      <c r="I4311" s="4">
        <v>110.17</v>
      </c>
      <c r="J4311">
        <v>4.3</v>
      </c>
      <c r="K4311" t="s">
        <v>15</v>
      </c>
      <c r="L4311" t="s">
        <v>26</v>
      </c>
      <c r="O4311"/>
    </row>
    <row r="4312" spans="1:15" x14ac:dyDescent="0.3">
      <c r="A4312" t="s">
        <v>4336</v>
      </c>
      <c r="B4312" s="1">
        <v>45916</v>
      </c>
      <c r="C4312" t="s">
        <v>13</v>
      </c>
      <c r="D4312" t="s">
        <v>22</v>
      </c>
      <c r="E4312" s="2">
        <v>10.83</v>
      </c>
      <c r="F4312" s="3">
        <v>35.700000000000003</v>
      </c>
      <c r="G4312" s="4">
        <v>169.19</v>
      </c>
      <c r="H4312">
        <v>2</v>
      </c>
      <c r="I4312" s="4">
        <v>338.38</v>
      </c>
      <c r="J4312">
        <v>4.9000000000000004</v>
      </c>
      <c r="K4312" t="s">
        <v>18</v>
      </c>
      <c r="L4312" t="s">
        <v>26</v>
      </c>
      <c r="O4312"/>
    </row>
    <row r="4313" spans="1:15" x14ac:dyDescent="0.3">
      <c r="A4313" t="s">
        <v>4337</v>
      </c>
      <c r="B4313" s="1">
        <v>45747</v>
      </c>
      <c r="C4313" t="s">
        <v>13</v>
      </c>
      <c r="D4313" t="s">
        <v>22</v>
      </c>
      <c r="E4313" s="2">
        <v>18.489999999999998</v>
      </c>
      <c r="F4313" s="3">
        <v>67.150000000000006</v>
      </c>
      <c r="G4313" s="4">
        <v>242.64</v>
      </c>
      <c r="H4313">
        <v>2</v>
      </c>
      <c r="I4313" s="4">
        <v>485.28</v>
      </c>
      <c r="J4313">
        <v>4.3</v>
      </c>
      <c r="K4313" t="s">
        <v>18</v>
      </c>
      <c r="L4313" t="s">
        <v>28</v>
      </c>
      <c r="O4313"/>
    </row>
    <row r="4314" spans="1:15" x14ac:dyDescent="0.3">
      <c r="A4314" t="s">
        <v>4338</v>
      </c>
      <c r="B4314" s="1">
        <v>45996</v>
      </c>
      <c r="C4314" t="s">
        <v>14</v>
      </c>
      <c r="D4314" t="s">
        <v>13</v>
      </c>
      <c r="E4314" s="2">
        <v>17.77</v>
      </c>
      <c r="F4314" s="3">
        <v>37.729999999999997</v>
      </c>
      <c r="G4314" s="4">
        <v>261.3</v>
      </c>
      <c r="H4314">
        <v>1</v>
      </c>
      <c r="I4314" s="4">
        <v>261.3</v>
      </c>
      <c r="J4314">
        <v>4.5999999999999996</v>
      </c>
      <c r="K4314" t="s">
        <v>30</v>
      </c>
      <c r="L4314" t="s">
        <v>28</v>
      </c>
      <c r="O4314"/>
    </row>
    <row r="4315" spans="1:15" x14ac:dyDescent="0.3">
      <c r="A4315" t="s">
        <v>4339</v>
      </c>
      <c r="B4315" s="1">
        <v>45784</v>
      </c>
      <c r="C4315" t="s">
        <v>22</v>
      </c>
      <c r="D4315" t="s">
        <v>22</v>
      </c>
      <c r="E4315" s="2">
        <v>20.74</v>
      </c>
      <c r="F4315" s="3">
        <v>82.67</v>
      </c>
      <c r="G4315" s="4">
        <v>337.82</v>
      </c>
      <c r="H4315">
        <v>2</v>
      </c>
      <c r="I4315" s="4">
        <v>675.64</v>
      </c>
      <c r="J4315">
        <v>4.4000000000000004</v>
      </c>
      <c r="K4315" t="s">
        <v>33</v>
      </c>
      <c r="L4315" t="s">
        <v>26</v>
      </c>
      <c r="O4315"/>
    </row>
    <row r="4316" spans="1:15" x14ac:dyDescent="0.3">
      <c r="A4316" t="s">
        <v>4340</v>
      </c>
      <c r="B4316" s="1">
        <v>45903</v>
      </c>
      <c r="C4316" t="s">
        <v>22</v>
      </c>
      <c r="D4316" t="s">
        <v>21</v>
      </c>
      <c r="E4316" s="2">
        <v>10.86</v>
      </c>
      <c r="F4316" s="3">
        <v>41.64</v>
      </c>
      <c r="G4316" s="4">
        <v>190.61</v>
      </c>
      <c r="H4316">
        <v>1</v>
      </c>
      <c r="I4316" s="4">
        <v>190.61</v>
      </c>
      <c r="J4316">
        <v>4.7</v>
      </c>
      <c r="K4316" t="s">
        <v>15</v>
      </c>
      <c r="L4316" t="s">
        <v>16</v>
      </c>
      <c r="O4316"/>
    </row>
    <row r="4317" spans="1:15" x14ac:dyDescent="0.3">
      <c r="A4317" t="s">
        <v>4341</v>
      </c>
      <c r="B4317" s="1">
        <v>45861</v>
      </c>
      <c r="C4317" t="s">
        <v>21</v>
      </c>
      <c r="D4317" t="s">
        <v>13</v>
      </c>
      <c r="E4317" s="2">
        <v>13.31</v>
      </c>
      <c r="F4317" s="3">
        <v>45.53</v>
      </c>
      <c r="G4317" s="4">
        <v>248.59</v>
      </c>
      <c r="H4317">
        <v>1</v>
      </c>
      <c r="I4317" s="4">
        <v>248.59</v>
      </c>
      <c r="J4317">
        <v>3.8</v>
      </c>
      <c r="K4317" t="s">
        <v>33</v>
      </c>
      <c r="L4317" t="s">
        <v>28</v>
      </c>
      <c r="O4317"/>
    </row>
    <row r="4318" spans="1:15" x14ac:dyDescent="0.3">
      <c r="A4318" t="s">
        <v>4342</v>
      </c>
      <c r="B4318" s="1">
        <v>45799</v>
      </c>
      <c r="C4318" t="s">
        <v>14</v>
      </c>
      <c r="D4318" t="s">
        <v>21</v>
      </c>
      <c r="E4318" s="2">
        <v>10.43</v>
      </c>
      <c r="F4318" s="3">
        <v>29.66</v>
      </c>
      <c r="G4318" s="4">
        <v>115.72</v>
      </c>
      <c r="H4318">
        <v>1.5</v>
      </c>
      <c r="I4318" s="4">
        <v>173.58</v>
      </c>
      <c r="J4318">
        <v>4.5999999999999996</v>
      </c>
      <c r="K4318" t="s">
        <v>36</v>
      </c>
      <c r="L4318" t="s">
        <v>28</v>
      </c>
      <c r="O4318"/>
    </row>
    <row r="4319" spans="1:15" x14ac:dyDescent="0.3">
      <c r="A4319" t="s">
        <v>4343</v>
      </c>
      <c r="B4319" s="1">
        <v>45673</v>
      </c>
      <c r="C4319" t="s">
        <v>13</v>
      </c>
      <c r="D4319" t="s">
        <v>14</v>
      </c>
      <c r="E4319" s="2">
        <v>11.46</v>
      </c>
      <c r="F4319" s="3">
        <v>37.14</v>
      </c>
      <c r="G4319" s="4">
        <v>190.92</v>
      </c>
      <c r="H4319">
        <v>2</v>
      </c>
      <c r="I4319" s="4">
        <v>381.84</v>
      </c>
      <c r="J4319">
        <v>5</v>
      </c>
      <c r="K4319" t="s">
        <v>36</v>
      </c>
      <c r="L4319" t="s">
        <v>28</v>
      </c>
      <c r="O4319"/>
    </row>
    <row r="4320" spans="1:15" x14ac:dyDescent="0.3">
      <c r="A4320" t="s">
        <v>4344</v>
      </c>
      <c r="B4320" s="1">
        <v>45747</v>
      </c>
      <c r="C4320" t="s">
        <v>14</v>
      </c>
      <c r="D4320" t="s">
        <v>21</v>
      </c>
      <c r="E4320" s="2">
        <v>14</v>
      </c>
      <c r="F4320" s="3">
        <v>38.22</v>
      </c>
      <c r="G4320" s="4">
        <v>277.61</v>
      </c>
      <c r="H4320">
        <v>1.5</v>
      </c>
      <c r="I4320" s="4">
        <v>416.42</v>
      </c>
      <c r="J4320">
        <v>4.2</v>
      </c>
      <c r="K4320" t="s">
        <v>33</v>
      </c>
      <c r="L4320" t="s">
        <v>16</v>
      </c>
      <c r="O4320"/>
    </row>
    <row r="4321" spans="1:15" x14ac:dyDescent="0.3">
      <c r="A4321" t="s">
        <v>4345</v>
      </c>
      <c r="B4321" s="1">
        <v>45793</v>
      </c>
      <c r="C4321" t="s">
        <v>13</v>
      </c>
      <c r="D4321" t="s">
        <v>14</v>
      </c>
      <c r="E4321" s="2">
        <v>11.08</v>
      </c>
      <c r="F4321" s="3">
        <v>39.57</v>
      </c>
      <c r="G4321" s="4">
        <v>135.58000000000001</v>
      </c>
      <c r="H4321">
        <v>1.5</v>
      </c>
      <c r="I4321" s="4">
        <v>203.37</v>
      </c>
      <c r="J4321">
        <v>3.4</v>
      </c>
      <c r="K4321" t="s">
        <v>33</v>
      </c>
      <c r="L4321" t="s">
        <v>16</v>
      </c>
      <c r="O4321"/>
    </row>
    <row r="4322" spans="1:15" x14ac:dyDescent="0.3">
      <c r="A4322" t="s">
        <v>4346</v>
      </c>
      <c r="B4322" s="1">
        <v>45836</v>
      </c>
      <c r="C4322" t="s">
        <v>25</v>
      </c>
      <c r="D4322" t="s">
        <v>22</v>
      </c>
      <c r="E4322" s="2">
        <v>4.12</v>
      </c>
      <c r="F4322" s="3">
        <v>10.49</v>
      </c>
      <c r="G4322" s="4">
        <v>57.77</v>
      </c>
      <c r="H4322">
        <v>1.5</v>
      </c>
      <c r="I4322" s="4">
        <v>86.66</v>
      </c>
      <c r="J4322">
        <v>3.4</v>
      </c>
      <c r="K4322" t="s">
        <v>36</v>
      </c>
      <c r="L4322" t="s">
        <v>28</v>
      </c>
      <c r="O4322"/>
    </row>
    <row r="4323" spans="1:15" x14ac:dyDescent="0.3">
      <c r="A4323" t="s">
        <v>4347</v>
      </c>
      <c r="B4323" s="1">
        <v>45881</v>
      </c>
      <c r="C4323" t="s">
        <v>22</v>
      </c>
      <c r="D4323" t="s">
        <v>25</v>
      </c>
      <c r="E4323" s="2">
        <v>20.13</v>
      </c>
      <c r="F4323" s="3">
        <v>69.09</v>
      </c>
      <c r="G4323" s="4">
        <v>332.93</v>
      </c>
      <c r="H4323">
        <v>2</v>
      </c>
      <c r="I4323" s="4">
        <v>665.86</v>
      </c>
      <c r="J4323">
        <v>4.2</v>
      </c>
      <c r="K4323" t="s">
        <v>36</v>
      </c>
      <c r="L4323" t="s">
        <v>16</v>
      </c>
      <c r="O4323"/>
    </row>
    <row r="4324" spans="1:15" x14ac:dyDescent="0.3">
      <c r="A4324" t="s">
        <v>4348</v>
      </c>
      <c r="B4324" s="1">
        <v>45687</v>
      </c>
      <c r="C4324" t="s">
        <v>25</v>
      </c>
      <c r="D4324" t="s">
        <v>14</v>
      </c>
      <c r="E4324" s="2">
        <v>16.440000000000001</v>
      </c>
      <c r="F4324" s="3">
        <v>65.47</v>
      </c>
      <c r="G4324" s="4">
        <v>251.84</v>
      </c>
      <c r="H4324">
        <v>1.5</v>
      </c>
      <c r="I4324" s="4">
        <v>377.76</v>
      </c>
      <c r="J4324">
        <v>3.7</v>
      </c>
      <c r="K4324" t="s">
        <v>36</v>
      </c>
      <c r="L4324" t="s">
        <v>26</v>
      </c>
      <c r="O4324"/>
    </row>
    <row r="4325" spans="1:15" x14ac:dyDescent="0.3">
      <c r="A4325" t="s">
        <v>4349</v>
      </c>
      <c r="B4325" s="1">
        <v>46018</v>
      </c>
      <c r="C4325" t="s">
        <v>21</v>
      </c>
      <c r="D4325" t="s">
        <v>25</v>
      </c>
      <c r="E4325" s="2">
        <v>29.83</v>
      </c>
      <c r="F4325" s="3">
        <v>84.96</v>
      </c>
      <c r="G4325" s="4">
        <v>487.7</v>
      </c>
      <c r="H4325">
        <v>2</v>
      </c>
      <c r="I4325" s="4">
        <v>975.4</v>
      </c>
      <c r="J4325">
        <v>3.4</v>
      </c>
      <c r="K4325" t="s">
        <v>15</v>
      </c>
      <c r="L4325" t="s">
        <v>19</v>
      </c>
      <c r="O4325"/>
    </row>
    <row r="4326" spans="1:15" x14ac:dyDescent="0.3">
      <c r="A4326" t="s">
        <v>4350</v>
      </c>
      <c r="B4326" s="1">
        <v>45952</v>
      </c>
      <c r="C4326" t="s">
        <v>22</v>
      </c>
      <c r="D4326" t="s">
        <v>21</v>
      </c>
      <c r="E4326" s="2">
        <v>28.21</v>
      </c>
      <c r="F4326" s="3">
        <v>73.89</v>
      </c>
      <c r="G4326" s="4">
        <v>513.1</v>
      </c>
      <c r="H4326">
        <v>1</v>
      </c>
      <c r="I4326" s="4">
        <v>513.1</v>
      </c>
      <c r="J4326">
        <v>4.9000000000000004</v>
      </c>
      <c r="K4326" t="s">
        <v>33</v>
      </c>
      <c r="L4326" t="s">
        <v>26</v>
      </c>
      <c r="O4326"/>
    </row>
    <row r="4327" spans="1:15" x14ac:dyDescent="0.3">
      <c r="A4327" t="s">
        <v>4351</v>
      </c>
      <c r="B4327" s="1">
        <v>45878</v>
      </c>
      <c r="C4327" t="s">
        <v>14</v>
      </c>
      <c r="D4327" t="s">
        <v>14</v>
      </c>
      <c r="E4327" s="2">
        <v>24.12</v>
      </c>
      <c r="F4327" s="3">
        <v>68.84</v>
      </c>
      <c r="G4327" s="4">
        <v>270.24</v>
      </c>
      <c r="H4327">
        <v>1.5</v>
      </c>
      <c r="I4327" s="4">
        <v>405.36</v>
      </c>
      <c r="J4327">
        <v>3.9</v>
      </c>
      <c r="K4327" t="s">
        <v>30</v>
      </c>
      <c r="L4327" t="s">
        <v>16</v>
      </c>
      <c r="O4327"/>
    </row>
    <row r="4328" spans="1:15" x14ac:dyDescent="0.3">
      <c r="A4328" t="s">
        <v>4352</v>
      </c>
      <c r="B4328" s="1">
        <v>45857</v>
      </c>
      <c r="C4328" t="s">
        <v>22</v>
      </c>
      <c r="D4328" t="s">
        <v>22</v>
      </c>
      <c r="E4328" s="2">
        <v>16.71</v>
      </c>
      <c r="F4328" s="3">
        <v>60.42</v>
      </c>
      <c r="G4328" s="4">
        <v>327.66000000000003</v>
      </c>
      <c r="H4328">
        <v>1.5</v>
      </c>
      <c r="I4328" s="4">
        <v>491.49</v>
      </c>
      <c r="J4328">
        <v>3</v>
      </c>
      <c r="K4328" t="s">
        <v>15</v>
      </c>
      <c r="L4328" t="s">
        <v>28</v>
      </c>
      <c r="O4328"/>
    </row>
    <row r="4329" spans="1:15" x14ac:dyDescent="0.3">
      <c r="A4329" t="s">
        <v>4353</v>
      </c>
      <c r="B4329" s="1">
        <v>45911</v>
      </c>
      <c r="C4329" t="s">
        <v>13</v>
      </c>
      <c r="D4329" t="s">
        <v>21</v>
      </c>
      <c r="E4329" s="2">
        <v>13.66</v>
      </c>
      <c r="F4329" s="3">
        <v>39.799999999999997</v>
      </c>
      <c r="G4329" s="4">
        <v>248.39</v>
      </c>
      <c r="H4329">
        <v>1.2</v>
      </c>
      <c r="I4329" s="4">
        <v>298.07</v>
      </c>
      <c r="J4329">
        <v>4.5</v>
      </c>
      <c r="K4329" t="s">
        <v>33</v>
      </c>
      <c r="L4329" t="s">
        <v>26</v>
      </c>
      <c r="O4329"/>
    </row>
    <row r="4330" spans="1:15" x14ac:dyDescent="0.3">
      <c r="A4330" t="s">
        <v>4354</v>
      </c>
      <c r="B4330" s="1">
        <v>45878</v>
      </c>
      <c r="C4330" t="s">
        <v>22</v>
      </c>
      <c r="D4330" t="s">
        <v>13</v>
      </c>
      <c r="E4330" s="2">
        <v>21.67</v>
      </c>
      <c r="F4330" s="3">
        <v>67.3</v>
      </c>
      <c r="G4330" s="4">
        <v>380.21</v>
      </c>
      <c r="H4330">
        <v>2</v>
      </c>
      <c r="I4330" s="4">
        <v>760.42</v>
      </c>
      <c r="J4330">
        <v>4</v>
      </c>
      <c r="K4330" t="s">
        <v>33</v>
      </c>
      <c r="L4330" t="s">
        <v>19</v>
      </c>
      <c r="O4330"/>
    </row>
    <row r="4331" spans="1:15" x14ac:dyDescent="0.3">
      <c r="A4331" t="s">
        <v>4355</v>
      </c>
      <c r="B4331" s="1">
        <v>45862</v>
      </c>
      <c r="C4331" t="s">
        <v>21</v>
      </c>
      <c r="D4331" t="s">
        <v>21</v>
      </c>
      <c r="E4331" s="2">
        <v>7.83</v>
      </c>
      <c r="F4331" s="3">
        <v>31.07</v>
      </c>
      <c r="G4331" s="4">
        <v>120.76</v>
      </c>
      <c r="H4331">
        <v>1.5</v>
      </c>
      <c r="I4331" s="4">
        <v>181.14</v>
      </c>
      <c r="J4331">
        <v>3.9</v>
      </c>
      <c r="K4331" t="s">
        <v>33</v>
      </c>
      <c r="L4331" t="s">
        <v>16</v>
      </c>
      <c r="O4331"/>
    </row>
    <row r="4332" spans="1:15" x14ac:dyDescent="0.3">
      <c r="A4332" t="s">
        <v>4356</v>
      </c>
      <c r="B4332" s="1">
        <v>45973</v>
      </c>
      <c r="C4332" t="s">
        <v>22</v>
      </c>
      <c r="D4332" t="s">
        <v>21</v>
      </c>
      <c r="E4332" s="2">
        <v>10.33</v>
      </c>
      <c r="F4332" s="3">
        <v>27.59</v>
      </c>
      <c r="G4332" s="4">
        <v>175.48</v>
      </c>
      <c r="H4332">
        <v>1.5</v>
      </c>
      <c r="I4332" s="4">
        <v>263.22000000000003</v>
      </c>
      <c r="J4332">
        <v>4.9000000000000004</v>
      </c>
      <c r="K4332" t="s">
        <v>15</v>
      </c>
      <c r="L4332" t="s">
        <v>19</v>
      </c>
      <c r="O4332"/>
    </row>
    <row r="4333" spans="1:15" x14ac:dyDescent="0.3">
      <c r="A4333" t="s">
        <v>4357</v>
      </c>
      <c r="B4333" s="1">
        <v>45768</v>
      </c>
      <c r="C4333" t="s">
        <v>21</v>
      </c>
      <c r="D4333" t="s">
        <v>14</v>
      </c>
      <c r="E4333" s="2">
        <v>18.170000000000002</v>
      </c>
      <c r="F4333" s="3">
        <v>64.28</v>
      </c>
      <c r="G4333" s="4">
        <v>198.12</v>
      </c>
      <c r="H4333">
        <v>1</v>
      </c>
      <c r="I4333" s="4">
        <v>198.12</v>
      </c>
      <c r="J4333">
        <v>3.9</v>
      </c>
      <c r="K4333" t="s">
        <v>15</v>
      </c>
      <c r="L4333" t="s">
        <v>16</v>
      </c>
      <c r="O4333"/>
    </row>
    <row r="4334" spans="1:15" x14ac:dyDescent="0.3">
      <c r="A4334" t="s">
        <v>4358</v>
      </c>
      <c r="B4334" s="1">
        <v>45863</v>
      </c>
      <c r="C4334" t="s">
        <v>14</v>
      </c>
      <c r="D4334" t="s">
        <v>25</v>
      </c>
      <c r="E4334" s="2">
        <v>13.29</v>
      </c>
      <c r="F4334" s="3">
        <v>44.64</v>
      </c>
      <c r="G4334" s="4">
        <v>147.6</v>
      </c>
      <c r="H4334">
        <v>2</v>
      </c>
      <c r="I4334" s="4">
        <v>295.2</v>
      </c>
      <c r="J4334">
        <v>5</v>
      </c>
      <c r="K4334" t="s">
        <v>15</v>
      </c>
      <c r="L4334" t="s">
        <v>26</v>
      </c>
      <c r="O4334"/>
    </row>
    <row r="4335" spans="1:15" x14ac:dyDescent="0.3">
      <c r="A4335" t="s">
        <v>4359</v>
      </c>
      <c r="B4335" s="1">
        <v>45715</v>
      </c>
      <c r="C4335" t="s">
        <v>25</v>
      </c>
      <c r="D4335" t="s">
        <v>13</v>
      </c>
      <c r="E4335" s="2">
        <v>23.61</v>
      </c>
      <c r="F4335" s="3">
        <v>73.260000000000005</v>
      </c>
      <c r="G4335" s="4">
        <v>278.99</v>
      </c>
      <c r="H4335">
        <v>1.5</v>
      </c>
      <c r="I4335" s="4">
        <v>418.48</v>
      </c>
      <c r="J4335">
        <v>4</v>
      </c>
      <c r="K4335" t="s">
        <v>36</v>
      </c>
      <c r="L4335" t="s">
        <v>26</v>
      </c>
      <c r="O4335"/>
    </row>
    <row r="4336" spans="1:15" x14ac:dyDescent="0.3">
      <c r="A4336" t="s">
        <v>4360</v>
      </c>
      <c r="B4336" s="1">
        <v>45722</v>
      </c>
      <c r="C4336" t="s">
        <v>22</v>
      </c>
      <c r="D4336" t="s">
        <v>21</v>
      </c>
      <c r="E4336" s="2">
        <v>27.24</v>
      </c>
      <c r="F4336" s="3">
        <v>99.07</v>
      </c>
      <c r="G4336" s="4">
        <v>470.11</v>
      </c>
      <c r="H4336">
        <v>1</v>
      </c>
      <c r="I4336" s="4">
        <v>470.11</v>
      </c>
      <c r="J4336">
        <v>3.4</v>
      </c>
      <c r="K4336" t="s">
        <v>15</v>
      </c>
      <c r="L4336" t="s">
        <v>26</v>
      </c>
      <c r="O4336"/>
    </row>
    <row r="4337" spans="1:15" x14ac:dyDescent="0.3">
      <c r="A4337" t="s">
        <v>4361</v>
      </c>
      <c r="B4337" s="1">
        <v>45747</v>
      </c>
      <c r="C4337" t="s">
        <v>21</v>
      </c>
      <c r="D4337" t="s">
        <v>22</v>
      </c>
      <c r="E4337" s="2">
        <v>29.91</v>
      </c>
      <c r="F4337" s="3">
        <v>76.45</v>
      </c>
      <c r="G4337" s="4">
        <v>532.29999999999995</v>
      </c>
      <c r="H4337">
        <v>1</v>
      </c>
      <c r="I4337" s="4">
        <v>532.29999999999995</v>
      </c>
      <c r="J4337">
        <v>3.6</v>
      </c>
      <c r="K4337" t="s">
        <v>33</v>
      </c>
      <c r="L4337" t="s">
        <v>26</v>
      </c>
      <c r="O4337"/>
    </row>
    <row r="4338" spans="1:15" x14ac:dyDescent="0.3">
      <c r="A4338" t="s">
        <v>4362</v>
      </c>
      <c r="B4338" s="1">
        <v>45734</v>
      </c>
      <c r="C4338" t="s">
        <v>21</v>
      </c>
      <c r="D4338" t="s">
        <v>25</v>
      </c>
      <c r="E4338" s="2">
        <v>25.01</v>
      </c>
      <c r="F4338" s="3">
        <v>99.97</v>
      </c>
      <c r="G4338" s="4">
        <v>397.24</v>
      </c>
      <c r="H4338">
        <v>2</v>
      </c>
      <c r="I4338" s="4">
        <v>794.48</v>
      </c>
      <c r="J4338">
        <v>3.5</v>
      </c>
      <c r="K4338" t="s">
        <v>18</v>
      </c>
      <c r="L4338" t="s">
        <v>16</v>
      </c>
      <c r="O4338"/>
    </row>
    <row r="4339" spans="1:15" x14ac:dyDescent="0.3">
      <c r="A4339" t="s">
        <v>4363</v>
      </c>
      <c r="B4339" s="1">
        <v>45797</v>
      </c>
      <c r="C4339" t="s">
        <v>22</v>
      </c>
      <c r="D4339" t="s">
        <v>21</v>
      </c>
      <c r="E4339" s="2">
        <v>21.62</v>
      </c>
      <c r="F4339" s="3">
        <v>76.72</v>
      </c>
      <c r="G4339" s="4">
        <v>216.31</v>
      </c>
      <c r="H4339">
        <v>1</v>
      </c>
      <c r="I4339" s="4">
        <v>216.31</v>
      </c>
      <c r="J4339">
        <v>3.8</v>
      </c>
      <c r="K4339" t="s">
        <v>18</v>
      </c>
      <c r="L4339" t="s">
        <v>26</v>
      </c>
      <c r="O4339"/>
    </row>
    <row r="4340" spans="1:15" x14ac:dyDescent="0.3">
      <c r="A4340" t="s">
        <v>4364</v>
      </c>
      <c r="B4340" s="1">
        <v>45875</v>
      </c>
      <c r="C4340" t="s">
        <v>13</v>
      </c>
      <c r="D4340" t="s">
        <v>14</v>
      </c>
      <c r="E4340" s="2">
        <v>14.33</v>
      </c>
      <c r="F4340" s="3">
        <v>37.24</v>
      </c>
      <c r="G4340" s="4">
        <v>233.48</v>
      </c>
      <c r="H4340">
        <v>2</v>
      </c>
      <c r="I4340" s="4">
        <v>466.96</v>
      </c>
      <c r="J4340">
        <v>3.7</v>
      </c>
      <c r="K4340" t="s">
        <v>36</v>
      </c>
      <c r="L4340" t="s">
        <v>26</v>
      </c>
      <c r="O4340"/>
    </row>
    <row r="4341" spans="1:15" x14ac:dyDescent="0.3">
      <c r="A4341" t="s">
        <v>4365</v>
      </c>
      <c r="B4341" s="1">
        <v>45697</v>
      </c>
      <c r="C4341" t="s">
        <v>13</v>
      </c>
      <c r="D4341" t="s">
        <v>25</v>
      </c>
      <c r="E4341" s="2">
        <v>3.73</v>
      </c>
      <c r="F4341" s="3">
        <v>13.77</v>
      </c>
      <c r="G4341" s="4">
        <v>39.409999999999997</v>
      </c>
      <c r="H4341">
        <v>2</v>
      </c>
      <c r="I4341" s="4">
        <v>78.819999999999993</v>
      </c>
      <c r="J4341">
        <v>4.3</v>
      </c>
      <c r="K4341" t="s">
        <v>15</v>
      </c>
      <c r="L4341" t="s">
        <v>26</v>
      </c>
      <c r="O4341"/>
    </row>
    <row r="4342" spans="1:15" x14ac:dyDescent="0.3">
      <c r="A4342" t="s">
        <v>4366</v>
      </c>
      <c r="B4342" s="1">
        <v>45694</v>
      </c>
      <c r="C4342" t="s">
        <v>25</v>
      </c>
      <c r="D4342" t="s">
        <v>25</v>
      </c>
      <c r="E4342" s="2">
        <v>7.64</v>
      </c>
      <c r="F4342" s="3">
        <v>19.46</v>
      </c>
      <c r="G4342" s="4">
        <v>79.33</v>
      </c>
      <c r="H4342">
        <v>1.2</v>
      </c>
      <c r="I4342" s="4">
        <v>95.2</v>
      </c>
      <c r="J4342">
        <v>4.5999999999999996</v>
      </c>
      <c r="K4342" t="s">
        <v>33</v>
      </c>
      <c r="L4342" t="s">
        <v>16</v>
      </c>
      <c r="O4342"/>
    </row>
    <row r="4343" spans="1:15" x14ac:dyDescent="0.3">
      <c r="A4343" t="s">
        <v>4367</v>
      </c>
      <c r="B4343" s="1">
        <v>45921</v>
      </c>
      <c r="C4343" t="s">
        <v>14</v>
      </c>
      <c r="D4343" t="s">
        <v>13</v>
      </c>
      <c r="E4343" s="2">
        <v>28.16</v>
      </c>
      <c r="F4343" s="3">
        <v>76.38</v>
      </c>
      <c r="G4343" s="4">
        <v>394.04</v>
      </c>
      <c r="H4343">
        <v>1.2</v>
      </c>
      <c r="I4343" s="4">
        <v>472.85</v>
      </c>
      <c r="J4343">
        <v>5</v>
      </c>
      <c r="K4343" t="s">
        <v>36</v>
      </c>
      <c r="L4343" t="s">
        <v>16</v>
      </c>
      <c r="O4343"/>
    </row>
    <row r="4344" spans="1:15" x14ac:dyDescent="0.3">
      <c r="A4344" t="s">
        <v>4368</v>
      </c>
      <c r="B4344" s="1">
        <v>45888</v>
      </c>
      <c r="C4344" t="s">
        <v>13</v>
      </c>
      <c r="D4344" t="s">
        <v>13</v>
      </c>
      <c r="E4344" s="2">
        <v>10.11</v>
      </c>
      <c r="F4344" s="3">
        <v>22.62</v>
      </c>
      <c r="G4344" s="4">
        <v>147.09</v>
      </c>
      <c r="H4344">
        <v>1.5</v>
      </c>
      <c r="I4344" s="4">
        <v>220.64</v>
      </c>
      <c r="J4344">
        <v>3.6</v>
      </c>
      <c r="K4344" t="s">
        <v>30</v>
      </c>
      <c r="L4344" t="s">
        <v>28</v>
      </c>
      <c r="O4344"/>
    </row>
    <row r="4345" spans="1:15" x14ac:dyDescent="0.3">
      <c r="A4345" t="s">
        <v>4369</v>
      </c>
      <c r="B4345" s="1">
        <v>46014</v>
      </c>
      <c r="C4345" t="s">
        <v>13</v>
      </c>
      <c r="D4345" t="s">
        <v>14</v>
      </c>
      <c r="E4345" s="2">
        <v>1.77</v>
      </c>
      <c r="F4345" s="3">
        <v>6.09</v>
      </c>
      <c r="G4345" s="4">
        <v>18.05</v>
      </c>
      <c r="H4345">
        <v>2</v>
      </c>
      <c r="I4345" s="4">
        <v>36.1</v>
      </c>
      <c r="J4345">
        <v>4.2</v>
      </c>
      <c r="K4345" t="s">
        <v>36</v>
      </c>
      <c r="L4345" t="s">
        <v>26</v>
      </c>
      <c r="O4345"/>
    </row>
    <row r="4346" spans="1:15" x14ac:dyDescent="0.3">
      <c r="A4346" t="s">
        <v>4370</v>
      </c>
      <c r="B4346" s="1">
        <v>45926</v>
      </c>
      <c r="C4346" t="s">
        <v>25</v>
      </c>
      <c r="D4346" t="s">
        <v>14</v>
      </c>
      <c r="E4346" s="2">
        <v>20.25</v>
      </c>
      <c r="F4346" s="3">
        <v>58.11</v>
      </c>
      <c r="G4346" s="4">
        <v>214.58</v>
      </c>
      <c r="H4346">
        <v>1.2</v>
      </c>
      <c r="I4346" s="4">
        <v>257.5</v>
      </c>
      <c r="J4346">
        <v>4.8</v>
      </c>
      <c r="K4346" t="s">
        <v>30</v>
      </c>
      <c r="L4346" t="s">
        <v>19</v>
      </c>
      <c r="O4346"/>
    </row>
    <row r="4347" spans="1:15" x14ac:dyDescent="0.3">
      <c r="A4347" t="s">
        <v>4371</v>
      </c>
      <c r="B4347" s="1">
        <v>45711</v>
      </c>
      <c r="C4347" t="s">
        <v>13</v>
      </c>
      <c r="D4347" t="s">
        <v>14</v>
      </c>
      <c r="E4347" s="2">
        <v>25.79</v>
      </c>
      <c r="F4347" s="3">
        <v>89.35</v>
      </c>
      <c r="G4347" s="4">
        <v>278.35000000000002</v>
      </c>
      <c r="H4347">
        <v>1.2</v>
      </c>
      <c r="I4347" s="4">
        <v>334.02</v>
      </c>
      <c r="J4347">
        <v>3.3</v>
      </c>
      <c r="K4347" t="s">
        <v>18</v>
      </c>
      <c r="L4347" t="s">
        <v>16</v>
      </c>
      <c r="O4347"/>
    </row>
    <row r="4348" spans="1:15" x14ac:dyDescent="0.3">
      <c r="A4348" t="s">
        <v>4372</v>
      </c>
      <c r="B4348" s="1">
        <v>45897</v>
      </c>
      <c r="C4348" t="s">
        <v>25</v>
      </c>
      <c r="D4348" t="s">
        <v>21</v>
      </c>
      <c r="E4348" s="2">
        <v>4.38</v>
      </c>
      <c r="F4348" s="3">
        <v>12.76</v>
      </c>
      <c r="G4348" s="4">
        <v>86.91</v>
      </c>
      <c r="H4348">
        <v>1.5</v>
      </c>
      <c r="I4348" s="4">
        <v>130.36000000000001</v>
      </c>
      <c r="J4348">
        <v>4.3</v>
      </c>
      <c r="K4348" t="s">
        <v>36</v>
      </c>
      <c r="L4348" t="s">
        <v>26</v>
      </c>
      <c r="O4348"/>
    </row>
    <row r="4349" spans="1:15" x14ac:dyDescent="0.3">
      <c r="A4349" t="s">
        <v>4373</v>
      </c>
      <c r="B4349" s="1">
        <v>45820</v>
      </c>
      <c r="C4349" t="s">
        <v>14</v>
      </c>
      <c r="D4349" t="s">
        <v>13</v>
      </c>
      <c r="E4349" s="2">
        <v>20.81</v>
      </c>
      <c r="F4349" s="3">
        <v>76.989999999999995</v>
      </c>
      <c r="G4349" s="4">
        <v>252.99</v>
      </c>
      <c r="H4349">
        <v>1.2</v>
      </c>
      <c r="I4349" s="4">
        <v>303.58999999999997</v>
      </c>
      <c r="J4349">
        <v>3.3</v>
      </c>
      <c r="K4349" t="s">
        <v>33</v>
      </c>
      <c r="L4349" t="s">
        <v>28</v>
      </c>
      <c r="O4349"/>
    </row>
    <row r="4350" spans="1:15" x14ac:dyDescent="0.3">
      <c r="A4350" t="s">
        <v>4374</v>
      </c>
      <c r="B4350" s="1">
        <v>45980</v>
      </c>
      <c r="C4350" t="s">
        <v>21</v>
      </c>
      <c r="D4350" t="s">
        <v>22</v>
      </c>
      <c r="E4350" s="2">
        <v>23.33</v>
      </c>
      <c r="F4350" s="3">
        <v>46.91</v>
      </c>
      <c r="G4350" s="4">
        <v>405.33</v>
      </c>
      <c r="H4350">
        <v>1</v>
      </c>
      <c r="I4350" s="4">
        <v>405.33</v>
      </c>
      <c r="J4350">
        <v>3.6</v>
      </c>
      <c r="K4350" t="s">
        <v>18</v>
      </c>
      <c r="L4350" t="s">
        <v>16</v>
      </c>
      <c r="O4350"/>
    </row>
    <row r="4351" spans="1:15" x14ac:dyDescent="0.3">
      <c r="A4351" t="s">
        <v>4375</v>
      </c>
      <c r="B4351" s="1">
        <v>45903</v>
      </c>
      <c r="C4351" t="s">
        <v>22</v>
      </c>
      <c r="D4351" t="s">
        <v>25</v>
      </c>
      <c r="E4351" s="2">
        <v>2.33</v>
      </c>
      <c r="F4351" s="3">
        <v>7.36</v>
      </c>
      <c r="G4351" s="4">
        <v>41.14</v>
      </c>
      <c r="H4351">
        <v>1</v>
      </c>
      <c r="I4351" s="4">
        <v>41.14</v>
      </c>
      <c r="J4351">
        <v>3.6</v>
      </c>
      <c r="K4351" t="s">
        <v>33</v>
      </c>
      <c r="L4351" t="s">
        <v>19</v>
      </c>
      <c r="O4351"/>
    </row>
    <row r="4352" spans="1:15" x14ac:dyDescent="0.3">
      <c r="A4352" t="s">
        <v>4376</v>
      </c>
      <c r="B4352" s="1">
        <v>46004</v>
      </c>
      <c r="C4352" t="s">
        <v>13</v>
      </c>
      <c r="D4352" t="s">
        <v>14</v>
      </c>
      <c r="E4352" s="2">
        <v>11.26</v>
      </c>
      <c r="F4352" s="3">
        <v>35.44</v>
      </c>
      <c r="G4352" s="4">
        <v>155.9</v>
      </c>
      <c r="H4352">
        <v>1.5</v>
      </c>
      <c r="I4352" s="4">
        <v>233.85</v>
      </c>
      <c r="J4352">
        <v>4.5999999999999996</v>
      </c>
      <c r="K4352" t="s">
        <v>18</v>
      </c>
      <c r="L4352" t="s">
        <v>28</v>
      </c>
      <c r="O4352"/>
    </row>
    <row r="4353" spans="1:15" x14ac:dyDescent="0.3">
      <c r="A4353" t="s">
        <v>4377</v>
      </c>
      <c r="B4353" s="1">
        <v>45776</v>
      </c>
      <c r="C4353" t="s">
        <v>22</v>
      </c>
      <c r="D4353" t="s">
        <v>21</v>
      </c>
      <c r="E4353" s="2">
        <v>22.86</v>
      </c>
      <c r="F4353" s="3">
        <v>61.51</v>
      </c>
      <c r="G4353" s="4">
        <v>327.96</v>
      </c>
      <c r="H4353">
        <v>2</v>
      </c>
      <c r="I4353" s="4">
        <v>655.92</v>
      </c>
      <c r="J4353">
        <v>3.4</v>
      </c>
      <c r="K4353" t="s">
        <v>18</v>
      </c>
      <c r="L4353" t="s">
        <v>19</v>
      </c>
      <c r="O4353"/>
    </row>
    <row r="4354" spans="1:15" x14ac:dyDescent="0.3">
      <c r="A4354" t="s">
        <v>4378</v>
      </c>
      <c r="B4354" s="1">
        <v>45895</v>
      </c>
      <c r="C4354" t="s">
        <v>25</v>
      </c>
      <c r="D4354" t="s">
        <v>25</v>
      </c>
      <c r="E4354" s="2">
        <v>20.85</v>
      </c>
      <c r="F4354" s="3">
        <v>64.260000000000005</v>
      </c>
      <c r="G4354" s="4">
        <v>407.49</v>
      </c>
      <c r="H4354">
        <v>1.5</v>
      </c>
      <c r="I4354" s="4">
        <v>611.24</v>
      </c>
      <c r="J4354">
        <v>4.5999999999999996</v>
      </c>
      <c r="K4354" t="s">
        <v>36</v>
      </c>
      <c r="L4354" t="s">
        <v>28</v>
      </c>
      <c r="O4354"/>
    </row>
    <row r="4355" spans="1:15" x14ac:dyDescent="0.3">
      <c r="A4355" t="s">
        <v>4379</v>
      </c>
      <c r="B4355" s="1">
        <v>45915</v>
      </c>
      <c r="C4355" t="s">
        <v>13</v>
      </c>
      <c r="D4355" t="s">
        <v>13</v>
      </c>
      <c r="E4355" s="2">
        <v>17.190000000000001</v>
      </c>
      <c r="F4355" s="3">
        <v>48.46</v>
      </c>
      <c r="G4355" s="4">
        <v>308.55</v>
      </c>
      <c r="H4355">
        <v>1.2</v>
      </c>
      <c r="I4355" s="4">
        <v>370.26</v>
      </c>
      <c r="J4355">
        <v>4.9000000000000004</v>
      </c>
      <c r="K4355" t="s">
        <v>15</v>
      </c>
      <c r="L4355" t="s">
        <v>28</v>
      </c>
      <c r="O4355"/>
    </row>
    <row r="4356" spans="1:15" x14ac:dyDescent="0.3">
      <c r="A4356" t="s">
        <v>4380</v>
      </c>
      <c r="B4356" s="1">
        <v>45768</v>
      </c>
      <c r="C4356" t="s">
        <v>14</v>
      </c>
      <c r="D4356" t="s">
        <v>25</v>
      </c>
      <c r="E4356" s="2">
        <v>27.73</v>
      </c>
      <c r="F4356" s="3">
        <v>59.66</v>
      </c>
      <c r="G4356" s="4">
        <v>475.64</v>
      </c>
      <c r="H4356">
        <v>1.5</v>
      </c>
      <c r="I4356" s="4">
        <v>713.46</v>
      </c>
      <c r="J4356">
        <v>3.7</v>
      </c>
      <c r="K4356" t="s">
        <v>15</v>
      </c>
      <c r="L4356" t="s">
        <v>19</v>
      </c>
      <c r="O4356"/>
    </row>
    <row r="4357" spans="1:15" x14ac:dyDescent="0.3">
      <c r="A4357" t="s">
        <v>4381</v>
      </c>
      <c r="B4357" s="1">
        <v>45889</v>
      </c>
      <c r="C4357" t="s">
        <v>21</v>
      </c>
      <c r="D4357" t="s">
        <v>25</v>
      </c>
      <c r="E4357" s="2">
        <v>18.190000000000001</v>
      </c>
      <c r="F4357" s="3">
        <v>57.74</v>
      </c>
      <c r="G4357" s="4">
        <v>278.22000000000003</v>
      </c>
      <c r="H4357">
        <v>1.5</v>
      </c>
      <c r="I4357" s="4">
        <v>417.33</v>
      </c>
      <c r="J4357">
        <v>3.4</v>
      </c>
      <c r="K4357" t="s">
        <v>30</v>
      </c>
      <c r="L4357" t="s">
        <v>26</v>
      </c>
      <c r="O4357"/>
    </row>
    <row r="4358" spans="1:15" x14ac:dyDescent="0.3">
      <c r="A4358" t="s">
        <v>4382</v>
      </c>
      <c r="B4358" s="1">
        <v>45970</v>
      </c>
      <c r="C4358" t="s">
        <v>21</v>
      </c>
      <c r="D4358" t="s">
        <v>14</v>
      </c>
      <c r="E4358" s="2">
        <v>24.2</v>
      </c>
      <c r="F4358" s="3">
        <v>72.709999999999994</v>
      </c>
      <c r="G4358" s="4">
        <v>412.87</v>
      </c>
      <c r="H4358">
        <v>1.5</v>
      </c>
      <c r="I4358" s="4">
        <v>619.30999999999995</v>
      </c>
      <c r="J4358">
        <v>4.8</v>
      </c>
      <c r="K4358" t="s">
        <v>15</v>
      </c>
      <c r="L4358" t="s">
        <v>26</v>
      </c>
      <c r="O4358"/>
    </row>
    <row r="4359" spans="1:15" x14ac:dyDescent="0.3">
      <c r="A4359" t="s">
        <v>4383</v>
      </c>
      <c r="B4359" s="1">
        <v>45777</v>
      </c>
      <c r="C4359" t="s">
        <v>13</v>
      </c>
      <c r="D4359" t="s">
        <v>13</v>
      </c>
      <c r="E4359" s="2">
        <v>3.32</v>
      </c>
      <c r="F4359" s="3">
        <v>8.27</v>
      </c>
      <c r="G4359" s="4">
        <v>41.67</v>
      </c>
      <c r="H4359">
        <v>1.2</v>
      </c>
      <c r="I4359" s="4">
        <v>50</v>
      </c>
      <c r="J4359">
        <v>4</v>
      </c>
      <c r="K4359" t="s">
        <v>36</v>
      </c>
      <c r="L4359" t="s">
        <v>26</v>
      </c>
      <c r="O4359"/>
    </row>
    <row r="4360" spans="1:15" x14ac:dyDescent="0.3">
      <c r="A4360" t="s">
        <v>4384</v>
      </c>
      <c r="B4360" s="1">
        <v>45743</v>
      </c>
      <c r="C4360" t="s">
        <v>13</v>
      </c>
      <c r="D4360" t="s">
        <v>13</v>
      </c>
      <c r="E4360" s="2">
        <v>18.04</v>
      </c>
      <c r="F4360" s="3">
        <v>56.94</v>
      </c>
      <c r="G4360" s="4">
        <v>278.43</v>
      </c>
      <c r="H4360">
        <v>1</v>
      </c>
      <c r="I4360" s="4">
        <v>278.43</v>
      </c>
      <c r="J4360">
        <v>3.6</v>
      </c>
      <c r="K4360" t="s">
        <v>18</v>
      </c>
      <c r="L4360" t="s">
        <v>28</v>
      </c>
      <c r="O4360"/>
    </row>
    <row r="4361" spans="1:15" x14ac:dyDescent="0.3">
      <c r="A4361" t="s">
        <v>4385</v>
      </c>
      <c r="B4361" s="1">
        <v>45817</v>
      </c>
      <c r="C4361" t="s">
        <v>14</v>
      </c>
      <c r="D4361" t="s">
        <v>25</v>
      </c>
      <c r="E4361" s="2">
        <v>24.97</v>
      </c>
      <c r="F4361" s="3">
        <v>67.23</v>
      </c>
      <c r="G4361" s="4">
        <v>271.06</v>
      </c>
      <c r="H4361">
        <v>1</v>
      </c>
      <c r="I4361" s="4">
        <v>271.06</v>
      </c>
      <c r="J4361">
        <v>3.1</v>
      </c>
      <c r="K4361" t="s">
        <v>15</v>
      </c>
      <c r="L4361" t="s">
        <v>28</v>
      </c>
      <c r="O4361"/>
    </row>
    <row r="4362" spans="1:15" x14ac:dyDescent="0.3">
      <c r="A4362" t="s">
        <v>4386</v>
      </c>
      <c r="B4362" s="1">
        <v>45724</v>
      </c>
      <c r="C4362" t="s">
        <v>13</v>
      </c>
      <c r="D4362" t="s">
        <v>25</v>
      </c>
      <c r="E4362" s="2">
        <v>16.350000000000001</v>
      </c>
      <c r="F4362" s="3">
        <v>56.41</v>
      </c>
      <c r="G4362" s="4">
        <v>292.58999999999997</v>
      </c>
      <c r="H4362">
        <v>2</v>
      </c>
      <c r="I4362" s="4">
        <v>585.17999999999995</v>
      </c>
      <c r="J4362">
        <v>4.5</v>
      </c>
      <c r="K4362" t="s">
        <v>30</v>
      </c>
      <c r="L4362" t="s">
        <v>26</v>
      </c>
      <c r="O4362"/>
    </row>
    <row r="4363" spans="1:15" x14ac:dyDescent="0.3">
      <c r="A4363" t="s">
        <v>4387</v>
      </c>
      <c r="B4363" s="1">
        <v>45753</v>
      </c>
      <c r="C4363" t="s">
        <v>21</v>
      </c>
      <c r="D4363" t="s">
        <v>22</v>
      </c>
      <c r="E4363" s="2">
        <v>19.850000000000001</v>
      </c>
      <c r="F4363" s="3">
        <v>60.21</v>
      </c>
      <c r="G4363" s="4">
        <v>234.71</v>
      </c>
      <c r="H4363">
        <v>1.5</v>
      </c>
      <c r="I4363" s="4">
        <v>352.06</v>
      </c>
      <c r="J4363">
        <v>4.7</v>
      </c>
      <c r="K4363" t="s">
        <v>15</v>
      </c>
      <c r="L4363" t="s">
        <v>28</v>
      </c>
      <c r="O4363"/>
    </row>
    <row r="4364" spans="1:15" x14ac:dyDescent="0.3">
      <c r="A4364" t="s">
        <v>4388</v>
      </c>
      <c r="B4364" s="1">
        <v>45830</v>
      </c>
      <c r="C4364" t="s">
        <v>25</v>
      </c>
      <c r="D4364" t="s">
        <v>25</v>
      </c>
      <c r="E4364" s="2">
        <v>29.11</v>
      </c>
      <c r="F4364" s="3">
        <v>103.49</v>
      </c>
      <c r="G4364" s="4">
        <v>412.81</v>
      </c>
      <c r="H4364">
        <v>1.2</v>
      </c>
      <c r="I4364" s="4">
        <v>495.37</v>
      </c>
      <c r="J4364">
        <v>3.9</v>
      </c>
      <c r="K4364" t="s">
        <v>36</v>
      </c>
      <c r="L4364" t="s">
        <v>16</v>
      </c>
      <c r="O4364"/>
    </row>
    <row r="4365" spans="1:15" x14ac:dyDescent="0.3">
      <c r="A4365" t="s">
        <v>4389</v>
      </c>
      <c r="B4365" s="1">
        <v>45976</v>
      </c>
      <c r="C4365" t="s">
        <v>22</v>
      </c>
      <c r="D4365" t="s">
        <v>21</v>
      </c>
      <c r="E4365" s="2">
        <v>26.73</v>
      </c>
      <c r="F4365" s="3">
        <v>66.569999999999993</v>
      </c>
      <c r="G4365" s="4">
        <v>373.77</v>
      </c>
      <c r="H4365">
        <v>1</v>
      </c>
      <c r="I4365" s="4">
        <v>373.77</v>
      </c>
      <c r="J4365">
        <v>4.9000000000000004</v>
      </c>
      <c r="K4365" t="s">
        <v>30</v>
      </c>
      <c r="L4365" t="s">
        <v>16</v>
      </c>
      <c r="O4365"/>
    </row>
    <row r="4366" spans="1:15" x14ac:dyDescent="0.3">
      <c r="A4366" t="s">
        <v>4390</v>
      </c>
      <c r="B4366" s="1">
        <v>45968</v>
      </c>
      <c r="C4366" t="s">
        <v>22</v>
      </c>
      <c r="D4366" t="s">
        <v>13</v>
      </c>
      <c r="E4366" s="2">
        <v>27.58</v>
      </c>
      <c r="F4366" s="3">
        <v>102.03</v>
      </c>
      <c r="G4366" s="4">
        <v>495.81</v>
      </c>
      <c r="H4366">
        <v>2</v>
      </c>
      <c r="I4366" s="4">
        <v>991.62</v>
      </c>
      <c r="J4366">
        <v>4</v>
      </c>
      <c r="K4366" t="s">
        <v>18</v>
      </c>
      <c r="L4366" t="s">
        <v>16</v>
      </c>
      <c r="O4366"/>
    </row>
    <row r="4367" spans="1:15" x14ac:dyDescent="0.3">
      <c r="A4367" t="s">
        <v>4391</v>
      </c>
      <c r="B4367" s="1">
        <v>45987</v>
      </c>
      <c r="C4367" t="s">
        <v>14</v>
      </c>
      <c r="D4367" t="s">
        <v>25</v>
      </c>
      <c r="E4367" s="2">
        <v>22.78</v>
      </c>
      <c r="F4367" s="3">
        <v>90.34</v>
      </c>
      <c r="G4367" s="4">
        <v>229.39</v>
      </c>
      <c r="H4367">
        <v>2</v>
      </c>
      <c r="I4367" s="4">
        <v>458.78</v>
      </c>
      <c r="J4367">
        <v>4.0999999999999996</v>
      </c>
      <c r="K4367" t="s">
        <v>36</v>
      </c>
      <c r="L4367" t="s">
        <v>26</v>
      </c>
      <c r="O4367"/>
    </row>
    <row r="4368" spans="1:15" x14ac:dyDescent="0.3">
      <c r="A4368" t="s">
        <v>4392</v>
      </c>
      <c r="B4368" s="1">
        <v>45845</v>
      </c>
      <c r="C4368" t="s">
        <v>14</v>
      </c>
      <c r="D4368" t="s">
        <v>13</v>
      </c>
      <c r="E4368" s="2">
        <v>25.71</v>
      </c>
      <c r="F4368" s="3">
        <v>72.680000000000007</v>
      </c>
      <c r="G4368" s="4">
        <v>437.21</v>
      </c>
      <c r="H4368">
        <v>1</v>
      </c>
      <c r="I4368" s="4">
        <v>437.21</v>
      </c>
      <c r="J4368">
        <v>4.0999999999999996</v>
      </c>
      <c r="K4368" t="s">
        <v>18</v>
      </c>
      <c r="L4368" t="s">
        <v>16</v>
      </c>
      <c r="O4368"/>
    </row>
    <row r="4369" spans="1:15" x14ac:dyDescent="0.3">
      <c r="A4369" t="s">
        <v>4393</v>
      </c>
      <c r="B4369" s="1">
        <v>45935</v>
      </c>
      <c r="C4369" t="s">
        <v>22</v>
      </c>
      <c r="D4369" t="s">
        <v>13</v>
      </c>
      <c r="E4369" s="2">
        <v>1.32</v>
      </c>
      <c r="F4369" s="3">
        <v>4.08</v>
      </c>
      <c r="G4369" s="4">
        <v>18.95</v>
      </c>
      <c r="H4369">
        <v>2</v>
      </c>
      <c r="I4369" s="4">
        <v>37.9</v>
      </c>
      <c r="J4369">
        <v>4.7</v>
      </c>
      <c r="K4369" t="s">
        <v>30</v>
      </c>
      <c r="L4369" t="s">
        <v>26</v>
      </c>
      <c r="O4369"/>
    </row>
    <row r="4370" spans="1:15" x14ac:dyDescent="0.3">
      <c r="A4370" t="s">
        <v>4394</v>
      </c>
      <c r="B4370" s="1">
        <v>45671</v>
      </c>
      <c r="C4370" t="s">
        <v>25</v>
      </c>
      <c r="D4370" t="s">
        <v>13</v>
      </c>
      <c r="E4370" s="2">
        <v>27.61</v>
      </c>
      <c r="F4370" s="3">
        <v>75.05</v>
      </c>
      <c r="G4370" s="4">
        <v>512.5</v>
      </c>
      <c r="H4370">
        <v>1.2</v>
      </c>
      <c r="I4370" s="4">
        <v>615</v>
      </c>
      <c r="J4370">
        <v>3.6</v>
      </c>
      <c r="K4370" t="s">
        <v>33</v>
      </c>
      <c r="L4370" t="s">
        <v>28</v>
      </c>
      <c r="O4370"/>
    </row>
    <row r="4371" spans="1:15" x14ac:dyDescent="0.3">
      <c r="A4371" t="s">
        <v>4395</v>
      </c>
      <c r="B4371" s="1">
        <v>45686</v>
      </c>
      <c r="C4371" t="s">
        <v>25</v>
      </c>
      <c r="D4371" t="s">
        <v>21</v>
      </c>
      <c r="E4371" s="2">
        <v>13.96</v>
      </c>
      <c r="F4371" s="3">
        <v>49.17</v>
      </c>
      <c r="G4371" s="4">
        <v>238.43</v>
      </c>
      <c r="H4371">
        <v>1</v>
      </c>
      <c r="I4371" s="4">
        <v>238.43</v>
      </c>
      <c r="J4371">
        <v>4.8</v>
      </c>
      <c r="K4371" t="s">
        <v>36</v>
      </c>
      <c r="L4371" t="s">
        <v>28</v>
      </c>
      <c r="O4371"/>
    </row>
    <row r="4372" spans="1:15" x14ac:dyDescent="0.3">
      <c r="A4372" t="s">
        <v>4396</v>
      </c>
      <c r="B4372" s="1">
        <v>45789</v>
      </c>
      <c r="C4372" t="s">
        <v>21</v>
      </c>
      <c r="D4372" t="s">
        <v>13</v>
      </c>
      <c r="E4372" s="2">
        <v>8.68</v>
      </c>
      <c r="F4372" s="3">
        <v>19.63</v>
      </c>
      <c r="G4372" s="4">
        <v>112.38</v>
      </c>
      <c r="H4372">
        <v>2</v>
      </c>
      <c r="I4372" s="4">
        <v>224.76</v>
      </c>
      <c r="J4372">
        <v>4.3</v>
      </c>
      <c r="K4372" t="s">
        <v>33</v>
      </c>
      <c r="L4372" t="s">
        <v>26</v>
      </c>
      <c r="O4372"/>
    </row>
    <row r="4373" spans="1:15" x14ac:dyDescent="0.3">
      <c r="A4373" t="s">
        <v>4397</v>
      </c>
      <c r="B4373" s="1">
        <v>45673</v>
      </c>
      <c r="C4373" t="s">
        <v>21</v>
      </c>
      <c r="D4373" t="s">
        <v>22</v>
      </c>
      <c r="E4373" s="2">
        <v>10.4</v>
      </c>
      <c r="F4373" s="3">
        <v>36.270000000000003</v>
      </c>
      <c r="G4373" s="4">
        <v>125.11</v>
      </c>
      <c r="H4373">
        <v>1.2</v>
      </c>
      <c r="I4373" s="4">
        <v>150.13</v>
      </c>
      <c r="J4373">
        <v>4.5</v>
      </c>
      <c r="K4373" t="s">
        <v>15</v>
      </c>
      <c r="L4373" t="s">
        <v>16</v>
      </c>
      <c r="O4373"/>
    </row>
    <row r="4374" spans="1:15" x14ac:dyDescent="0.3">
      <c r="A4374" t="s">
        <v>4398</v>
      </c>
      <c r="B4374" s="1">
        <v>45813</v>
      </c>
      <c r="C4374" t="s">
        <v>13</v>
      </c>
      <c r="D4374" t="s">
        <v>22</v>
      </c>
      <c r="E4374" s="2">
        <v>26.13</v>
      </c>
      <c r="F4374" s="3">
        <v>64.87</v>
      </c>
      <c r="G4374" s="4">
        <v>311.24</v>
      </c>
      <c r="H4374">
        <v>1.5</v>
      </c>
      <c r="I4374" s="4">
        <v>466.86</v>
      </c>
      <c r="J4374">
        <v>3.9</v>
      </c>
      <c r="K4374" t="s">
        <v>18</v>
      </c>
      <c r="L4374" t="s">
        <v>19</v>
      </c>
      <c r="O4374"/>
    </row>
    <row r="4375" spans="1:15" x14ac:dyDescent="0.3">
      <c r="A4375" t="s">
        <v>4399</v>
      </c>
      <c r="B4375" s="1">
        <v>45977</v>
      </c>
      <c r="C4375" t="s">
        <v>21</v>
      </c>
      <c r="D4375" t="s">
        <v>25</v>
      </c>
      <c r="E4375" s="2">
        <v>23.98</v>
      </c>
      <c r="F4375" s="3">
        <v>61.63</v>
      </c>
      <c r="G4375" s="4">
        <v>242.17</v>
      </c>
      <c r="H4375">
        <v>1.2</v>
      </c>
      <c r="I4375" s="4">
        <v>290.60000000000002</v>
      </c>
      <c r="J4375">
        <v>3.9</v>
      </c>
      <c r="K4375" t="s">
        <v>18</v>
      </c>
      <c r="L4375" t="s">
        <v>16</v>
      </c>
      <c r="O4375"/>
    </row>
    <row r="4376" spans="1:15" x14ac:dyDescent="0.3">
      <c r="A4376" t="s">
        <v>4400</v>
      </c>
      <c r="B4376" s="1">
        <v>45973</v>
      </c>
      <c r="C4376" t="s">
        <v>25</v>
      </c>
      <c r="D4376" t="s">
        <v>21</v>
      </c>
      <c r="E4376" s="2">
        <v>20.87</v>
      </c>
      <c r="F4376" s="3">
        <v>79.92</v>
      </c>
      <c r="G4376" s="4">
        <v>321.64</v>
      </c>
      <c r="H4376">
        <v>2</v>
      </c>
      <c r="I4376" s="4">
        <v>643.28</v>
      </c>
      <c r="J4376">
        <v>3.3</v>
      </c>
      <c r="K4376" t="s">
        <v>15</v>
      </c>
      <c r="L4376" t="s">
        <v>28</v>
      </c>
      <c r="O4376"/>
    </row>
    <row r="4377" spans="1:15" x14ac:dyDescent="0.3">
      <c r="A4377" t="s">
        <v>4401</v>
      </c>
      <c r="B4377" s="1">
        <v>45852</v>
      </c>
      <c r="C4377" t="s">
        <v>21</v>
      </c>
      <c r="D4377" t="s">
        <v>14</v>
      </c>
      <c r="E4377" s="2">
        <v>9.85</v>
      </c>
      <c r="F4377" s="3">
        <v>35.39</v>
      </c>
      <c r="G4377" s="4">
        <v>142.72999999999999</v>
      </c>
      <c r="H4377">
        <v>1.5</v>
      </c>
      <c r="I4377" s="4">
        <v>214.09</v>
      </c>
      <c r="J4377">
        <v>3.4</v>
      </c>
      <c r="K4377" t="s">
        <v>15</v>
      </c>
      <c r="L4377" t="s">
        <v>16</v>
      </c>
      <c r="O4377"/>
    </row>
    <row r="4378" spans="1:15" x14ac:dyDescent="0.3">
      <c r="A4378" t="s">
        <v>4402</v>
      </c>
      <c r="B4378" s="1">
        <v>45892</v>
      </c>
      <c r="C4378" t="s">
        <v>21</v>
      </c>
      <c r="D4378" t="s">
        <v>13</v>
      </c>
      <c r="E4378" s="2">
        <v>14.71</v>
      </c>
      <c r="F4378" s="3">
        <v>43.1</v>
      </c>
      <c r="G4378" s="4">
        <v>243.22</v>
      </c>
      <c r="H4378">
        <v>1</v>
      </c>
      <c r="I4378" s="4">
        <v>243.22</v>
      </c>
      <c r="J4378">
        <v>4.2</v>
      </c>
      <c r="K4378" t="s">
        <v>18</v>
      </c>
      <c r="L4378" t="s">
        <v>19</v>
      </c>
      <c r="O4378"/>
    </row>
    <row r="4379" spans="1:15" x14ac:dyDescent="0.3">
      <c r="A4379" t="s">
        <v>4403</v>
      </c>
      <c r="B4379" s="1">
        <v>45814</v>
      </c>
      <c r="C4379" t="s">
        <v>22</v>
      </c>
      <c r="D4379" t="s">
        <v>25</v>
      </c>
      <c r="E4379" s="2">
        <v>15.73</v>
      </c>
      <c r="F4379" s="3">
        <v>59.99</v>
      </c>
      <c r="G4379" s="4">
        <v>182.38</v>
      </c>
      <c r="H4379">
        <v>1</v>
      </c>
      <c r="I4379" s="4">
        <v>182.38</v>
      </c>
      <c r="J4379">
        <v>4.5999999999999996</v>
      </c>
      <c r="K4379" t="s">
        <v>36</v>
      </c>
      <c r="L4379" t="s">
        <v>28</v>
      </c>
      <c r="O4379"/>
    </row>
    <row r="4380" spans="1:15" x14ac:dyDescent="0.3">
      <c r="A4380" t="s">
        <v>4404</v>
      </c>
      <c r="B4380" s="1">
        <v>45977</v>
      </c>
      <c r="C4380" t="s">
        <v>13</v>
      </c>
      <c r="D4380" t="s">
        <v>21</v>
      </c>
      <c r="E4380" s="2">
        <v>22.71</v>
      </c>
      <c r="F4380" s="3">
        <v>52.26</v>
      </c>
      <c r="G4380" s="4">
        <v>440.94</v>
      </c>
      <c r="H4380">
        <v>1</v>
      </c>
      <c r="I4380" s="4">
        <v>440.94</v>
      </c>
      <c r="J4380">
        <v>3.2</v>
      </c>
      <c r="K4380" t="s">
        <v>36</v>
      </c>
      <c r="L4380" t="s">
        <v>16</v>
      </c>
      <c r="O4380"/>
    </row>
    <row r="4381" spans="1:15" x14ac:dyDescent="0.3">
      <c r="A4381" t="s">
        <v>4405</v>
      </c>
      <c r="B4381" s="1">
        <v>45968</v>
      </c>
      <c r="C4381" t="s">
        <v>22</v>
      </c>
      <c r="D4381" t="s">
        <v>21</v>
      </c>
      <c r="E4381" s="2">
        <v>8.15</v>
      </c>
      <c r="F4381" s="3">
        <v>28.35</v>
      </c>
      <c r="G4381" s="4">
        <v>145.15</v>
      </c>
      <c r="H4381">
        <v>1.2</v>
      </c>
      <c r="I4381" s="4">
        <v>174.18</v>
      </c>
      <c r="J4381">
        <v>3.6</v>
      </c>
      <c r="K4381" t="s">
        <v>33</v>
      </c>
      <c r="L4381" t="s">
        <v>26</v>
      </c>
      <c r="O4381"/>
    </row>
    <row r="4382" spans="1:15" x14ac:dyDescent="0.3">
      <c r="A4382" t="s">
        <v>4406</v>
      </c>
      <c r="B4382" s="1">
        <v>45670</v>
      </c>
      <c r="C4382" t="s">
        <v>14</v>
      </c>
      <c r="D4382" t="s">
        <v>22</v>
      </c>
      <c r="E4382" s="2">
        <v>6.18</v>
      </c>
      <c r="F4382" s="3">
        <v>22.54</v>
      </c>
      <c r="G4382" s="4">
        <v>68.23</v>
      </c>
      <c r="H4382">
        <v>1</v>
      </c>
      <c r="I4382" s="4">
        <v>68.23</v>
      </c>
      <c r="J4382">
        <v>3.4</v>
      </c>
      <c r="K4382" t="s">
        <v>33</v>
      </c>
      <c r="L4382" t="s">
        <v>16</v>
      </c>
      <c r="O4382"/>
    </row>
    <row r="4383" spans="1:15" x14ac:dyDescent="0.3">
      <c r="A4383" t="s">
        <v>4407</v>
      </c>
      <c r="B4383" s="1">
        <v>45987</v>
      </c>
      <c r="C4383" t="s">
        <v>14</v>
      </c>
      <c r="D4383" t="s">
        <v>25</v>
      </c>
      <c r="E4383" s="2">
        <v>5.71</v>
      </c>
      <c r="F4383" s="3">
        <v>13.77</v>
      </c>
      <c r="G4383" s="4">
        <v>85.24</v>
      </c>
      <c r="H4383">
        <v>1</v>
      </c>
      <c r="I4383" s="4">
        <v>85.24</v>
      </c>
      <c r="J4383">
        <v>4.3</v>
      </c>
      <c r="K4383" t="s">
        <v>18</v>
      </c>
      <c r="L4383" t="s">
        <v>19</v>
      </c>
      <c r="O4383"/>
    </row>
    <row r="4384" spans="1:15" x14ac:dyDescent="0.3">
      <c r="A4384" t="s">
        <v>4408</v>
      </c>
      <c r="B4384" s="1">
        <v>45711</v>
      </c>
      <c r="C4384" t="s">
        <v>13</v>
      </c>
      <c r="D4384" t="s">
        <v>14</v>
      </c>
      <c r="E4384" s="2">
        <v>16.649999999999999</v>
      </c>
      <c r="F4384" s="3">
        <v>38.520000000000003</v>
      </c>
      <c r="G4384" s="4">
        <v>244.99</v>
      </c>
      <c r="H4384">
        <v>1.2</v>
      </c>
      <c r="I4384" s="4">
        <v>293.99</v>
      </c>
      <c r="J4384">
        <v>3.8</v>
      </c>
      <c r="K4384" t="s">
        <v>18</v>
      </c>
      <c r="L4384" t="s">
        <v>26</v>
      </c>
      <c r="O4384"/>
    </row>
    <row r="4385" spans="1:15" x14ac:dyDescent="0.3">
      <c r="A4385" t="s">
        <v>4409</v>
      </c>
      <c r="B4385" s="1">
        <v>45775</v>
      </c>
      <c r="C4385" t="s">
        <v>14</v>
      </c>
      <c r="D4385" t="s">
        <v>22</v>
      </c>
      <c r="E4385" s="2">
        <v>10.87</v>
      </c>
      <c r="F4385" s="3">
        <v>23.99</v>
      </c>
      <c r="G4385" s="4">
        <v>128.66</v>
      </c>
      <c r="H4385">
        <v>2</v>
      </c>
      <c r="I4385" s="4">
        <v>257.32</v>
      </c>
      <c r="J4385">
        <v>4.2</v>
      </c>
      <c r="K4385" t="s">
        <v>18</v>
      </c>
      <c r="L4385" t="s">
        <v>28</v>
      </c>
      <c r="O4385"/>
    </row>
    <row r="4386" spans="1:15" x14ac:dyDescent="0.3">
      <c r="A4386" t="s">
        <v>4410</v>
      </c>
      <c r="B4386" s="1">
        <v>45850</v>
      </c>
      <c r="C4386" t="s">
        <v>13</v>
      </c>
      <c r="D4386" t="s">
        <v>22</v>
      </c>
      <c r="E4386" s="2">
        <v>23.48</v>
      </c>
      <c r="F4386" s="3">
        <v>77.56</v>
      </c>
      <c r="G4386" s="4">
        <v>289.83999999999997</v>
      </c>
      <c r="H4386">
        <v>2</v>
      </c>
      <c r="I4386" s="4">
        <v>579.67999999999995</v>
      </c>
      <c r="J4386">
        <v>3.2</v>
      </c>
      <c r="K4386" t="s">
        <v>33</v>
      </c>
      <c r="L4386" t="s">
        <v>26</v>
      </c>
      <c r="O4386"/>
    </row>
    <row r="4387" spans="1:15" x14ac:dyDescent="0.3">
      <c r="A4387" t="s">
        <v>4411</v>
      </c>
      <c r="B4387" s="1">
        <v>45915</v>
      </c>
      <c r="C4387" t="s">
        <v>14</v>
      </c>
      <c r="D4387" t="s">
        <v>13</v>
      </c>
      <c r="E4387" s="2">
        <v>5.9</v>
      </c>
      <c r="F4387" s="3">
        <v>15.65</v>
      </c>
      <c r="G4387" s="4">
        <v>76.88</v>
      </c>
      <c r="H4387">
        <v>1.2</v>
      </c>
      <c r="I4387" s="4">
        <v>92.26</v>
      </c>
      <c r="J4387">
        <v>4.3</v>
      </c>
      <c r="K4387" t="s">
        <v>33</v>
      </c>
      <c r="L4387" t="s">
        <v>19</v>
      </c>
      <c r="O4387"/>
    </row>
    <row r="4388" spans="1:15" x14ac:dyDescent="0.3">
      <c r="A4388" t="s">
        <v>4412</v>
      </c>
      <c r="B4388" s="1">
        <v>45749</v>
      </c>
      <c r="C4388" t="s">
        <v>21</v>
      </c>
      <c r="D4388" t="s">
        <v>14</v>
      </c>
      <c r="E4388" s="2">
        <v>23.15</v>
      </c>
      <c r="F4388" s="3">
        <v>72.94</v>
      </c>
      <c r="G4388" s="4">
        <v>422.79</v>
      </c>
      <c r="H4388">
        <v>1.5</v>
      </c>
      <c r="I4388" s="4">
        <v>634.19000000000005</v>
      </c>
      <c r="J4388">
        <v>4.0999999999999996</v>
      </c>
      <c r="K4388" t="s">
        <v>36</v>
      </c>
      <c r="L4388" t="s">
        <v>19</v>
      </c>
      <c r="O4388"/>
    </row>
    <row r="4389" spans="1:15" x14ac:dyDescent="0.3">
      <c r="A4389" t="s">
        <v>4413</v>
      </c>
      <c r="B4389" s="1">
        <v>45847</v>
      </c>
      <c r="C4389" t="s">
        <v>25</v>
      </c>
      <c r="D4389" t="s">
        <v>25</v>
      </c>
      <c r="E4389" s="2">
        <v>18.670000000000002</v>
      </c>
      <c r="F4389" s="3">
        <v>62.58</v>
      </c>
      <c r="G4389" s="4">
        <v>316.60000000000002</v>
      </c>
      <c r="H4389">
        <v>2</v>
      </c>
      <c r="I4389" s="4">
        <v>633.20000000000005</v>
      </c>
      <c r="J4389">
        <v>3.8</v>
      </c>
      <c r="K4389" t="s">
        <v>33</v>
      </c>
      <c r="L4389" t="s">
        <v>28</v>
      </c>
      <c r="O4389"/>
    </row>
    <row r="4390" spans="1:15" x14ac:dyDescent="0.3">
      <c r="A4390" t="s">
        <v>4414</v>
      </c>
      <c r="B4390" s="1">
        <v>45827</v>
      </c>
      <c r="C4390" t="s">
        <v>22</v>
      </c>
      <c r="D4390" t="s">
        <v>21</v>
      </c>
      <c r="E4390" s="2">
        <v>3.73</v>
      </c>
      <c r="F4390" s="3">
        <v>12.65</v>
      </c>
      <c r="G4390" s="4">
        <v>64.33</v>
      </c>
      <c r="H4390">
        <v>1.2</v>
      </c>
      <c r="I4390" s="4">
        <v>77.2</v>
      </c>
      <c r="J4390">
        <v>4.2</v>
      </c>
      <c r="K4390" t="s">
        <v>33</v>
      </c>
      <c r="L4390" t="s">
        <v>19</v>
      </c>
      <c r="O4390"/>
    </row>
    <row r="4391" spans="1:15" x14ac:dyDescent="0.3">
      <c r="A4391" t="s">
        <v>4415</v>
      </c>
      <c r="B4391" s="1">
        <v>45931</v>
      </c>
      <c r="C4391" t="s">
        <v>21</v>
      </c>
      <c r="D4391" t="s">
        <v>21</v>
      </c>
      <c r="E4391" s="2">
        <v>20.92</v>
      </c>
      <c r="F4391" s="3">
        <v>63.38</v>
      </c>
      <c r="G4391" s="4">
        <v>390.77</v>
      </c>
      <c r="H4391">
        <v>1</v>
      </c>
      <c r="I4391" s="4">
        <v>390.77</v>
      </c>
      <c r="J4391">
        <v>4.9000000000000004</v>
      </c>
      <c r="K4391" t="s">
        <v>36</v>
      </c>
      <c r="L4391" t="s">
        <v>19</v>
      </c>
      <c r="O4391"/>
    </row>
    <row r="4392" spans="1:15" x14ac:dyDescent="0.3">
      <c r="A4392" t="s">
        <v>4416</v>
      </c>
      <c r="B4392" s="1">
        <v>45956</v>
      </c>
      <c r="C4392" t="s">
        <v>22</v>
      </c>
      <c r="D4392" t="s">
        <v>22</v>
      </c>
      <c r="E4392" s="2">
        <v>4.34</v>
      </c>
      <c r="F4392" s="3">
        <v>12.89</v>
      </c>
      <c r="G4392" s="4">
        <v>48.15</v>
      </c>
      <c r="H4392">
        <v>1</v>
      </c>
      <c r="I4392" s="4">
        <v>48.15</v>
      </c>
      <c r="J4392">
        <v>4.5999999999999996</v>
      </c>
      <c r="K4392" t="s">
        <v>18</v>
      </c>
      <c r="L4392" t="s">
        <v>26</v>
      </c>
      <c r="O4392"/>
    </row>
    <row r="4393" spans="1:15" x14ac:dyDescent="0.3">
      <c r="A4393" t="s">
        <v>4417</v>
      </c>
      <c r="B4393" s="1">
        <v>45819</v>
      </c>
      <c r="C4393" t="s">
        <v>13</v>
      </c>
      <c r="D4393" t="s">
        <v>14</v>
      </c>
      <c r="E4393" s="2">
        <v>7.99</v>
      </c>
      <c r="F4393" s="3">
        <v>30.15</v>
      </c>
      <c r="G4393" s="4">
        <v>130.87</v>
      </c>
      <c r="H4393">
        <v>1.2</v>
      </c>
      <c r="I4393" s="4">
        <v>157.04</v>
      </c>
      <c r="J4393">
        <v>3.5</v>
      </c>
      <c r="K4393" t="s">
        <v>15</v>
      </c>
      <c r="L4393" t="s">
        <v>16</v>
      </c>
      <c r="O4393"/>
    </row>
    <row r="4394" spans="1:15" x14ac:dyDescent="0.3">
      <c r="A4394" t="s">
        <v>4418</v>
      </c>
      <c r="B4394" s="1">
        <v>45689</v>
      </c>
      <c r="C4394" t="s">
        <v>14</v>
      </c>
      <c r="D4394" t="s">
        <v>25</v>
      </c>
      <c r="E4394" s="2">
        <v>1.1000000000000001</v>
      </c>
      <c r="F4394" s="3">
        <v>2.46</v>
      </c>
      <c r="G4394" s="4">
        <v>17.02</v>
      </c>
      <c r="H4394">
        <v>1</v>
      </c>
      <c r="I4394" s="4">
        <v>17.02</v>
      </c>
      <c r="J4394">
        <v>3.2</v>
      </c>
      <c r="K4394" t="s">
        <v>18</v>
      </c>
      <c r="L4394" t="s">
        <v>16</v>
      </c>
      <c r="O4394"/>
    </row>
    <row r="4395" spans="1:15" x14ac:dyDescent="0.3">
      <c r="A4395" t="s">
        <v>4419</v>
      </c>
      <c r="B4395" s="1">
        <v>46016</v>
      </c>
      <c r="C4395" t="s">
        <v>21</v>
      </c>
      <c r="D4395" t="s">
        <v>13</v>
      </c>
      <c r="E4395" s="2">
        <v>17.45</v>
      </c>
      <c r="F4395" s="3">
        <v>40.97</v>
      </c>
      <c r="G4395" s="4">
        <v>202.95</v>
      </c>
      <c r="H4395">
        <v>1</v>
      </c>
      <c r="I4395" s="4">
        <v>202.95</v>
      </c>
      <c r="J4395">
        <v>4.5999999999999996</v>
      </c>
      <c r="K4395" t="s">
        <v>30</v>
      </c>
      <c r="L4395" t="s">
        <v>19</v>
      </c>
      <c r="O4395"/>
    </row>
    <row r="4396" spans="1:15" x14ac:dyDescent="0.3">
      <c r="A4396" t="s">
        <v>4420</v>
      </c>
      <c r="B4396" s="1">
        <v>45701</v>
      </c>
      <c r="C4396" t="s">
        <v>21</v>
      </c>
      <c r="D4396" t="s">
        <v>22</v>
      </c>
      <c r="E4396" s="2">
        <v>27.11</v>
      </c>
      <c r="F4396" s="3">
        <v>96.92</v>
      </c>
      <c r="G4396" s="4">
        <v>291.14</v>
      </c>
      <c r="H4396">
        <v>1.2</v>
      </c>
      <c r="I4396" s="4">
        <v>349.37</v>
      </c>
      <c r="J4396">
        <v>3.6</v>
      </c>
      <c r="K4396" t="s">
        <v>33</v>
      </c>
      <c r="L4396" t="s">
        <v>28</v>
      </c>
      <c r="O4396"/>
    </row>
    <row r="4397" spans="1:15" x14ac:dyDescent="0.3">
      <c r="A4397" t="s">
        <v>4421</v>
      </c>
      <c r="B4397" s="1">
        <v>45941</v>
      </c>
      <c r="C4397" t="s">
        <v>13</v>
      </c>
      <c r="D4397" t="s">
        <v>21</v>
      </c>
      <c r="E4397" s="2">
        <v>23.77</v>
      </c>
      <c r="F4397" s="3">
        <v>67.040000000000006</v>
      </c>
      <c r="G4397" s="4">
        <v>400.43</v>
      </c>
      <c r="H4397">
        <v>1.2</v>
      </c>
      <c r="I4397" s="4">
        <v>480.52</v>
      </c>
      <c r="J4397">
        <v>3.5</v>
      </c>
      <c r="K4397" t="s">
        <v>30</v>
      </c>
      <c r="L4397" t="s">
        <v>19</v>
      </c>
      <c r="O4397"/>
    </row>
    <row r="4398" spans="1:15" x14ac:dyDescent="0.3">
      <c r="A4398" t="s">
        <v>4422</v>
      </c>
      <c r="B4398" s="1">
        <v>45879</v>
      </c>
      <c r="C4398" t="s">
        <v>13</v>
      </c>
      <c r="D4398" t="s">
        <v>25</v>
      </c>
      <c r="E4398" s="2">
        <v>8.3800000000000008</v>
      </c>
      <c r="F4398" s="3">
        <v>19.02</v>
      </c>
      <c r="G4398" s="4">
        <v>133.81</v>
      </c>
      <c r="H4398">
        <v>1</v>
      </c>
      <c r="I4398" s="4">
        <v>133.81</v>
      </c>
      <c r="J4398">
        <v>4.8</v>
      </c>
      <c r="K4398" t="s">
        <v>15</v>
      </c>
      <c r="L4398" t="s">
        <v>19</v>
      </c>
      <c r="O4398"/>
    </row>
    <row r="4399" spans="1:15" x14ac:dyDescent="0.3">
      <c r="A4399" t="s">
        <v>4423</v>
      </c>
      <c r="B4399" s="1">
        <v>46007</v>
      </c>
      <c r="C4399" t="s">
        <v>13</v>
      </c>
      <c r="D4399" t="s">
        <v>13</v>
      </c>
      <c r="E4399" s="2">
        <v>3.41</v>
      </c>
      <c r="F4399" s="3">
        <v>7.61</v>
      </c>
      <c r="G4399" s="4">
        <v>52.38</v>
      </c>
      <c r="H4399">
        <v>2</v>
      </c>
      <c r="I4399" s="4">
        <v>104.76</v>
      </c>
      <c r="J4399">
        <v>3.3</v>
      </c>
      <c r="K4399" t="s">
        <v>30</v>
      </c>
      <c r="L4399" t="s">
        <v>26</v>
      </c>
      <c r="O4399"/>
    </row>
    <row r="4400" spans="1:15" x14ac:dyDescent="0.3">
      <c r="A4400" t="s">
        <v>4424</v>
      </c>
      <c r="B4400" s="1">
        <v>45966</v>
      </c>
      <c r="C4400" t="s">
        <v>25</v>
      </c>
      <c r="D4400" t="s">
        <v>22</v>
      </c>
      <c r="E4400" s="2">
        <v>24.99</v>
      </c>
      <c r="F4400" s="3">
        <v>59.33</v>
      </c>
      <c r="G4400" s="4">
        <v>340.03</v>
      </c>
      <c r="H4400">
        <v>1.2</v>
      </c>
      <c r="I4400" s="4">
        <v>408.04</v>
      </c>
      <c r="J4400">
        <v>3.1</v>
      </c>
      <c r="K4400" t="s">
        <v>15</v>
      </c>
      <c r="L4400" t="s">
        <v>26</v>
      </c>
      <c r="O4400"/>
    </row>
    <row r="4401" spans="1:15" x14ac:dyDescent="0.3">
      <c r="A4401" t="s">
        <v>4425</v>
      </c>
      <c r="B4401" s="1">
        <v>45838</v>
      </c>
      <c r="C4401" t="s">
        <v>14</v>
      </c>
      <c r="D4401" t="s">
        <v>14</v>
      </c>
      <c r="E4401" s="2">
        <v>13.14</v>
      </c>
      <c r="F4401" s="3">
        <v>36.76</v>
      </c>
      <c r="G4401" s="4">
        <v>207.55</v>
      </c>
      <c r="H4401">
        <v>1.5</v>
      </c>
      <c r="I4401" s="4">
        <v>311.33</v>
      </c>
      <c r="J4401">
        <v>3.3</v>
      </c>
      <c r="K4401" t="s">
        <v>33</v>
      </c>
      <c r="L4401" t="s">
        <v>19</v>
      </c>
      <c r="O4401"/>
    </row>
    <row r="4402" spans="1:15" x14ac:dyDescent="0.3">
      <c r="A4402" t="s">
        <v>4426</v>
      </c>
      <c r="B4402" s="1">
        <v>45881</v>
      </c>
      <c r="C4402" t="s">
        <v>13</v>
      </c>
      <c r="D4402" t="s">
        <v>21</v>
      </c>
      <c r="E4402" s="2">
        <v>8.2100000000000009</v>
      </c>
      <c r="F4402" s="3">
        <v>29.94</v>
      </c>
      <c r="G4402" s="4">
        <v>104.46</v>
      </c>
      <c r="H4402">
        <v>2</v>
      </c>
      <c r="I4402" s="4">
        <v>208.92</v>
      </c>
      <c r="J4402">
        <v>4.2</v>
      </c>
      <c r="K4402" t="s">
        <v>36</v>
      </c>
      <c r="L4402" t="s">
        <v>26</v>
      </c>
      <c r="O4402"/>
    </row>
    <row r="4403" spans="1:15" x14ac:dyDescent="0.3">
      <c r="A4403" t="s">
        <v>4427</v>
      </c>
      <c r="B4403" s="1">
        <v>45761</v>
      </c>
      <c r="C4403" t="s">
        <v>14</v>
      </c>
      <c r="D4403" t="s">
        <v>13</v>
      </c>
      <c r="E4403" s="2">
        <v>26.49</v>
      </c>
      <c r="F4403" s="3">
        <v>74.03</v>
      </c>
      <c r="G4403" s="4">
        <v>330.08</v>
      </c>
      <c r="H4403">
        <v>2</v>
      </c>
      <c r="I4403" s="4">
        <v>660.16</v>
      </c>
      <c r="J4403">
        <v>4.3</v>
      </c>
      <c r="K4403" t="s">
        <v>18</v>
      </c>
      <c r="L4403" t="s">
        <v>28</v>
      </c>
      <c r="O4403"/>
    </row>
    <row r="4404" spans="1:15" x14ac:dyDescent="0.3">
      <c r="A4404" t="s">
        <v>4428</v>
      </c>
      <c r="B4404" s="1">
        <v>45658</v>
      </c>
      <c r="C4404" t="s">
        <v>22</v>
      </c>
      <c r="D4404" t="s">
        <v>21</v>
      </c>
      <c r="E4404" s="2">
        <v>9.9499999999999993</v>
      </c>
      <c r="F4404" s="3">
        <v>26.64</v>
      </c>
      <c r="G4404" s="4">
        <v>119.1</v>
      </c>
      <c r="H4404">
        <v>1</v>
      </c>
      <c r="I4404" s="4">
        <v>119.1</v>
      </c>
      <c r="J4404">
        <v>4.0999999999999996</v>
      </c>
      <c r="K4404" t="s">
        <v>33</v>
      </c>
      <c r="L4404" t="s">
        <v>28</v>
      </c>
      <c r="O4404"/>
    </row>
    <row r="4405" spans="1:15" x14ac:dyDescent="0.3">
      <c r="A4405" t="s">
        <v>4429</v>
      </c>
      <c r="B4405" s="1">
        <v>45922</v>
      </c>
      <c r="C4405" t="s">
        <v>22</v>
      </c>
      <c r="D4405" t="s">
        <v>22</v>
      </c>
      <c r="E4405" s="2">
        <v>8.18</v>
      </c>
      <c r="F4405" s="3">
        <v>31.8</v>
      </c>
      <c r="G4405" s="4">
        <v>155.49</v>
      </c>
      <c r="H4405">
        <v>2</v>
      </c>
      <c r="I4405" s="4">
        <v>310.98</v>
      </c>
      <c r="J4405">
        <v>3.4</v>
      </c>
      <c r="K4405" t="s">
        <v>15</v>
      </c>
      <c r="L4405" t="s">
        <v>28</v>
      </c>
      <c r="O4405"/>
    </row>
    <row r="4406" spans="1:15" x14ac:dyDescent="0.3">
      <c r="A4406" t="s">
        <v>4430</v>
      </c>
      <c r="B4406" s="1">
        <v>45782</v>
      </c>
      <c r="C4406" t="s">
        <v>25</v>
      </c>
      <c r="D4406" t="s">
        <v>21</v>
      </c>
      <c r="E4406" s="2">
        <v>8.24</v>
      </c>
      <c r="F4406" s="3">
        <v>17.87</v>
      </c>
      <c r="G4406" s="4">
        <v>150</v>
      </c>
      <c r="H4406">
        <v>1.5</v>
      </c>
      <c r="I4406" s="4">
        <v>225</v>
      </c>
      <c r="J4406">
        <v>4.9000000000000004</v>
      </c>
      <c r="K4406" t="s">
        <v>18</v>
      </c>
      <c r="L4406" t="s">
        <v>26</v>
      </c>
      <c r="O4406"/>
    </row>
    <row r="4407" spans="1:15" x14ac:dyDescent="0.3">
      <c r="A4407" t="s">
        <v>4431</v>
      </c>
      <c r="B4407" s="1">
        <v>45972</v>
      </c>
      <c r="C4407" t="s">
        <v>22</v>
      </c>
      <c r="D4407" t="s">
        <v>25</v>
      </c>
      <c r="E4407" s="2">
        <v>23.83</v>
      </c>
      <c r="F4407" s="3">
        <v>49.82</v>
      </c>
      <c r="G4407" s="4">
        <v>263.69</v>
      </c>
      <c r="H4407">
        <v>1.2</v>
      </c>
      <c r="I4407" s="4">
        <v>316.43</v>
      </c>
      <c r="J4407">
        <v>3.5</v>
      </c>
      <c r="K4407" t="s">
        <v>18</v>
      </c>
      <c r="L4407" t="s">
        <v>26</v>
      </c>
      <c r="O4407"/>
    </row>
    <row r="4408" spans="1:15" x14ac:dyDescent="0.3">
      <c r="A4408" t="s">
        <v>4432</v>
      </c>
      <c r="B4408" s="1">
        <v>45838</v>
      </c>
      <c r="C4408" t="s">
        <v>25</v>
      </c>
      <c r="D4408" t="s">
        <v>25</v>
      </c>
      <c r="E4408" s="2">
        <v>6.54</v>
      </c>
      <c r="F4408" s="3">
        <v>18.37</v>
      </c>
      <c r="G4408" s="4">
        <v>100.63</v>
      </c>
      <c r="H4408">
        <v>2</v>
      </c>
      <c r="I4408" s="4">
        <v>201.26</v>
      </c>
      <c r="J4408">
        <v>4.2</v>
      </c>
      <c r="K4408" t="s">
        <v>18</v>
      </c>
      <c r="L4408" t="s">
        <v>19</v>
      </c>
      <c r="O4408"/>
    </row>
    <row r="4409" spans="1:15" x14ac:dyDescent="0.3">
      <c r="A4409" t="s">
        <v>4433</v>
      </c>
      <c r="B4409" s="1">
        <v>45888</v>
      </c>
      <c r="C4409" t="s">
        <v>25</v>
      </c>
      <c r="D4409" t="s">
        <v>21</v>
      </c>
      <c r="E4409" s="2">
        <v>18.3</v>
      </c>
      <c r="F4409" s="3">
        <v>62.84</v>
      </c>
      <c r="G4409" s="4">
        <v>361.95</v>
      </c>
      <c r="H4409">
        <v>1</v>
      </c>
      <c r="I4409" s="4">
        <v>361.95</v>
      </c>
      <c r="J4409">
        <v>4.7</v>
      </c>
      <c r="K4409" t="s">
        <v>30</v>
      </c>
      <c r="L4409" t="s">
        <v>16</v>
      </c>
      <c r="O4409"/>
    </row>
    <row r="4410" spans="1:15" x14ac:dyDescent="0.3">
      <c r="A4410" t="s">
        <v>4434</v>
      </c>
      <c r="B4410" s="1">
        <v>45987</v>
      </c>
      <c r="C4410" t="s">
        <v>14</v>
      </c>
      <c r="D4410" t="s">
        <v>14</v>
      </c>
      <c r="E4410" s="2">
        <v>21.58</v>
      </c>
      <c r="F4410" s="3">
        <v>76.099999999999994</v>
      </c>
      <c r="G4410" s="4">
        <v>373.28</v>
      </c>
      <c r="H4410">
        <v>1</v>
      </c>
      <c r="I4410" s="4">
        <v>373.28</v>
      </c>
      <c r="J4410">
        <v>3.9</v>
      </c>
      <c r="K4410" t="s">
        <v>15</v>
      </c>
      <c r="L4410" t="s">
        <v>26</v>
      </c>
      <c r="O4410"/>
    </row>
    <row r="4411" spans="1:15" x14ac:dyDescent="0.3">
      <c r="A4411" t="s">
        <v>4435</v>
      </c>
      <c r="B4411" s="1">
        <v>45894</v>
      </c>
      <c r="C4411" t="s">
        <v>22</v>
      </c>
      <c r="D4411" t="s">
        <v>13</v>
      </c>
      <c r="E4411" s="2">
        <v>3.85</v>
      </c>
      <c r="F4411" s="3">
        <v>8.51</v>
      </c>
      <c r="G4411" s="4">
        <v>69.16</v>
      </c>
      <c r="H4411">
        <v>1.2</v>
      </c>
      <c r="I4411" s="4">
        <v>82.99</v>
      </c>
      <c r="J4411">
        <v>3.8</v>
      </c>
      <c r="K4411" t="s">
        <v>18</v>
      </c>
      <c r="L4411" t="s">
        <v>28</v>
      </c>
      <c r="O4411"/>
    </row>
    <row r="4412" spans="1:15" x14ac:dyDescent="0.3">
      <c r="A4412" t="s">
        <v>4436</v>
      </c>
      <c r="B4412" s="1">
        <v>45923</v>
      </c>
      <c r="C4412" t="s">
        <v>13</v>
      </c>
      <c r="D4412" t="s">
        <v>14</v>
      </c>
      <c r="E4412" s="2">
        <v>12.64</v>
      </c>
      <c r="F4412" s="3">
        <v>46.01</v>
      </c>
      <c r="G4412" s="4">
        <v>142.4</v>
      </c>
      <c r="H4412">
        <v>1</v>
      </c>
      <c r="I4412" s="4">
        <v>142.4</v>
      </c>
      <c r="J4412">
        <v>3.1</v>
      </c>
      <c r="K4412" t="s">
        <v>30</v>
      </c>
      <c r="L4412" t="s">
        <v>19</v>
      </c>
      <c r="O4412"/>
    </row>
    <row r="4413" spans="1:15" x14ac:dyDescent="0.3">
      <c r="A4413" t="s">
        <v>4437</v>
      </c>
      <c r="B4413" s="1">
        <v>45859</v>
      </c>
      <c r="C4413" t="s">
        <v>22</v>
      </c>
      <c r="D4413" t="s">
        <v>13</v>
      </c>
      <c r="E4413" s="2">
        <v>25.4</v>
      </c>
      <c r="F4413" s="3">
        <v>64.87</v>
      </c>
      <c r="G4413" s="4">
        <v>308.54000000000002</v>
      </c>
      <c r="H4413">
        <v>1.2</v>
      </c>
      <c r="I4413" s="4">
        <v>370.25</v>
      </c>
      <c r="J4413">
        <v>4.7</v>
      </c>
      <c r="K4413" t="s">
        <v>15</v>
      </c>
      <c r="L4413" t="s">
        <v>16</v>
      </c>
      <c r="O4413"/>
    </row>
    <row r="4414" spans="1:15" x14ac:dyDescent="0.3">
      <c r="A4414" t="s">
        <v>4438</v>
      </c>
      <c r="B4414" s="1">
        <v>45882</v>
      </c>
      <c r="C4414" t="s">
        <v>22</v>
      </c>
      <c r="D4414" t="s">
        <v>13</v>
      </c>
      <c r="E4414" s="2">
        <v>4.29</v>
      </c>
      <c r="F4414" s="3">
        <v>10.4</v>
      </c>
      <c r="G4414" s="4">
        <v>69.56</v>
      </c>
      <c r="H4414">
        <v>1.2</v>
      </c>
      <c r="I4414" s="4">
        <v>83.47</v>
      </c>
      <c r="J4414">
        <v>3.6</v>
      </c>
      <c r="K4414" t="s">
        <v>18</v>
      </c>
      <c r="L4414" t="s">
        <v>19</v>
      </c>
      <c r="O4414"/>
    </row>
    <row r="4415" spans="1:15" x14ac:dyDescent="0.3">
      <c r="A4415" t="s">
        <v>4439</v>
      </c>
      <c r="B4415" s="1">
        <v>45703</v>
      </c>
      <c r="C4415" t="s">
        <v>14</v>
      </c>
      <c r="D4415" t="s">
        <v>25</v>
      </c>
      <c r="E4415" s="2">
        <v>28.59</v>
      </c>
      <c r="F4415" s="3">
        <v>81.209999999999994</v>
      </c>
      <c r="G4415" s="4">
        <v>537.97</v>
      </c>
      <c r="H4415">
        <v>2</v>
      </c>
      <c r="I4415" s="4">
        <v>1075.94</v>
      </c>
      <c r="J4415">
        <v>4.9000000000000004</v>
      </c>
      <c r="K4415" t="s">
        <v>36</v>
      </c>
      <c r="L4415" t="s">
        <v>26</v>
      </c>
      <c r="O4415"/>
    </row>
    <row r="4416" spans="1:15" x14ac:dyDescent="0.3">
      <c r="A4416" t="s">
        <v>4440</v>
      </c>
      <c r="B4416" s="1">
        <v>45787</v>
      </c>
      <c r="C4416" t="s">
        <v>25</v>
      </c>
      <c r="D4416" t="s">
        <v>22</v>
      </c>
      <c r="E4416" s="2">
        <v>22.59</v>
      </c>
      <c r="F4416" s="3">
        <v>68.680000000000007</v>
      </c>
      <c r="G4416" s="4">
        <v>276.75</v>
      </c>
      <c r="H4416">
        <v>1.5</v>
      </c>
      <c r="I4416" s="4">
        <v>415.12</v>
      </c>
      <c r="J4416">
        <v>3.6</v>
      </c>
      <c r="K4416" t="s">
        <v>15</v>
      </c>
      <c r="L4416" t="s">
        <v>28</v>
      </c>
      <c r="O4416"/>
    </row>
    <row r="4417" spans="1:15" x14ac:dyDescent="0.3">
      <c r="A4417" t="s">
        <v>4441</v>
      </c>
      <c r="B4417" s="1">
        <v>46008</v>
      </c>
      <c r="C4417" t="s">
        <v>14</v>
      </c>
      <c r="D4417" t="s">
        <v>21</v>
      </c>
      <c r="E4417" s="2">
        <v>18.45</v>
      </c>
      <c r="F4417" s="3">
        <v>72.63</v>
      </c>
      <c r="G4417" s="4">
        <v>342.2</v>
      </c>
      <c r="H4417">
        <v>1</v>
      </c>
      <c r="I4417" s="4">
        <v>342.2</v>
      </c>
      <c r="J4417">
        <v>3.9</v>
      </c>
      <c r="K4417" t="s">
        <v>33</v>
      </c>
      <c r="L4417" t="s">
        <v>26</v>
      </c>
      <c r="O4417"/>
    </row>
    <row r="4418" spans="1:15" x14ac:dyDescent="0.3">
      <c r="A4418" t="s">
        <v>4442</v>
      </c>
      <c r="B4418" s="1">
        <v>46020</v>
      </c>
      <c r="C4418" t="s">
        <v>22</v>
      </c>
      <c r="D4418" t="s">
        <v>21</v>
      </c>
      <c r="E4418" s="2">
        <v>19.88</v>
      </c>
      <c r="F4418" s="3">
        <v>68.89</v>
      </c>
      <c r="G4418" s="4">
        <v>223.66</v>
      </c>
      <c r="H4418">
        <v>1</v>
      </c>
      <c r="I4418" s="4">
        <v>223.66</v>
      </c>
      <c r="J4418">
        <v>3.4</v>
      </c>
      <c r="K4418" t="s">
        <v>15</v>
      </c>
      <c r="L4418" t="s">
        <v>16</v>
      </c>
      <c r="O4418"/>
    </row>
    <row r="4419" spans="1:15" x14ac:dyDescent="0.3">
      <c r="A4419" t="s">
        <v>4443</v>
      </c>
      <c r="B4419" s="1">
        <v>45917</v>
      </c>
      <c r="C4419" t="s">
        <v>14</v>
      </c>
      <c r="D4419" t="s">
        <v>21</v>
      </c>
      <c r="E4419" s="2">
        <v>12.02</v>
      </c>
      <c r="F4419" s="3">
        <v>42.39</v>
      </c>
      <c r="G4419" s="4">
        <v>205.99</v>
      </c>
      <c r="H4419">
        <v>2</v>
      </c>
      <c r="I4419" s="4">
        <v>411.98</v>
      </c>
      <c r="J4419">
        <v>5</v>
      </c>
      <c r="K4419" t="s">
        <v>15</v>
      </c>
      <c r="L4419" t="s">
        <v>26</v>
      </c>
      <c r="O4419"/>
    </row>
    <row r="4420" spans="1:15" x14ac:dyDescent="0.3">
      <c r="A4420" t="s">
        <v>4444</v>
      </c>
      <c r="B4420" s="1">
        <v>45917</v>
      </c>
      <c r="C4420" t="s">
        <v>13</v>
      </c>
      <c r="D4420" t="s">
        <v>22</v>
      </c>
      <c r="E4420" s="2">
        <v>17.600000000000001</v>
      </c>
      <c r="F4420" s="3">
        <v>60.14</v>
      </c>
      <c r="G4420" s="4">
        <v>311.81</v>
      </c>
      <c r="H4420">
        <v>1.5</v>
      </c>
      <c r="I4420" s="4">
        <v>467.72</v>
      </c>
      <c r="J4420">
        <v>3.8</v>
      </c>
      <c r="K4420" t="s">
        <v>30</v>
      </c>
      <c r="L4420" t="s">
        <v>28</v>
      </c>
      <c r="O4420"/>
    </row>
    <row r="4421" spans="1:15" x14ac:dyDescent="0.3">
      <c r="A4421" t="s">
        <v>4445</v>
      </c>
      <c r="B4421" s="1">
        <v>45890</v>
      </c>
      <c r="C4421" t="s">
        <v>13</v>
      </c>
      <c r="D4421" t="s">
        <v>22</v>
      </c>
      <c r="E4421" s="2">
        <v>10</v>
      </c>
      <c r="F4421" s="3">
        <v>26.87</v>
      </c>
      <c r="G4421" s="4">
        <v>136.93</v>
      </c>
      <c r="H4421">
        <v>1.5</v>
      </c>
      <c r="I4421" s="4">
        <v>205.4</v>
      </c>
      <c r="J4421">
        <v>3.2</v>
      </c>
      <c r="K4421" t="s">
        <v>18</v>
      </c>
      <c r="L4421" t="s">
        <v>28</v>
      </c>
      <c r="O4421"/>
    </row>
    <row r="4422" spans="1:15" x14ac:dyDescent="0.3">
      <c r="A4422" t="s">
        <v>4446</v>
      </c>
      <c r="B4422" s="1">
        <v>45889</v>
      </c>
      <c r="C4422" t="s">
        <v>13</v>
      </c>
      <c r="D4422" t="s">
        <v>14</v>
      </c>
      <c r="E4422" s="2">
        <v>29</v>
      </c>
      <c r="F4422" s="3">
        <v>69.739999999999995</v>
      </c>
      <c r="G4422" s="4">
        <v>494.35</v>
      </c>
      <c r="H4422">
        <v>1</v>
      </c>
      <c r="I4422" s="4">
        <v>494.35</v>
      </c>
      <c r="J4422">
        <v>3.2</v>
      </c>
      <c r="K4422" t="s">
        <v>18</v>
      </c>
      <c r="L4422" t="s">
        <v>28</v>
      </c>
      <c r="O4422"/>
    </row>
    <row r="4423" spans="1:15" x14ac:dyDescent="0.3">
      <c r="A4423" t="s">
        <v>4447</v>
      </c>
      <c r="B4423" s="1">
        <v>45957</v>
      </c>
      <c r="C4423" t="s">
        <v>13</v>
      </c>
      <c r="D4423" t="s">
        <v>22</v>
      </c>
      <c r="E4423" s="2">
        <v>10.38</v>
      </c>
      <c r="F4423" s="3">
        <v>30.69</v>
      </c>
      <c r="G4423" s="4">
        <v>156.97</v>
      </c>
      <c r="H4423">
        <v>1.5</v>
      </c>
      <c r="I4423" s="4">
        <v>235.46</v>
      </c>
      <c r="J4423">
        <v>4.5999999999999996</v>
      </c>
      <c r="K4423" t="s">
        <v>15</v>
      </c>
      <c r="L4423" t="s">
        <v>28</v>
      </c>
      <c r="O4423"/>
    </row>
    <row r="4424" spans="1:15" x14ac:dyDescent="0.3">
      <c r="A4424" t="s">
        <v>4448</v>
      </c>
      <c r="B4424" s="1">
        <v>45711</v>
      </c>
      <c r="C4424" t="s">
        <v>13</v>
      </c>
      <c r="D4424" t="s">
        <v>13</v>
      </c>
      <c r="E4424" s="2">
        <v>22.57</v>
      </c>
      <c r="F4424" s="3">
        <v>56.03</v>
      </c>
      <c r="G4424" s="4">
        <v>357.86</v>
      </c>
      <c r="H4424">
        <v>2</v>
      </c>
      <c r="I4424" s="4">
        <v>715.72</v>
      </c>
      <c r="J4424">
        <v>3.3</v>
      </c>
      <c r="K4424" t="s">
        <v>33</v>
      </c>
      <c r="L4424" t="s">
        <v>19</v>
      </c>
      <c r="O4424"/>
    </row>
    <row r="4425" spans="1:15" x14ac:dyDescent="0.3">
      <c r="A4425" t="s">
        <v>4449</v>
      </c>
      <c r="B4425" s="1">
        <v>45676</v>
      </c>
      <c r="C4425" t="s">
        <v>21</v>
      </c>
      <c r="D4425" t="s">
        <v>22</v>
      </c>
      <c r="E4425" s="2">
        <v>11.39</v>
      </c>
      <c r="F4425" s="3">
        <v>43.41</v>
      </c>
      <c r="G4425" s="4">
        <v>178.5</v>
      </c>
      <c r="H4425">
        <v>2</v>
      </c>
      <c r="I4425" s="4">
        <v>357</v>
      </c>
      <c r="J4425">
        <v>3.9</v>
      </c>
      <c r="K4425" t="s">
        <v>33</v>
      </c>
      <c r="L4425" t="s">
        <v>28</v>
      </c>
      <c r="O4425"/>
    </row>
    <row r="4426" spans="1:15" x14ac:dyDescent="0.3">
      <c r="A4426" t="s">
        <v>4450</v>
      </c>
      <c r="B4426" s="1">
        <v>45847</v>
      </c>
      <c r="C4426" t="s">
        <v>14</v>
      </c>
      <c r="D4426" t="s">
        <v>13</v>
      </c>
      <c r="E4426" s="2">
        <v>16.03</v>
      </c>
      <c r="F4426" s="3">
        <v>49.62</v>
      </c>
      <c r="G4426" s="4">
        <v>213.91</v>
      </c>
      <c r="H4426">
        <v>1</v>
      </c>
      <c r="I4426" s="4">
        <v>213.91</v>
      </c>
      <c r="J4426">
        <v>3.1</v>
      </c>
      <c r="K4426" t="s">
        <v>15</v>
      </c>
      <c r="L4426" t="s">
        <v>16</v>
      </c>
      <c r="O4426"/>
    </row>
    <row r="4427" spans="1:15" x14ac:dyDescent="0.3">
      <c r="A4427" t="s">
        <v>4451</v>
      </c>
      <c r="B4427" s="1">
        <v>46022</v>
      </c>
      <c r="C4427" t="s">
        <v>25</v>
      </c>
      <c r="D4427" t="s">
        <v>21</v>
      </c>
      <c r="E4427" s="2">
        <v>5.21</v>
      </c>
      <c r="F4427" s="3">
        <v>16.11</v>
      </c>
      <c r="G4427" s="4">
        <v>55.32</v>
      </c>
      <c r="H4427">
        <v>2</v>
      </c>
      <c r="I4427" s="4">
        <v>110.64</v>
      </c>
      <c r="J4427">
        <v>3</v>
      </c>
      <c r="K4427" t="s">
        <v>33</v>
      </c>
      <c r="L4427" t="s">
        <v>16</v>
      </c>
      <c r="O4427"/>
    </row>
    <row r="4428" spans="1:15" x14ac:dyDescent="0.3">
      <c r="A4428" t="s">
        <v>4452</v>
      </c>
      <c r="B4428" s="1">
        <v>45868</v>
      </c>
      <c r="C4428" t="s">
        <v>14</v>
      </c>
      <c r="D4428" t="s">
        <v>14</v>
      </c>
      <c r="E4428" s="2">
        <v>20.54</v>
      </c>
      <c r="F4428" s="3">
        <v>57.15</v>
      </c>
      <c r="G4428" s="4">
        <v>287.52</v>
      </c>
      <c r="H4428">
        <v>1</v>
      </c>
      <c r="I4428" s="4">
        <v>287.52</v>
      </c>
      <c r="J4428">
        <v>4.4000000000000004</v>
      </c>
      <c r="K4428" t="s">
        <v>15</v>
      </c>
      <c r="L4428" t="s">
        <v>16</v>
      </c>
      <c r="O4428"/>
    </row>
    <row r="4429" spans="1:15" x14ac:dyDescent="0.3">
      <c r="A4429" t="s">
        <v>4453</v>
      </c>
      <c r="B4429" s="1">
        <v>45663</v>
      </c>
      <c r="C4429" t="s">
        <v>25</v>
      </c>
      <c r="D4429" t="s">
        <v>25</v>
      </c>
      <c r="E4429" s="2">
        <v>22.04</v>
      </c>
      <c r="F4429" s="3">
        <v>66.349999999999994</v>
      </c>
      <c r="G4429" s="4">
        <v>351.08</v>
      </c>
      <c r="H4429">
        <v>2</v>
      </c>
      <c r="I4429" s="4">
        <v>702.16</v>
      </c>
      <c r="J4429">
        <v>3</v>
      </c>
      <c r="K4429" t="s">
        <v>15</v>
      </c>
      <c r="L4429" t="s">
        <v>19</v>
      </c>
      <c r="O4429"/>
    </row>
    <row r="4430" spans="1:15" x14ac:dyDescent="0.3">
      <c r="A4430" t="s">
        <v>4454</v>
      </c>
      <c r="B4430" s="1">
        <v>45688</v>
      </c>
      <c r="C4430" t="s">
        <v>22</v>
      </c>
      <c r="D4430" t="s">
        <v>22</v>
      </c>
      <c r="E4430" s="2">
        <v>18.850000000000001</v>
      </c>
      <c r="F4430" s="3">
        <v>67.45</v>
      </c>
      <c r="G4430" s="4">
        <v>367.4</v>
      </c>
      <c r="H4430">
        <v>2</v>
      </c>
      <c r="I4430" s="4">
        <v>734.8</v>
      </c>
      <c r="J4430">
        <v>3.6</v>
      </c>
      <c r="K4430" t="s">
        <v>30</v>
      </c>
      <c r="L4430" t="s">
        <v>19</v>
      </c>
      <c r="O4430"/>
    </row>
    <row r="4431" spans="1:15" x14ac:dyDescent="0.3">
      <c r="A4431" t="s">
        <v>4455</v>
      </c>
      <c r="B4431" s="1">
        <v>45976</v>
      </c>
      <c r="C4431" t="s">
        <v>21</v>
      </c>
      <c r="D4431" t="s">
        <v>14</v>
      </c>
      <c r="E4431" s="2">
        <v>3.5</v>
      </c>
      <c r="F4431" s="3">
        <v>9.51</v>
      </c>
      <c r="G4431" s="4">
        <v>49.42</v>
      </c>
      <c r="H4431">
        <v>1.2</v>
      </c>
      <c r="I4431" s="4">
        <v>59.3</v>
      </c>
      <c r="J4431">
        <v>3</v>
      </c>
      <c r="K4431" t="s">
        <v>36</v>
      </c>
      <c r="L4431" t="s">
        <v>28</v>
      </c>
      <c r="O4431"/>
    </row>
    <row r="4432" spans="1:15" x14ac:dyDescent="0.3">
      <c r="A4432" t="s">
        <v>4456</v>
      </c>
      <c r="B4432" s="1">
        <v>45915</v>
      </c>
      <c r="C4432" t="s">
        <v>22</v>
      </c>
      <c r="D4432" t="s">
        <v>13</v>
      </c>
      <c r="E4432" s="2">
        <v>22.2</v>
      </c>
      <c r="F4432" s="3">
        <v>45.24</v>
      </c>
      <c r="G4432" s="4">
        <v>325.12</v>
      </c>
      <c r="H4432">
        <v>1.5</v>
      </c>
      <c r="I4432" s="4">
        <v>487.68</v>
      </c>
      <c r="J4432">
        <v>3.4</v>
      </c>
      <c r="K4432" t="s">
        <v>33</v>
      </c>
      <c r="L4432" t="s">
        <v>16</v>
      </c>
      <c r="O4432"/>
    </row>
    <row r="4433" spans="1:15" x14ac:dyDescent="0.3">
      <c r="A4433" t="s">
        <v>4457</v>
      </c>
      <c r="B4433" s="1">
        <v>45821</v>
      </c>
      <c r="C4433" t="s">
        <v>13</v>
      </c>
      <c r="D4433" t="s">
        <v>25</v>
      </c>
      <c r="E4433" s="2">
        <v>1.91</v>
      </c>
      <c r="F4433" s="3">
        <v>5.48</v>
      </c>
      <c r="G4433" s="4">
        <v>32.549999999999997</v>
      </c>
      <c r="H4433">
        <v>1</v>
      </c>
      <c r="I4433" s="4">
        <v>32.549999999999997</v>
      </c>
      <c r="J4433">
        <v>3.7</v>
      </c>
      <c r="K4433" t="s">
        <v>30</v>
      </c>
      <c r="L4433" t="s">
        <v>16</v>
      </c>
      <c r="O4433"/>
    </row>
    <row r="4434" spans="1:15" x14ac:dyDescent="0.3">
      <c r="A4434" t="s">
        <v>4458</v>
      </c>
      <c r="B4434" s="1">
        <v>45928</v>
      </c>
      <c r="C4434" t="s">
        <v>25</v>
      </c>
      <c r="D4434" t="s">
        <v>21</v>
      </c>
      <c r="E4434" s="2">
        <v>20.420000000000002</v>
      </c>
      <c r="F4434" s="3">
        <v>51.23</v>
      </c>
      <c r="G4434" s="4">
        <v>357.74</v>
      </c>
      <c r="H4434">
        <v>1.5</v>
      </c>
      <c r="I4434" s="4">
        <v>536.61</v>
      </c>
      <c r="J4434">
        <v>3.5</v>
      </c>
      <c r="K4434" t="s">
        <v>18</v>
      </c>
      <c r="L4434" t="s">
        <v>16</v>
      </c>
      <c r="O4434"/>
    </row>
    <row r="4435" spans="1:15" x14ac:dyDescent="0.3">
      <c r="A4435" t="s">
        <v>4459</v>
      </c>
      <c r="B4435" s="1">
        <v>46007</v>
      </c>
      <c r="C4435" t="s">
        <v>25</v>
      </c>
      <c r="D4435" t="s">
        <v>22</v>
      </c>
      <c r="E4435" s="2">
        <v>20.02</v>
      </c>
      <c r="F4435" s="3">
        <v>73.209999999999994</v>
      </c>
      <c r="G4435" s="4">
        <v>358.66</v>
      </c>
      <c r="H4435">
        <v>2</v>
      </c>
      <c r="I4435" s="4">
        <v>717.32</v>
      </c>
      <c r="J4435">
        <v>3.9</v>
      </c>
      <c r="K4435" t="s">
        <v>18</v>
      </c>
      <c r="L4435" t="s">
        <v>19</v>
      </c>
      <c r="O4435"/>
    </row>
    <row r="4436" spans="1:15" x14ac:dyDescent="0.3">
      <c r="A4436" t="s">
        <v>4460</v>
      </c>
      <c r="B4436" s="1">
        <v>45954</v>
      </c>
      <c r="C4436" t="s">
        <v>21</v>
      </c>
      <c r="D4436" t="s">
        <v>25</v>
      </c>
      <c r="E4436" s="2">
        <v>7.29</v>
      </c>
      <c r="F4436" s="3">
        <v>27.19</v>
      </c>
      <c r="G4436" s="4">
        <v>135.4</v>
      </c>
      <c r="H4436">
        <v>1</v>
      </c>
      <c r="I4436" s="4">
        <v>135.4</v>
      </c>
      <c r="J4436">
        <v>4.4000000000000004</v>
      </c>
      <c r="K4436" t="s">
        <v>15</v>
      </c>
      <c r="L4436" t="s">
        <v>19</v>
      </c>
      <c r="O4436"/>
    </row>
    <row r="4437" spans="1:15" x14ac:dyDescent="0.3">
      <c r="A4437" t="s">
        <v>4461</v>
      </c>
      <c r="B4437" s="1">
        <v>45666</v>
      </c>
      <c r="C4437" t="s">
        <v>14</v>
      </c>
      <c r="D4437" t="s">
        <v>13</v>
      </c>
      <c r="E4437" s="2">
        <v>19.809999999999999</v>
      </c>
      <c r="F4437" s="3">
        <v>67.78</v>
      </c>
      <c r="G4437" s="4">
        <v>325.64999999999998</v>
      </c>
      <c r="H4437">
        <v>2</v>
      </c>
      <c r="I4437" s="4">
        <v>651.29999999999995</v>
      </c>
      <c r="J4437">
        <v>3.6</v>
      </c>
      <c r="K4437" t="s">
        <v>36</v>
      </c>
      <c r="L4437" t="s">
        <v>16</v>
      </c>
      <c r="O4437"/>
    </row>
    <row r="4438" spans="1:15" x14ac:dyDescent="0.3">
      <c r="A4438" t="s">
        <v>4462</v>
      </c>
      <c r="B4438" s="1">
        <v>45774</v>
      </c>
      <c r="C4438" t="s">
        <v>13</v>
      </c>
      <c r="D4438" t="s">
        <v>25</v>
      </c>
      <c r="E4438" s="2">
        <v>1.1399999999999999</v>
      </c>
      <c r="F4438" s="3">
        <v>3.18</v>
      </c>
      <c r="G4438" s="4">
        <v>16.93</v>
      </c>
      <c r="H4438">
        <v>1.5</v>
      </c>
      <c r="I4438" s="4">
        <v>25.4</v>
      </c>
      <c r="J4438">
        <v>3.2</v>
      </c>
      <c r="K4438" t="s">
        <v>33</v>
      </c>
      <c r="L4438" t="s">
        <v>28</v>
      </c>
      <c r="O4438"/>
    </row>
    <row r="4439" spans="1:15" x14ac:dyDescent="0.3">
      <c r="A4439" t="s">
        <v>4463</v>
      </c>
      <c r="B4439" s="1">
        <v>45965</v>
      </c>
      <c r="C4439" t="s">
        <v>13</v>
      </c>
      <c r="D4439" t="s">
        <v>21</v>
      </c>
      <c r="E4439" s="2">
        <v>27.8</v>
      </c>
      <c r="F4439" s="3">
        <v>70.28</v>
      </c>
      <c r="G4439" s="4">
        <v>379.95</v>
      </c>
      <c r="H4439">
        <v>1.5</v>
      </c>
      <c r="I4439" s="4">
        <v>569.91999999999996</v>
      </c>
      <c r="J4439">
        <v>3.5</v>
      </c>
      <c r="K4439" t="s">
        <v>15</v>
      </c>
      <c r="L4439" t="s">
        <v>16</v>
      </c>
      <c r="O4439"/>
    </row>
    <row r="4440" spans="1:15" x14ac:dyDescent="0.3">
      <c r="A4440" t="s">
        <v>4464</v>
      </c>
      <c r="B4440" s="1">
        <v>45894</v>
      </c>
      <c r="C4440" t="s">
        <v>14</v>
      </c>
      <c r="D4440" t="s">
        <v>21</v>
      </c>
      <c r="E4440" s="2">
        <v>6.6</v>
      </c>
      <c r="F4440" s="3">
        <v>26.02</v>
      </c>
      <c r="G4440" s="4">
        <v>102.27</v>
      </c>
      <c r="H4440">
        <v>1.5</v>
      </c>
      <c r="I4440" s="4">
        <v>153.4</v>
      </c>
      <c r="J4440">
        <v>4.5</v>
      </c>
      <c r="K4440" t="s">
        <v>18</v>
      </c>
      <c r="L4440" t="s">
        <v>28</v>
      </c>
      <c r="O4440"/>
    </row>
    <row r="4441" spans="1:15" x14ac:dyDescent="0.3">
      <c r="A4441" t="s">
        <v>4465</v>
      </c>
      <c r="B4441" s="1">
        <v>45950</v>
      </c>
      <c r="C4441" t="s">
        <v>21</v>
      </c>
      <c r="D4441" t="s">
        <v>21</v>
      </c>
      <c r="E4441" s="2">
        <v>12.46</v>
      </c>
      <c r="F4441" s="3">
        <v>47.33</v>
      </c>
      <c r="G4441" s="4">
        <v>157.08000000000001</v>
      </c>
      <c r="H4441">
        <v>1.2</v>
      </c>
      <c r="I4441" s="4">
        <v>188.5</v>
      </c>
      <c r="J4441">
        <v>3.1</v>
      </c>
      <c r="K4441" t="s">
        <v>36</v>
      </c>
      <c r="L4441" t="s">
        <v>16</v>
      </c>
      <c r="O4441"/>
    </row>
    <row r="4442" spans="1:15" x14ac:dyDescent="0.3">
      <c r="A4442" t="s">
        <v>4466</v>
      </c>
      <c r="B4442" s="1">
        <v>45741</v>
      </c>
      <c r="C4442" t="s">
        <v>13</v>
      </c>
      <c r="D4442" t="s">
        <v>21</v>
      </c>
      <c r="E4442" s="2">
        <v>4.46</v>
      </c>
      <c r="F4442" s="3">
        <v>14.75</v>
      </c>
      <c r="G4442" s="4">
        <v>71.430000000000007</v>
      </c>
      <c r="H4442">
        <v>1</v>
      </c>
      <c r="I4442" s="4">
        <v>71.430000000000007</v>
      </c>
      <c r="J4442">
        <v>3.8</v>
      </c>
      <c r="K4442" t="s">
        <v>30</v>
      </c>
      <c r="L4442" t="s">
        <v>19</v>
      </c>
      <c r="O4442"/>
    </row>
    <row r="4443" spans="1:15" x14ac:dyDescent="0.3">
      <c r="A4443" t="s">
        <v>4467</v>
      </c>
      <c r="B4443" s="1">
        <v>45839</v>
      </c>
      <c r="C4443" t="s">
        <v>14</v>
      </c>
      <c r="D4443" t="s">
        <v>21</v>
      </c>
      <c r="E4443" s="2">
        <v>12.46</v>
      </c>
      <c r="F4443" s="3">
        <v>31.1</v>
      </c>
      <c r="G4443" s="4">
        <v>129.41999999999999</v>
      </c>
      <c r="H4443">
        <v>1.2</v>
      </c>
      <c r="I4443" s="4">
        <v>155.30000000000001</v>
      </c>
      <c r="J4443">
        <v>4.0999999999999996</v>
      </c>
      <c r="K4443" t="s">
        <v>36</v>
      </c>
      <c r="L4443" t="s">
        <v>26</v>
      </c>
      <c r="O4443"/>
    </row>
    <row r="4444" spans="1:15" x14ac:dyDescent="0.3">
      <c r="A4444" t="s">
        <v>4468</v>
      </c>
      <c r="B4444" s="1">
        <v>45699</v>
      </c>
      <c r="C4444" t="s">
        <v>22</v>
      </c>
      <c r="D4444" t="s">
        <v>13</v>
      </c>
      <c r="E4444" s="2">
        <v>25.69</v>
      </c>
      <c r="F4444" s="3">
        <v>77.45</v>
      </c>
      <c r="G4444" s="4">
        <v>380.43</v>
      </c>
      <c r="H4444">
        <v>1</v>
      </c>
      <c r="I4444" s="4">
        <v>380.43</v>
      </c>
      <c r="J4444">
        <v>4</v>
      </c>
      <c r="K4444" t="s">
        <v>33</v>
      </c>
      <c r="L4444" t="s">
        <v>19</v>
      </c>
      <c r="O4444"/>
    </row>
    <row r="4445" spans="1:15" x14ac:dyDescent="0.3">
      <c r="A4445" t="s">
        <v>4469</v>
      </c>
      <c r="B4445" s="1">
        <v>46019</v>
      </c>
      <c r="C4445" t="s">
        <v>14</v>
      </c>
      <c r="D4445" t="s">
        <v>14</v>
      </c>
      <c r="E4445" s="2">
        <v>28.24</v>
      </c>
      <c r="F4445" s="3">
        <v>74.33</v>
      </c>
      <c r="G4445" s="4">
        <v>508.52</v>
      </c>
      <c r="H4445">
        <v>1.5</v>
      </c>
      <c r="I4445" s="4">
        <v>762.78</v>
      </c>
      <c r="J4445">
        <v>4.9000000000000004</v>
      </c>
      <c r="K4445" t="s">
        <v>18</v>
      </c>
      <c r="L4445" t="s">
        <v>19</v>
      </c>
      <c r="O4445"/>
    </row>
    <row r="4446" spans="1:15" x14ac:dyDescent="0.3">
      <c r="A4446" t="s">
        <v>4470</v>
      </c>
      <c r="B4446" s="1">
        <v>45839</v>
      </c>
      <c r="C4446" t="s">
        <v>22</v>
      </c>
      <c r="D4446" t="s">
        <v>25</v>
      </c>
      <c r="E4446" s="2">
        <v>28.17</v>
      </c>
      <c r="F4446" s="3">
        <v>91.46</v>
      </c>
      <c r="G4446" s="4">
        <v>534.65</v>
      </c>
      <c r="H4446">
        <v>1.2</v>
      </c>
      <c r="I4446" s="4">
        <v>641.58000000000004</v>
      </c>
      <c r="J4446">
        <v>4.3</v>
      </c>
      <c r="K4446" t="s">
        <v>33</v>
      </c>
      <c r="L4446" t="s">
        <v>26</v>
      </c>
      <c r="O4446"/>
    </row>
    <row r="4447" spans="1:15" x14ac:dyDescent="0.3">
      <c r="A4447" t="s">
        <v>4471</v>
      </c>
      <c r="B4447" s="1">
        <v>45762</v>
      </c>
      <c r="C4447" t="s">
        <v>14</v>
      </c>
      <c r="D4447" t="s">
        <v>14</v>
      </c>
      <c r="E4447" s="2">
        <v>23.4</v>
      </c>
      <c r="F4447" s="3">
        <v>59.51</v>
      </c>
      <c r="G4447" s="4">
        <v>407.34</v>
      </c>
      <c r="H4447">
        <v>1</v>
      </c>
      <c r="I4447" s="4">
        <v>407.34</v>
      </c>
      <c r="J4447">
        <v>3.6</v>
      </c>
      <c r="K4447" t="s">
        <v>18</v>
      </c>
      <c r="L4447" t="s">
        <v>26</v>
      </c>
      <c r="O4447"/>
    </row>
    <row r="4448" spans="1:15" x14ac:dyDescent="0.3">
      <c r="A4448" t="s">
        <v>4472</v>
      </c>
      <c r="B4448" s="1">
        <v>45848</v>
      </c>
      <c r="C4448" t="s">
        <v>14</v>
      </c>
      <c r="D4448" t="s">
        <v>22</v>
      </c>
      <c r="E4448" s="2">
        <v>10.07</v>
      </c>
      <c r="F4448" s="3">
        <v>33.869999999999997</v>
      </c>
      <c r="G4448" s="4">
        <v>131.34</v>
      </c>
      <c r="H4448">
        <v>2</v>
      </c>
      <c r="I4448" s="4">
        <v>262.68</v>
      </c>
      <c r="J4448">
        <v>4.4000000000000004</v>
      </c>
      <c r="K4448" t="s">
        <v>15</v>
      </c>
      <c r="L4448" t="s">
        <v>26</v>
      </c>
      <c r="O4448"/>
    </row>
    <row r="4449" spans="1:15" x14ac:dyDescent="0.3">
      <c r="A4449" t="s">
        <v>4473</v>
      </c>
      <c r="B4449" s="1">
        <v>46005</v>
      </c>
      <c r="C4449" t="s">
        <v>13</v>
      </c>
      <c r="D4449" t="s">
        <v>21</v>
      </c>
      <c r="E4449" s="2">
        <v>18.329999999999998</v>
      </c>
      <c r="F4449" s="3">
        <v>51.9</v>
      </c>
      <c r="G4449" s="4">
        <v>212.99</v>
      </c>
      <c r="H4449">
        <v>1.2</v>
      </c>
      <c r="I4449" s="4">
        <v>255.59</v>
      </c>
      <c r="J4449">
        <v>5</v>
      </c>
      <c r="K4449" t="s">
        <v>33</v>
      </c>
      <c r="L4449" t="s">
        <v>16</v>
      </c>
      <c r="O4449"/>
    </row>
    <row r="4450" spans="1:15" x14ac:dyDescent="0.3">
      <c r="A4450" t="s">
        <v>4474</v>
      </c>
      <c r="B4450" s="1">
        <v>45908</v>
      </c>
      <c r="C4450" t="s">
        <v>21</v>
      </c>
      <c r="D4450" t="s">
        <v>22</v>
      </c>
      <c r="E4450" s="2">
        <v>18.920000000000002</v>
      </c>
      <c r="F4450" s="3">
        <v>69.95</v>
      </c>
      <c r="G4450" s="4">
        <v>193.14</v>
      </c>
      <c r="H4450">
        <v>1</v>
      </c>
      <c r="I4450" s="4">
        <v>193.14</v>
      </c>
      <c r="J4450">
        <v>3.9</v>
      </c>
      <c r="K4450" t="s">
        <v>18</v>
      </c>
      <c r="L4450" t="s">
        <v>28</v>
      </c>
      <c r="O4450"/>
    </row>
    <row r="4451" spans="1:15" x14ac:dyDescent="0.3">
      <c r="A4451" t="s">
        <v>4475</v>
      </c>
      <c r="B4451" s="1">
        <v>45731</v>
      </c>
      <c r="C4451" t="s">
        <v>13</v>
      </c>
      <c r="D4451" t="s">
        <v>21</v>
      </c>
      <c r="E4451" s="2">
        <v>22.39</v>
      </c>
      <c r="F4451" s="3">
        <v>51.84</v>
      </c>
      <c r="G4451" s="4">
        <v>284.72000000000003</v>
      </c>
      <c r="H4451">
        <v>1</v>
      </c>
      <c r="I4451" s="4">
        <v>284.72000000000003</v>
      </c>
      <c r="J4451">
        <v>3.4</v>
      </c>
      <c r="K4451" t="s">
        <v>18</v>
      </c>
      <c r="L4451" t="s">
        <v>26</v>
      </c>
      <c r="O4451"/>
    </row>
    <row r="4452" spans="1:15" x14ac:dyDescent="0.3">
      <c r="A4452" t="s">
        <v>4476</v>
      </c>
      <c r="B4452" s="1">
        <v>45706</v>
      </c>
      <c r="C4452" t="s">
        <v>25</v>
      </c>
      <c r="D4452" t="s">
        <v>22</v>
      </c>
      <c r="E4452" s="2">
        <v>7.52</v>
      </c>
      <c r="F4452" s="3">
        <v>20.34</v>
      </c>
      <c r="G4452" s="4">
        <v>129.99</v>
      </c>
      <c r="H4452">
        <v>1</v>
      </c>
      <c r="I4452" s="4">
        <v>129.99</v>
      </c>
      <c r="J4452">
        <v>3.2</v>
      </c>
      <c r="K4452" t="s">
        <v>33</v>
      </c>
      <c r="L4452" t="s">
        <v>19</v>
      </c>
      <c r="O4452"/>
    </row>
    <row r="4453" spans="1:15" x14ac:dyDescent="0.3">
      <c r="A4453" t="s">
        <v>4477</v>
      </c>
      <c r="B4453" s="1">
        <v>45868</v>
      </c>
      <c r="C4453" t="s">
        <v>22</v>
      </c>
      <c r="D4453" t="s">
        <v>13</v>
      </c>
      <c r="E4453" s="2">
        <v>19.489999999999998</v>
      </c>
      <c r="F4453" s="3">
        <v>57.58</v>
      </c>
      <c r="G4453" s="4">
        <v>377.05</v>
      </c>
      <c r="H4453">
        <v>1.2</v>
      </c>
      <c r="I4453" s="4">
        <v>452.46</v>
      </c>
      <c r="J4453">
        <v>3.3</v>
      </c>
      <c r="K4453" t="s">
        <v>30</v>
      </c>
      <c r="L4453" t="s">
        <v>16</v>
      </c>
      <c r="O4453"/>
    </row>
    <row r="4454" spans="1:15" x14ac:dyDescent="0.3">
      <c r="A4454" t="s">
        <v>4478</v>
      </c>
      <c r="B4454" s="1">
        <v>45708</v>
      </c>
      <c r="C4454" t="s">
        <v>25</v>
      </c>
      <c r="D4454" t="s">
        <v>25</v>
      </c>
      <c r="E4454" s="2">
        <v>22.19</v>
      </c>
      <c r="F4454" s="3">
        <v>54.21</v>
      </c>
      <c r="G4454" s="4">
        <v>422.33</v>
      </c>
      <c r="H4454">
        <v>1</v>
      </c>
      <c r="I4454" s="4">
        <v>422.33</v>
      </c>
      <c r="J4454">
        <v>3.4</v>
      </c>
      <c r="K4454" t="s">
        <v>15</v>
      </c>
      <c r="L4454" t="s">
        <v>16</v>
      </c>
      <c r="O4454"/>
    </row>
    <row r="4455" spans="1:15" x14ac:dyDescent="0.3">
      <c r="A4455" t="s">
        <v>4479</v>
      </c>
      <c r="B4455" s="1">
        <v>45968</v>
      </c>
      <c r="C4455" t="s">
        <v>22</v>
      </c>
      <c r="D4455" t="s">
        <v>14</v>
      </c>
      <c r="E4455" s="2">
        <v>5.23</v>
      </c>
      <c r="F4455" s="3">
        <v>13.16</v>
      </c>
      <c r="G4455" s="4">
        <v>82.95</v>
      </c>
      <c r="H4455">
        <v>1</v>
      </c>
      <c r="I4455" s="4">
        <v>82.95</v>
      </c>
      <c r="J4455">
        <v>3.3</v>
      </c>
      <c r="K4455" t="s">
        <v>36</v>
      </c>
      <c r="L4455" t="s">
        <v>16</v>
      </c>
      <c r="O4455"/>
    </row>
    <row r="4456" spans="1:15" x14ac:dyDescent="0.3">
      <c r="A4456" t="s">
        <v>4480</v>
      </c>
      <c r="B4456" s="1">
        <v>45671</v>
      </c>
      <c r="C4456" t="s">
        <v>14</v>
      </c>
      <c r="D4456" t="s">
        <v>22</v>
      </c>
      <c r="E4456" s="2">
        <v>4.4800000000000004</v>
      </c>
      <c r="F4456" s="3">
        <v>11.18</v>
      </c>
      <c r="G4456" s="4">
        <v>80.56</v>
      </c>
      <c r="H4456">
        <v>1</v>
      </c>
      <c r="I4456" s="4">
        <v>80.56</v>
      </c>
      <c r="J4456">
        <v>4.3</v>
      </c>
      <c r="K4456" t="s">
        <v>18</v>
      </c>
      <c r="L4456" t="s">
        <v>28</v>
      </c>
      <c r="O4456"/>
    </row>
    <row r="4457" spans="1:15" x14ac:dyDescent="0.3">
      <c r="A4457" t="s">
        <v>4481</v>
      </c>
      <c r="B4457" s="1">
        <v>45788</v>
      </c>
      <c r="C4457" t="s">
        <v>14</v>
      </c>
      <c r="D4457" t="s">
        <v>14</v>
      </c>
      <c r="E4457" s="2">
        <v>10.49</v>
      </c>
      <c r="F4457" s="3">
        <v>40.32</v>
      </c>
      <c r="G4457" s="4">
        <v>124.83</v>
      </c>
      <c r="H4457">
        <v>1.5</v>
      </c>
      <c r="I4457" s="4">
        <v>187.24</v>
      </c>
      <c r="J4457">
        <v>3.4</v>
      </c>
      <c r="K4457" t="s">
        <v>30</v>
      </c>
      <c r="L4457" t="s">
        <v>19</v>
      </c>
      <c r="O4457"/>
    </row>
    <row r="4458" spans="1:15" x14ac:dyDescent="0.3">
      <c r="A4458" t="s">
        <v>4482</v>
      </c>
      <c r="B4458" s="1">
        <v>45690</v>
      </c>
      <c r="C4458" t="s">
        <v>14</v>
      </c>
      <c r="D4458" t="s">
        <v>14</v>
      </c>
      <c r="E4458" s="2">
        <v>2.4700000000000002</v>
      </c>
      <c r="F4458" s="3">
        <v>8.9</v>
      </c>
      <c r="G4458" s="4">
        <v>35.56</v>
      </c>
      <c r="H4458">
        <v>1</v>
      </c>
      <c r="I4458" s="4">
        <v>35.56</v>
      </c>
      <c r="J4458">
        <v>3.2</v>
      </c>
      <c r="K4458" t="s">
        <v>33</v>
      </c>
      <c r="L4458" t="s">
        <v>19</v>
      </c>
      <c r="O4458"/>
    </row>
    <row r="4459" spans="1:15" x14ac:dyDescent="0.3">
      <c r="A4459" t="s">
        <v>4483</v>
      </c>
      <c r="B4459" s="1">
        <v>45895</v>
      </c>
      <c r="C4459" t="s">
        <v>13</v>
      </c>
      <c r="D4459" t="s">
        <v>14</v>
      </c>
      <c r="E4459" s="2">
        <v>19.63</v>
      </c>
      <c r="F4459" s="3">
        <v>62.58</v>
      </c>
      <c r="G4459" s="4">
        <v>344.64</v>
      </c>
      <c r="H4459">
        <v>1.2</v>
      </c>
      <c r="I4459" s="4">
        <v>413.57</v>
      </c>
      <c r="J4459">
        <v>4.5999999999999996</v>
      </c>
      <c r="K4459" t="s">
        <v>18</v>
      </c>
      <c r="L4459" t="s">
        <v>26</v>
      </c>
      <c r="O4459"/>
    </row>
    <row r="4460" spans="1:15" x14ac:dyDescent="0.3">
      <c r="A4460" t="s">
        <v>4484</v>
      </c>
      <c r="B4460" s="1">
        <v>45883</v>
      </c>
      <c r="C4460" t="s">
        <v>21</v>
      </c>
      <c r="D4460" t="s">
        <v>13</v>
      </c>
      <c r="E4460" s="2">
        <v>26.18</v>
      </c>
      <c r="F4460" s="3">
        <v>82.31</v>
      </c>
      <c r="G4460" s="4">
        <v>371.83</v>
      </c>
      <c r="H4460">
        <v>2</v>
      </c>
      <c r="I4460" s="4">
        <v>743.66</v>
      </c>
      <c r="J4460">
        <v>4.3</v>
      </c>
      <c r="K4460" t="s">
        <v>36</v>
      </c>
      <c r="L4460" t="s">
        <v>26</v>
      </c>
      <c r="O4460"/>
    </row>
    <row r="4461" spans="1:15" x14ac:dyDescent="0.3">
      <c r="A4461" t="s">
        <v>4485</v>
      </c>
      <c r="B4461" s="1">
        <v>45946</v>
      </c>
      <c r="C4461" t="s">
        <v>21</v>
      </c>
      <c r="D4461" t="s">
        <v>13</v>
      </c>
      <c r="E4461" s="2">
        <v>15.62</v>
      </c>
      <c r="F4461" s="3">
        <v>61.46</v>
      </c>
      <c r="G4461" s="4">
        <v>259.54000000000002</v>
      </c>
      <c r="H4461">
        <v>1.2</v>
      </c>
      <c r="I4461" s="4">
        <v>311.45</v>
      </c>
      <c r="J4461">
        <v>3.2</v>
      </c>
      <c r="K4461" t="s">
        <v>30</v>
      </c>
      <c r="L4461" t="s">
        <v>28</v>
      </c>
      <c r="O4461"/>
    </row>
    <row r="4462" spans="1:15" x14ac:dyDescent="0.3">
      <c r="A4462" t="s">
        <v>4486</v>
      </c>
      <c r="B4462" s="1">
        <v>45788</v>
      </c>
      <c r="C4462" t="s">
        <v>14</v>
      </c>
      <c r="D4462" t="s">
        <v>13</v>
      </c>
      <c r="E4462" s="2">
        <v>15.01</v>
      </c>
      <c r="F4462" s="3">
        <v>57.3</v>
      </c>
      <c r="G4462" s="4">
        <v>198.52</v>
      </c>
      <c r="H4462">
        <v>1.2</v>
      </c>
      <c r="I4462" s="4">
        <v>238.22</v>
      </c>
      <c r="J4462">
        <v>3.3</v>
      </c>
      <c r="K4462" t="s">
        <v>33</v>
      </c>
      <c r="L4462" t="s">
        <v>28</v>
      </c>
      <c r="O4462"/>
    </row>
    <row r="4463" spans="1:15" x14ac:dyDescent="0.3">
      <c r="A4463" t="s">
        <v>4487</v>
      </c>
      <c r="B4463" s="1">
        <v>45952</v>
      </c>
      <c r="C4463" t="s">
        <v>13</v>
      </c>
      <c r="D4463" t="s">
        <v>14</v>
      </c>
      <c r="E4463" s="2">
        <v>18.559999999999999</v>
      </c>
      <c r="F4463" s="3">
        <v>55.74</v>
      </c>
      <c r="G4463" s="4">
        <v>241</v>
      </c>
      <c r="H4463">
        <v>1</v>
      </c>
      <c r="I4463" s="4">
        <v>241</v>
      </c>
      <c r="J4463">
        <v>3.5</v>
      </c>
      <c r="K4463" t="s">
        <v>15</v>
      </c>
      <c r="L4463" t="s">
        <v>16</v>
      </c>
      <c r="O4463"/>
    </row>
    <row r="4464" spans="1:15" x14ac:dyDescent="0.3">
      <c r="A4464" t="s">
        <v>4488</v>
      </c>
      <c r="B4464" s="1">
        <v>45975</v>
      </c>
      <c r="C4464" t="s">
        <v>25</v>
      </c>
      <c r="D4464" t="s">
        <v>13</v>
      </c>
      <c r="E4464" s="2">
        <v>9.4600000000000009</v>
      </c>
      <c r="F4464" s="3">
        <v>21.87</v>
      </c>
      <c r="G4464" s="4">
        <v>108.7</v>
      </c>
      <c r="H4464">
        <v>1</v>
      </c>
      <c r="I4464" s="4">
        <v>108.7</v>
      </c>
      <c r="J4464">
        <v>3.2</v>
      </c>
      <c r="K4464" t="s">
        <v>15</v>
      </c>
      <c r="L4464" t="s">
        <v>26</v>
      </c>
      <c r="O4464"/>
    </row>
    <row r="4465" spans="1:15" x14ac:dyDescent="0.3">
      <c r="A4465" t="s">
        <v>4489</v>
      </c>
      <c r="B4465" s="1">
        <v>45717</v>
      </c>
      <c r="C4465" t="s">
        <v>25</v>
      </c>
      <c r="D4465" t="s">
        <v>14</v>
      </c>
      <c r="E4465" s="2">
        <v>14.73</v>
      </c>
      <c r="F4465" s="3">
        <v>43.07</v>
      </c>
      <c r="G4465" s="4">
        <v>277.52999999999997</v>
      </c>
      <c r="H4465">
        <v>1.5</v>
      </c>
      <c r="I4465" s="4">
        <v>416.29</v>
      </c>
      <c r="J4465">
        <v>3.5</v>
      </c>
      <c r="K4465" t="s">
        <v>15</v>
      </c>
      <c r="L4465" t="s">
        <v>16</v>
      </c>
      <c r="O4465"/>
    </row>
    <row r="4466" spans="1:15" x14ac:dyDescent="0.3">
      <c r="A4466" t="s">
        <v>4490</v>
      </c>
      <c r="B4466" s="1">
        <v>45978</v>
      </c>
      <c r="C4466" t="s">
        <v>22</v>
      </c>
      <c r="D4466" t="s">
        <v>22</v>
      </c>
      <c r="E4466" s="2">
        <v>22.56</v>
      </c>
      <c r="F4466" s="3">
        <v>72.010000000000005</v>
      </c>
      <c r="G4466" s="4">
        <v>440.84</v>
      </c>
      <c r="H4466">
        <v>1</v>
      </c>
      <c r="I4466" s="4">
        <v>440.84</v>
      </c>
      <c r="J4466">
        <v>3.1</v>
      </c>
      <c r="K4466" t="s">
        <v>33</v>
      </c>
      <c r="L4466" t="s">
        <v>26</v>
      </c>
      <c r="O4466"/>
    </row>
    <row r="4467" spans="1:15" x14ac:dyDescent="0.3">
      <c r="A4467" t="s">
        <v>4491</v>
      </c>
      <c r="B4467" s="1">
        <v>45667</v>
      </c>
      <c r="C4467" t="s">
        <v>25</v>
      </c>
      <c r="D4467" t="s">
        <v>25</v>
      </c>
      <c r="E4467" s="2">
        <v>17.260000000000002</v>
      </c>
      <c r="F4467" s="3">
        <v>53.27</v>
      </c>
      <c r="G4467" s="4">
        <v>343.38</v>
      </c>
      <c r="H4467">
        <v>1.5</v>
      </c>
      <c r="I4467" s="4">
        <v>515.07000000000005</v>
      </c>
      <c r="J4467">
        <v>4.5</v>
      </c>
      <c r="K4467" t="s">
        <v>15</v>
      </c>
      <c r="L4467" t="s">
        <v>26</v>
      </c>
      <c r="O4467"/>
    </row>
    <row r="4468" spans="1:15" x14ac:dyDescent="0.3">
      <c r="A4468" t="s">
        <v>4492</v>
      </c>
      <c r="B4468" s="1">
        <v>45714</v>
      </c>
      <c r="C4468" t="s">
        <v>21</v>
      </c>
      <c r="D4468" t="s">
        <v>21</v>
      </c>
      <c r="E4468" s="2">
        <v>18.739999999999998</v>
      </c>
      <c r="F4468" s="3">
        <v>45.86</v>
      </c>
      <c r="G4468" s="4">
        <v>307.18</v>
      </c>
      <c r="H4468">
        <v>1.5</v>
      </c>
      <c r="I4468" s="4">
        <v>460.77</v>
      </c>
      <c r="J4468">
        <v>4.9000000000000004</v>
      </c>
      <c r="K4468" t="s">
        <v>30</v>
      </c>
      <c r="L4468" t="s">
        <v>26</v>
      </c>
      <c r="O4468"/>
    </row>
    <row r="4469" spans="1:15" x14ac:dyDescent="0.3">
      <c r="A4469" t="s">
        <v>4493</v>
      </c>
      <c r="B4469" s="1">
        <v>45991</v>
      </c>
      <c r="C4469" t="s">
        <v>14</v>
      </c>
      <c r="D4469" t="s">
        <v>14</v>
      </c>
      <c r="E4469" s="2">
        <v>27.15</v>
      </c>
      <c r="F4469" s="3">
        <v>85.82</v>
      </c>
      <c r="G4469" s="4">
        <v>304.97000000000003</v>
      </c>
      <c r="H4469">
        <v>1.2</v>
      </c>
      <c r="I4469" s="4">
        <v>365.96</v>
      </c>
      <c r="J4469">
        <v>4.3</v>
      </c>
      <c r="K4469" t="s">
        <v>36</v>
      </c>
      <c r="L4469" t="s">
        <v>26</v>
      </c>
      <c r="O4469"/>
    </row>
    <row r="4470" spans="1:15" x14ac:dyDescent="0.3">
      <c r="A4470" t="s">
        <v>4494</v>
      </c>
      <c r="B4470" s="1">
        <v>46018</v>
      </c>
      <c r="C4470" t="s">
        <v>21</v>
      </c>
      <c r="D4470" t="s">
        <v>25</v>
      </c>
      <c r="E4470" s="2">
        <v>13.14</v>
      </c>
      <c r="F4470" s="3">
        <v>48.97</v>
      </c>
      <c r="G4470" s="4">
        <v>165.09</v>
      </c>
      <c r="H4470">
        <v>1</v>
      </c>
      <c r="I4470" s="4">
        <v>165.09</v>
      </c>
      <c r="J4470">
        <v>3.2</v>
      </c>
      <c r="K4470" t="s">
        <v>15</v>
      </c>
      <c r="L4470" t="s">
        <v>16</v>
      </c>
      <c r="O4470"/>
    </row>
    <row r="4471" spans="1:15" x14ac:dyDescent="0.3">
      <c r="A4471" t="s">
        <v>4495</v>
      </c>
      <c r="B4471" s="1">
        <v>45875</v>
      </c>
      <c r="C4471" t="s">
        <v>13</v>
      </c>
      <c r="D4471" t="s">
        <v>13</v>
      </c>
      <c r="E4471" s="2">
        <v>23.32</v>
      </c>
      <c r="F4471" s="3">
        <v>72.22</v>
      </c>
      <c r="G4471" s="4">
        <v>396.11</v>
      </c>
      <c r="H4471">
        <v>1.2</v>
      </c>
      <c r="I4471" s="4">
        <v>475.33</v>
      </c>
      <c r="J4471">
        <v>3.5</v>
      </c>
      <c r="K4471" t="s">
        <v>36</v>
      </c>
      <c r="L4471" t="s">
        <v>16</v>
      </c>
      <c r="O4471"/>
    </row>
    <row r="4472" spans="1:15" x14ac:dyDescent="0.3">
      <c r="A4472" t="s">
        <v>4496</v>
      </c>
      <c r="B4472" s="1">
        <v>45955</v>
      </c>
      <c r="C4472" t="s">
        <v>13</v>
      </c>
      <c r="D4472" t="s">
        <v>22</v>
      </c>
      <c r="E4472" s="2">
        <v>10.6</v>
      </c>
      <c r="F4472" s="3">
        <v>34.090000000000003</v>
      </c>
      <c r="G4472" s="4">
        <v>129.91999999999999</v>
      </c>
      <c r="H4472">
        <v>1.5</v>
      </c>
      <c r="I4472" s="4">
        <v>194.88</v>
      </c>
      <c r="J4472">
        <v>4.9000000000000004</v>
      </c>
      <c r="K4472" t="s">
        <v>18</v>
      </c>
      <c r="L4472" t="s">
        <v>26</v>
      </c>
      <c r="O4472"/>
    </row>
    <row r="4473" spans="1:15" x14ac:dyDescent="0.3">
      <c r="A4473" t="s">
        <v>4497</v>
      </c>
      <c r="B4473" s="1">
        <v>45796</v>
      </c>
      <c r="C4473" t="s">
        <v>21</v>
      </c>
      <c r="D4473" t="s">
        <v>22</v>
      </c>
      <c r="E4473" s="2">
        <v>14.17</v>
      </c>
      <c r="F4473" s="3">
        <v>53.16</v>
      </c>
      <c r="G4473" s="4">
        <v>262.83</v>
      </c>
      <c r="H4473">
        <v>2</v>
      </c>
      <c r="I4473" s="4">
        <v>525.66</v>
      </c>
      <c r="J4473">
        <v>4</v>
      </c>
      <c r="K4473" t="s">
        <v>15</v>
      </c>
      <c r="L4473" t="s">
        <v>19</v>
      </c>
      <c r="O4473"/>
    </row>
    <row r="4474" spans="1:15" x14ac:dyDescent="0.3">
      <c r="A4474" t="s">
        <v>4498</v>
      </c>
      <c r="B4474" s="1">
        <v>45770</v>
      </c>
      <c r="C4474" t="s">
        <v>13</v>
      </c>
      <c r="D4474" t="s">
        <v>14</v>
      </c>
      <c r="E4474" s="2">
        <v>9.84</v>
      </c>
      <c r="F4474" s="3">
        <v>29.15</v>
      </c>
      <c r="G4474" s="4">
        <v>168.31</v>
      </c>
      <c r="H4474">
        <v>1.5</v>
      </c>
      <c r="I4474" s="4">
        <v>252.46</v>
      </c>
      <c r="J4474">
        <v>3.3</v>
      </c>
      <c r="K4474" t="s">
        <v>18</v>
      </c>
      <c r="L4474" t="s">
        <v>19</v>
      </c>
      <c r="O4474"/>
    </row>
    <row r="4475" spans="1:15" x14ac:dyDescent="0.3">
      <c r="A4475" t="s">
        <v>4499</v>
      </c>
      <c r="B4475" s="1">
        <v>46017</v>
      </c>
      <c r="C4475" t="s">
        <v>25</v>
      </c>
      <c r="D4475" t="s">
        <v>14</v>
      </c>
      <c r="E4475" s="2">
        <v>16.89</v>
      </c>
      <c r="F4475" s="3">
        <v>37.020000000000003</v>
      </c>
      <c r="G4475" s="4">
        <v>263.02999999999997</v>
      </c>
      <c r="H4475">
        <v>1.2</v>
      </c>
      <c r="I4475" s="4">
        <v>315.64</v>
      </c>
      <c r="J4475">
        <v>4.0999999999999996</v>
      </c>
      <c r="K4475" t="s">
        <v>36</v>
      </c>
      <c r="L4475" t="s">
        <v>16</v>
      </c>
      <c r="O4475"/>
    </row>
    <row r="4476" spans="1:15" x14ac:dyDescent="0.3">
      <c r="A4476" t="s">
        <v>4500</v>
      </c>
      <c r="B4476" s="1">
        <v>45821</v>
      </c>
      <c r="C4476" t="s">
        <v>14</v>
      </c>
      <c r="D4476" t="s">
        <v>21</v>
      </c>
      <c r="E4476" s="2">
        <v>15.21</v>
      </c>
      <c r="F4476" s="3">
        <v>46.95</v>
      </c>
      <c r="G4476" s="4">
        <v>194.68</v>
      </c>
      <c r="H4476">
        <v>2</v>
      </c>
      <c r="I4476" s="4">
        <v>389.36</v>
      </c>
      <c r="J4476">
        <v>3.3</v>
      </c>
      <c r="K4476" t="s">
        <v>15</v>
      </c>
      <c r="L4476" t="s">
        <v>26</v>
      </c>
      <c r="O4476"/>
    </row>
    <row r="4477" spans="1:15" x14ac:dyDescent="0.3">
      <c r="A4477" t="s">
        <v>4501</v>
      </c>
      <c r="B4477" s="1">
        <v>45786</v>
      </c>
      <c r="C4477" t="s">
        <v>22</v>
      </c>
      <c r="D4477" t="s">
        <v>25</v>
      </c>
      <c r="E4477" s="2">
        <v>24.71</v>
      </c>
      <c r="F4477" s="3">
        <v>82.04</v>
      </c>
      <c r="G4477" s="4">
        <v>403.02</v>
      </c>
      <c r="H4477">
        <v>2</v>
      </c>
      <c r="I4477" s="4">
        <v>806.04</v>
      </c>
      <c r="J4477">
        <v>4.0999999999999996</v>
      </c>
      <c r="K4477" t="s">
        <v>33</v>
      </c>
      <c r="L4477" t="s">
        <v>19</v>
      </c>
      <c r="O4477"/>
    </row>
    <row r="4478" spans="1:15" x14ac:dyDescent="0.3">
      <c r="A4478" t="s">
        <v>4502</v>
      </c>
      <c r="B4478" s="1">
        <v>45883</v>
      </c>
      <c r="C4478" t="s">
        <v>21</v>
      </c>
      <c r="D4478" t="s">
        <v>21</v>
      </c>
      <c r="E4478" s="2">
        <v>4.72</v>
      </c>
      <c r="F4478" s="3">
        <v>10.38</v>
      </c>
      <c r="G4478" s="4">
        <v>85.76</v>
      </c>
      <c r="H4478">
        <v>1</v>
      </c>
      <c r="I4478" s="4">
        <v>85.76</v>
      </c>
      <c r="J4478">
        <v>4.9000000000000004</v>
      </c>
      <c r="K4478" t="s">
        <v>15</v>
      </c>
      <c r="L4478" t="s">
        <v>26</v>
      </c>
      <c r="O4478"/>
    </row>
    <row r="4479" spans="1:15" x14ac:dyDescent="0.3">
      <c r="A4479" t="s">
        <v>4503</v>
      </c>
      <c r="B4479" s="1">
        <v>45848</v>
      </c>
      <c r="C4479" t="s">
        <v>13</v>
      </c>
      <c r="D4479" t="s">
        <v>14</v>
      </c>
      <c r="E4479" s="2">
        <v>4.18</v>
      </c>
      <c r="F4479" s="3">
        <v>12.67</v>
      </c>
      <c r="G4479" s="4">
        <v>58.3</v>
      </c>
      <c r="H4479">
        <v>1.2</v>
      </c>
      <c r="I4479" s="4">
        <v>69.959999999999994</v>
      </c>
      <c r="J4479">
        <v>3.1</v>
      </c>
      <c r="K4479" t="s">
        <v>30</v>
      </c>
      <c r="L4479" t="s">
        <v>19</v>
      </c>
      <c r="O4479"/>
    </row>
    <row r="4480" spans="1:15" x14ac:dyDescent="0.3">
      <c r="A4480" t="s">
        <v>4504</v>
      </c>
      <c r="B4480" s="1">
        <v>45937</v>
      </c>
      <c r="C4480" t="s">
        <v>25</v>
      </c>
      <c r="D4480" t="s">
        <v>14</v>
      </c>
      <c r="E4480" s="2">
        <v>27.12</v>
      </c>
      <c r="F4480" s="3">
        <v>96.55</v>
      </c>
      <c r="G4480" s="4">
        <v>484.45</v>
      </c>
      <c r="H4480">
        <v>1.5</v>
      </c>
      <c r="I4480" s="4">
        <v>726.68</v>
      </c>
      <c r="J4480">
        <v>3.4</v>
      </c>
      <c r="K4480" t="s">
        <v>36</v>
      </c>
      <c r="L4480" t="s">
        <v>26</v>
      </c>
      <c r="O4480"/>
    </row>
    <row r="4481" spans="1:15" x14ac:dyDescent="0.3">
      <c r="A4481" t="s">
        <v>4505</v>
      </c>
      <c r="B4481" s="1">
        <v>45877</v>
      </c>
      <c r="C4481" t="s">
        <v>13</v>
      </c>
      <c r="D4481" t="s">
        <v>21</v>
      </c>
      <c r="E4481" s="2">
        <v>7.76</v>
      </c>
      <c r="F4481" s="3">
        <v>20.420000000000002</v>
      </c>
      <c r="G4481" s="4">
        <v>122.57</v>
      </c>
      <c r="H4481">
        <v>1.2</v>
      </c>
      <c r="I4481" s="4">
        <v>147.08000000000001</v>
      </c>
      <c r="J4481">
        <v>4.3</v>
      </c>
      <c r="K4481" t="s">
        <v>36</v>
      </c>
      <c r="L4481" t="s">
        <v>16</v>
      </c>
      <c r="O4481"/>
    </row>
    <row r="4482" spans="1:15" x14ac:dyDescent="0.3">
      <c r="A4482" t="s">
        <v>4506</v>
      </c>
      <c r="B4482" s="1">
        <v>45691</v>
      </c>
      <c r="C4482" t="s">
        <v>25</v>
      </c>
      <c r="D4482" t="s">
        <v>13</v>
      </c>
      <c r="E4482" s="2">
        <v>8.7899999999999991</v>
      </c>
      <c r="F4482" s="3">
        <v>18.72</v>
      </c>
      <c r="G4482" s="4">
        <v>103.93</v>
      </c>
      <c r="H4482">
        <v>2</v>
      </c>
      <c r="I4482" s="4">
        <v>207.86</v>
      </c>
      <c r="J4482">
        <v>3</v>
      </c>
      <c r="K4482" t="s">
        <v>33</v>
      </c>
      <c r="L4482" t="s">
        <v>19</v>
      </c>
      <c r="O4482"/>
    </row>
    <row r="4483" spans="1:15" x14ac:dyDescent="0.3">
      <c r="A4483" t="s">
        <v>4507</v>
      </c>
      <c r="B4483" s="1">
        <v>45693</v>
      </c>
      <c r="C4483" t="s">
        <v>25</v>
      </c>
      <c r="D4483" t="s">
        <v>14</v>
      </c>
      <c r="E4483" s="2">
        <v>6.91</v>
      </c>
      <c r="F4483" s="3">
        <v>15.85</v>
      </c>
      <c r="G4483" s="4">
        <v>114.43</v>
      </c>
      <c r="H4483">
        <v>1.5</v>
      </c>
      <c r="I4483" s="4">
        <v>171.64</v>
      </c>
      <c r="J4483">
        <v>3</v>
      </c>
      <c r="K4483" t="s">
        <v>15</v>
      </c>
      <c r="L4483" t="s">
        <v>26</v>
      </c>
      <c r="O4483"/>
    </row>
    <row r="4484" spans="1:15" x14ac:dyDescent="0.3">
      <c r="A4484" t="s">
        <v>4508</v>
      </c>
      <c r="B4484" s="1">
        <v>45882</v>
      </c>
      <c r="C4484" t="s">
        <v>14</v>
      </c>
      <c r="D4484" t="s">
        <v>25</v>
      </c>
      <c r="E4484" s="2">
        <v>6.31</v>
      </c>
      <c r="F4484" s="3">
        <v>23.32</v>
      </c>
      <c r="G4484" s="4">
        <v>99.57</v>
      </c>
      <c r="H4484">
        <v>1</v>
      </c>
      <c r="I4484" s="4">
        <v>99.57</v>
      </c>
      <c r="J4484">
        <v>3.5</v>
      </c>
      <c r="K4484" t="s">
        <v>30</v>
      </c>
      <c r="L4484" t="s">
        <v>26</v>
      </c>
      <c r="O4484"/>
    </row>
    <row r="4485" spans="1:15" x14ac:dyDescent="0.3">
      <c r="A4485" t="s">
        <v>4509</v>
      </c>
      <c r="B4485" s="1">
        <v>45676</v>
      </c>
      <c r="C4485" t="s">
        <v>25</v>
      </c>
      <c r="D4485" t="s">
        <v>21</v>
      </c>
      <c r="E4485" s="2">
        <v>12.32</v>
      </c>
      <c r="F4485" s="3">
        <v>35.979999999999997</v>
      </c>
      <c r="G4485" s="4">
        <v>133.36000000000001</v>
      </c>
      <c r="H4485">
        <v>1.5</v>
      </c>
      <c r="I4485" s="4">
        <v>200.04</v>
      </c>
      <c r="J4485">
        <v>5</v>
      </c>
      <c r="K4485" t="s">
        <v>36</v>
      </c>
      <c r="L4485" t="s">
        <v>26</v>
      </c>
      <c r="O4485"/>
    </row>
    <row r="4486" spans="1:15" x14ac:dyDescent="0.3">
      <c r="A4486" t="s">
        <v>4510</v>
      </c>
      <c r="B4486" s="1">
        <v>45691</v>
      </c>
      <c r="C4486" t="s">
        <v>25</v>
      </c>
      <c r="D4486" t="s">
        <v>13</v>
      </c>
      <c r="E4486" s="2">
        <v>15.02</v>
      </c>
      <c r="F4486" s="3">
        <v>41.54</v>
      </c>
      <c r="G4486" s="4">
        <v>227.15</v>
      </c>
      <c r="H4486">
        <v>1</v>
      </c>
      <c r="I4486" s="4">
        <v>227.15</v>
      </c>
      <c r="J4486">
        <v>3.2</v>
      </c>
      <c r="K4486" t="s">
        <v>15</v>
      </c>
      <c r="L4486" t="s">
        <v>28</v>
      </c>
      <c r="O4486"/>
    </row>
    <row r="4487" spans="1:15" x14ac:dyDescent="0.3">
      <c r="A4487" t="s">
        <v>4511</v>
      </c>
      <c r="B4487" s="1">
        <v>46004</v>
      </c>
      <c r="C4487" t="s">
        <v>22</v>
      </c>
      <c r="D4487" t="s">
        <v>14</v>
      </c>
      <c r="E4487" s="2">
        <v>1.59</v>
      </c>
      <c r="F4487" s="3">
        <v>4.43</v>
      </c>
      <c r="G4487" s="4">
        <v>28.9</v>
      </c>
      <c r="H4487">
        <v>2</v>
      </c>
      <c r="I4487" s="4">
        <v>57.8</v>
      </c>
      <c r="J4487">
        <v>4.0999999999999996</v>
      </c>
      <c r="K4487" t="s">
        <v>30</v>
      </c>
      <c r="L4487" t="s">
        <v>28</v>
      </c>
      <c r="O4487"/>
    </row>
    <row r="4488" spans="1:15" x14ac:dyDescent="0.3">
      <c r="A4488" t="s">
        <v>4512</v>
      </c>
      <c r="B4488" s="1">
        <v>45973</v>
      </c>
      <c r="C4488" t="s">
        <v>25</v>
      </c>
      <c r="D4488" t="s">
        <v>25</v>
      </c>
      <c r="E4488" s="2">
        <v>29.78</v>
      </c>
      <c r="F4488" s="3">
        <v>98.08</v>
      </c>
      <c r="G4488" s="4">
        <v>330.91</v>
      </c>
      <c r="H4488">
        <v>2</v>
      </c>
      <c r="I4488" s="4">
        <v>661.82</v>
      </c>
      <c r="J4488">
        <v>3.2</v>
      </c>
      <c r="K4488" t="s">
        <v>15</v>
      </c>
      <c r="L4488" t="s">
        <v>16</v>
      </c>
      <c r="O4488"/>
    </row>
    <row r="4489" spans="1:15" x14ac:dyDescent="0.3">
      <c r="A4489" t="s">
        <v>4513</v>
      </c>
      <c r="B4489" s="1">
        <v>45737</v>
      </c>
      <c r="C4489" t="s">
        <v>14</v>
      </c>
      <c r="D4489" t="s">
        <v>22</v>
      </c>
      <c r="E4489" s="2">
        <v>13.15</v>
      </c>
      <c r="F4489" s="3">
        <v>51.24</v>
      </c>
      <c r="G4489" s="4">
        <v>258.87</v>
      </c>
      <c r="H4489">
        <v>1.5</v>
      </c>
      <c r="I4489" s="4">
        <v>388.3</v>
      </c>
      <c r="J4489">
        <v>4.5</v>
      </c>
      <c r="K4489" t="s">
        <v>30</v>
      </c>
      <c r="L4489" t="s">
        <v>19</v>
      </c>
      <c r="O4489"/>
    </row>
    <row r="4490" spans="1:15" x14ac:dyDescent="0.3">
      <c r="A4490" t="s">
        <v>4514</v>
      </c>
      <c r="B4490" s="1">
        <v>45731</v>
      </c>
      <c r="C4490" t="s">
        <v>14</v>
      </c>
      <c r="D4490" t="s">
        <v>25</v>
      </c>
      <c r="E4490" s="2">
        <v>23.9</v>
      </c>
      <c r="F4490" s="3">
        <v>79.069999999999993</v>
      </c>
      <c r="G4490" s="4">
        <v>281.95</v>
      </c>
      <c r="H4490">
        <v>1.5</v>
      </c>
      <c r="I4490" s="4">
        <v>422.92</v>
      </c>
      <c r="J4490">
        <v>3.8</v>
      </c>
      <c r="K4490" t="s">
        <v>36</v>
      </c>
      <c r="L4490" t="s">
        <v>19</v>
      </c>
      <c r="O4490"/>
    </row>
    <row r="4491" spans="1:15" x14ac:dyDescent="0.3">
      <c r="A4491" t="s">
        <v>4515</v>
      </c>
      <c r="B4491" s="1">
        <v>45761</v>
      </c>
      <c r="C4491" t="s">
        <v>13</v>
      </c>
      <c r="D4491" t="s">
        <v>13</v>
      </c>
      <c r="E4491" s="2">
        <v>26.02</v>
      </c>
      <c r="F4491" s="3">
        <v>60.09</v>
      </c>
      <c r="G4491" s="4">
        <v>387.19</v>
      </c>
      <c r="H4491">
        <v>1</v>
      </c>
      <c r="I4491" s="4">
        <v>387.19</v>
      </c>
      <c r="J4491">
        <v>4.5999999999999996</v>
      </c>
      <c r="K4491" t="s">
        <v>30</v>
      </c>
      <c r="L4491" t="s">
        <v>26</v>
      </c>
      <c r="O4491"/>
    </row>
    <row r="4492" spans="1:15" x14ac:dyDescent="0.3">
      <c r="A4492" t="s">
        <v>4516</v>
      </c>
      <c r="B4492" s="1">
        <v>45831</v>
      </c>
      <c r="C4492" t="s">
        <v>14</v>
      </c>
      <c r="D4492" t="s">
        <v>25</v>
      </c>
      <c r="E4492" s="2">
        <v>1.06</v>
      </c>
      <c r="F4492" s="3">
        <v>3.69</v>
      </c>
      <c r="G4492" s="4">
        <v>17.16</v>
      </c>
      <c r="H4492">
        <v>2</v>
      </c>
      <c r="I4492" s="4">
        <v>34.32</v>
      </c>
      <c r="J4492">
        <v>3.6</v>
      </c>
      <c r="K4492" t="s">
        <v>15</v>
      </c>
      <c r="L4492" t="s">
        <v>28</v>
      </c>
      <c r="O4492"/>
    </row>
    <row r="4493" spans="1:15" x14ac:dyDescent="0.3">
      <c r="A4493" t="s">
        <v>4517</v>
      </c>
      <c r="B4493" s="1">
        <v>45908</v>
      </c>
      <c r="C4493" t="s">
        <v>14</v>
      </c>
      <c r="D4493" t="s">
        <v>13</v>
      </c>
      <c r="E4493" s="2">
        <v>20.07</v>
      </c>
      <c r="F4493" s="3">
        <v>79.19</v>
      </c>
      <c r="G4493" s="4">
        <v>350</v>
      </c>
      <c r="H4493">
        <v>2</v>
      </c>
      <c r="I4493" s="4">
        <v>700</v>
      </c>
      <c r="J4493">
        <v>4.8</v>
      </c>
      <c r="K4493" t="s">
        <v>18</v>
      </c>
      <c r="L4493" t="s">
        <v>26</v>
      </c>
      <c r="O4493"/>
    </row>
    <row r="4494" spans="1:15" x14ac:dyDescent="0.3">
      <c r="A4494" t="s">
        <v>4518</v>
      </c>
      <c r="B4494" s="1">
        <v>45835</v>
      </c>
      <c r="C4494" t="s">
        <v>21</v>
      </c>
      <c r="D4494" t="s">
        <v>22</v>
      </c>
      <c r="E4494" s="2">
        <v>24.82</v>
      </c>
      <c r="F4494" s="3">
        <v>66.260000000000005</v>
      </c>
      <c r="G4494" s="4">
        <v>423.41</v>
      </c>
      <c r="H4494">
        <v>1</v>
      </c>
      <c r="I4494" s="4">
        <v>423.41</v>
      </c>
      <c r="J4494">
        <v>4</v>
      </c>
      <c r="K4494" t="s">
        <v>33</v>
      </c>
      <c r="L4494" t="s">
        <v>16</v>
      </c>
      <c r="O4494"/>
    </row>
    <row r="4495" spans="1:15" x14ac:dyDescent="0.3">
      <c r="A4495" t="s">
        <v>4519</v>
      </c>
      <c r="B4495" s="1">
        <v>45716</v>
      </c>
      <c r="C4495" t="s">
        <v>22</v>
      </c>
      <c r="D4495" t="s">
        <v>21</v>
      </c>
      <c r="E4495" s="2">
        <v>13.05</v>
      </c>
      <c r="F4495" s="3">
        <v>27.98</v>
      </c>
      <c r="G4495" s="4">
        <v>185.68</v>
      </c>
      <c r="H4495">
        <v>1</v>
      </c>
      <c r="I4495" s="4">
        <v>185.68</v>
      </c>
      <c r="J4495">
        <v>3.4</v>
      </c>
      <c r="K4495" t="s">
        <v>36</v>
      </c>
      <c r="L4495" t="s">
        <v>16</v>
      </c>
      <c r="O4495"/>
    </row>
    <row r="4496" spans="1:15" x14ac:dyDescent="0.3">
      <c r="A4496" t="s">
        <v>4520</v>
      </c>
      <c r="B4496" s="1">
        <v>45760</v>
      </c>
      <c r="C4496" t="s">
        <v>21</v>
      </c>
      <c r="D4496" t="s">
        <v>21</v>
      </c>
      <c r="E4496" s="2">
        <v>26.88</v>
      </c>
      <c r="F4496" s="3">
        <v>56.53</v>
      </c>
      <c r="G4496" s="4">
        <v>410.5</v>
      </c>
      <c r="H4496">
        <v>1</v>
      </c>
      <c r="I4496" s="4">
        <v>410.5</v>
      </c>
      <c r="J4496">
        <v>4.4000000000000004</v>
      </c>
      <c r="K4496" t="s">
        <v>30</v>
      </c>
      <c r="L4496" t="s">
        <v>26</v>
      </c>
      <c r="O4496"/>
    </row>
    <row r="4497" spans="1:15" x14ac:dyDescent="0.3">
      <c r="A4497" t="s">
        <v>4521</v>
      </c>
      <c r="B4497" s="1">
        <v>45879</v>
      </c>
      <c r="C4497" t="s">
        <v>13</v>
      </c>
      <c r="D4497" t="s">
        <v>25</v>
      </c>
      <c r="E4497" s="2">
        <v>27.11</v>
      </c>
      <c r="F4497" s="3">
        <v>81.16</v>
      </c>
      <c r="G4497" s="4">
        <v>476.74</v>
      </c>
      <c r="H4497">
        <v>1.2</v>
      </c>
      <c r="I4497" s="4">
        <v>572.09</v>
      </c>
      <c r="J4497">
        <v>3.8</v>
      </c>
      <c r="K4497" t="s">
        <v>33</v>
      </c>
      <c r="L4497" t="s">
        <v>26</v>
      </c>
      <c r="O4497"/>
    </row>
    <row r="4498" spans="1:15" x14ac:dyDescent="0.3">
      <c r="A4498" t="s">
        <v>4522</v>
      </c>
      <c r="B4498" s="1">
        <v>45924</v>
      </c>
      <c r="C4498" t="s">
        <v>25</v>
      </c>
      <c r="D4498" t="s">
        <v>25</v>
      </c>
      <c r="E4498" s="2">
        <v>20.55</v>
      </c>
      <c r="F4498" s="3">
        <v>46.58</v>
      </c>
      <c r="G4498" s="4">
        <v>272.45999999999998</v>
      </c>
      <c r="H4498">
        <v>1.2</v>
      </c>
      <c r="I4498" s="4">
        <v>326.95</v>
      </c>
      <c r="J4498">
        <v>4.5</v>
      </c>
      <c r="K4498" t="s">
        <v>30</v>
      </c>
      <c r="L4498" t="s">
        <v>26</v>
      </c>
      <c r="O4498"/>
    </row>
    <row r="4499" spans="1:15" x14ac:dyDescent="0.3">
      <c r="A4499" t="s">
        <v>4523</v>
      </c>
      <c r="B4499" s="1">
        <v>45673</v>
      </c>
      <c r="C4499" t="s">
        <v>14</v>
      </c>
      <c r="D4499" t="s">
        <v>13</v>
      </c>
      <c r="E4499" s="2">
        <v>29.16</v>
      </c>
      <c r="F4499" s="3">
        <v>106.55</v>
      </c>
      <c r="G4499" s="4">
        <v>575.79999999999995</v>
      </c>
      <c r="H4499">
        <v>2</v>
      </c>
      <c r="I4499" s="4">
        <v>1151.5999999999999</v>
      </c>
      <c r="J4499">
        <v>3.8</v>
      </c>
      <c r="K4499" t="s">
        <v>36</v>
      </c>
      <c r="L4499" t="s">
        <v>26</v>
      </c>
      <c r="O4499"/>
    </row>
    <row r="4500" spans="1:15" x14ac:dyDescent="0.3">
      <c r="A4500" t="s">
        <v>4524</v>
      </c>
      <c r="B4500" s="1">
        <v>45696</v>
      </c>
      <c r="C4500" t="s">
        <v>25</v>
      </c>
      <c r="D4500" t="s">
        <v>13</v>
      </c>
      <c r="E4500" s="2">
        <v>17.739999999999998</v>
      </c>
      <c r="F4500" s="3">
        <v>53.87</v>
      </c>
      <c r="G4500" s="4">
        <v>249.47</v>
      </c>
      <c r="H4500">
        <v>2</v>
      </c>
      <c r="I4500" s="4">
        <v>498.94</v>
      </c>
      <c r="J4500">
        <v>3.2</v>
      </c>
      <c r="K4500" t="s">
        <v>18</v>
      </c>
      <c r="L4500" t="s">
        <v>19</v>
      </c>
      <c r="O4500"/>
    </row>
    <row r="4501" spans="1:15" x14ac:dyDescent="0.3">
      <c r="A4501" t="s">
        <v>4525</v>
      </c>
      <c r="B4501" s="1">
        <v>45954</v>
      </c>
      <c r="C4501" t="s">
        <v>21</v>
      </c>
      <c r="D4501" t="s">
        <v>21</v>
      </c>
      <c r="E4501" s="2">
        <v>28.49</v>
      </c>
      <c r="F4501" s="3">
        <v>57.2</v>
      </c>
      <c r="G4501" s="4">
        <v>563.20000000000005</v>
      </c>
      <c r="H4501">
        <v>2</v>
      </c>
      <c r="I4501" s="4">
        <v>1126.4000000000001</v>
      </c>
      <c r="J4501">
        <v>3.7</v>
      </c>
      <c r="K4501" t="s">
        <v>36</v>
      </c>
      <c r="L4501" t="s">
        <v>19</v>
      </c>
      <c r="O4501"/>
    </row>
    <row r="4502" spans="1:15" x14ac:dyDescent="0.3">
      <c r="A4502" t="s">
        <v>4526</v>
      </c>
      <c r="B4502" s="1">
        <v>45719</v>
      </c>
      <c r="C4502" t="s">
        <v>21</v>
      </c>
      <c r="D4502" t="s">
        <v>25</v>
      </c>
      <c r="E4502" s="2">
        <v>26.88</v>
      </c>
      <c r="F4502" s="3">
        <v>74.459999999999994</v>
      </c>
      <c r="G4502" s="4">
        <v>454.78</v>
      </c>
      <c r="H4502">
        <v>1.2</v>
      </c>
      <c r="I4502" s="4">
        <v>545.74</v>
      </c>
      <c r="J4502">
        <v>4.5999999999999996</v>
      </c>
      <c r="K4502" t="s">
        <v>30</v>
      </c>
      <c r="L4502" t="s">
        <v>19</v>
      </c>
      <c r="O4502"/>
    </row>
    <row r="4503" spans="1:15" x14ac:dyDescent="0.3">
      <c r="A4503" t="s">
        <v>4527</v>
      </c>
      <c r="B4503" s="1">
        <v>45781</v>
      </c>
      <c r="C4503" t="s">
        <v>25</v>
      </c>
      <c r="D4503" t="s">
        <v>21</v>
      </c>
      <c r="E4503" s="2">
        <v>27.73</v>
      </c>
      <c r="F4503" s="3">
        <v>57.01</v>
      </c>
      <c r="G4503" s="4">
        <v>351.49</v>
      </c>
      <c r="H4503">
        <v>1</v>
      </c>
      <c r="I4503" s="4">
        <v>351.49</v>
      </c>
      <c r="J4503">
        <v>3.1</v>
      </c>
      <c r="K4503" t="s">
        <v>15</v>
      </c>
      <c r="L4503" t="s">
        <v>19</v>
      </c>
      <c r="O4503"/>
    </row>
    <row r="4504" spans="1:15" x14ac:dyDescent="0.3">
      <c r="A4504" t="s">
        <v>4528</v>
      </c>
      <c r="B4504" s="1">
        <v>45841</v>
      </c>
      <c r="C4504" t="s">
        <v>13</v>
      </c>
      <c r="D4504" t="s">
        <v>13</v>
      </c>
      <c r="E4504" s="2">
        <v>20.71</v>
      </c>
      <c r="F4504" s="3">
        <v>43.81</v>
      </c>
      <c r="G4504" s="4">
        <v>221.66</v>
      </c>
      <c r="H4504">
        <v>1.2</v>
      </c>
      <c r="I4504" s="4">
        <v>265.99</v>
      </c>
      <c r="J4504">
        <v>3.9</v>
      </c>
      <c r="K4504" t="s">
        <v>33</v>
      </c>
      <c r="L4504" t="s">
        <v>28</v>
      </c>
      <c r="O4504"/>
    </row>
    <row r="4505" spans="1:15" x14ac:dyDescent="0.3">
      <c r="A4505" t="s">
        <v>4529</v>
      </c>
      <c r="B4505" s="1">
        <v>46021</v>
      </c>
      <c r="C4505" t="s">
        <v>14</v>
      </c>
      <c r="D4505" t="s">
        <v>25</v>
      </c>
      <c r="E4505" s="2">
        <v>14.43</v>
      </c>
      <c r="F4505" s="3">
        <v>56.12</v>
      </c>
      <c r="G4505" s="4">
        <v>190.51</v>
      </c>
      <c r="H4505">
        <v>1</v>
      </c>
      <c r="I4505" s="4">
        <v>190.51</v>
      </c>
      <c r="J4505">
        <v>4.7</v>
      </c>
      <c r="K4505" t="s">
        <v>15</v>
      </c>
      <c r="L4505" t="s">
        <v>19</v>
      </c>
      <c r="O4505"/>
    </row>
    <row r="4506" spans="1:15" x14ac:dyDescent="0.3">
      <c r="A4506" t="s">
        <v>4530</v>
      </c>
      <c r="B4506" s="1">
        <v>45993</v>
      </c>
      <c r="C4506" t="s">
        <v>22</v>
      </c>
      <c r="D4506" t="s">
        <v>13</v>
      </c>
      <c r="E4506" s="2">
        <v>8.01</v>
      </c>
      <c r="F4506" s="3">
        <v>24.25</v>
      </c>
      <c r="G4506" s="4">
        <v>122.9</v>
      </c>
      <c r="H4506">
        <v>1.2</v>
      </c>
      <c r="I4506" s="4">
        <v>147.47999999999999</v>
      </c>
      <c r="J4506">
        <v>3.1</v>
      </c>
      <c r="K4506" t="s">
        <v>36</v>
      </c>
      <c r="L4506" t="s">
        <v>16</v>
      </c>
      <c r="O4506"/>
    </row>
    <row r="4507" spans="1:15" x14ac:dyDescent="0.3">
      <c r="A4507" t="s">
        <v>4531</v>
      </c>
      <c r="B4507" s="1">
        <v>45893</v>
      </c>
      <c r="C4507" t="s">
        <v>13</v>
      </c>
      <c r="D4507" t="s">
        <v>25</v>
      </c>
      <c r="E4507" s="2">
        <v>24.14</v>
      </c>
      <c r="F4507" s="3">
        <v>95.16</v>
      </c>
      <c r="G4507" s="4">
        <v>444.26</v>
      </c>
      <c r="H4507">
        <v>1.5</v>
      </c>
      <c r="I4507" s="4">
        <v>666.39</v>
      </c>
      <c r="J4507">
        <v>3.6</v>
      </c>
      <c r="K4507" t="s">
        <v>30</v>
      </c>
      <c r="L4507" t="s">
        <v>28</v>
      </c>
      <c r="O4507"/>
    </row>
    <row r="4508" spans="1:15" x14ac:dyDescent="0.3">
      <c r="A4508" t="s">
        <v>4532</v>
      </c>
      <c r="B4508" s="1">
        <v>45980</v>
      </c>
      <c r="C4508" t="s">
        <v>14</v>
      </c>
      <c r="D4508" t="s">
        <v>13</v>
      </c>
      <c r="E4508" s="2">
        <v>27.21</v>
      </c>
      <c r="F4508" s="3">
        <v>63.39</v>
      </c>
      <c r="G4508" s="4">
        <v>465.93</v>
      </c>
      <c r="H4508">
        <v>1.5</v>
      </c>
      <c r="I4508" s="4">
        <v>698.9</v>
      </c>
      <c r="J4508">
        <v>4.5</v>
      </c>
      <c r="K4508" t="s">
        <v>15</v>
      </c>
      <c r="L4508" t="s">
        <v>16</v>
      </c>
      <c r="O4508"/>
    </row>
    <row r="4509" spans="1:15" x14ac:dyDescent="0.3">
      <c r="A4509" t="s">
        <v>4533</v>
      </c>
      <c r="B4509" s="1">
        <v>45725</v>
      </c>
      <c r="C4509" t="s">
        <v>21</v>
      </c>
      <c r="D4509" t="s">
        <v>25</v>
      </c>
      <c r="E4509" s="2">
        <v>3.31</v>
      </c>
      <c r="F4509" s="3">
        <v>10.74</v>
      </c>
      <c r="G4509" s="4">
        <v>34.82</v>
      </c>
      <c r="H4509">
        <v>1</v>
      </c>
      <c r="I4509" s="4">
        <v>34.82</v>
      </c>
      <c r="J4509">
        <v>3.4</v>
      </c>
      <c r="K4509" t="s">
        <v>15</v>
      </c>
      <c r="L4509" t="s">
        <v>26</v>
      </c>
      <c r="O4509"/>
    </row>
    <row r="4510" spans="1:15" x14ac:dyDescent="0.3">
      <c r="A4510" t="s">
        <v>4534</v>
      </c>
      <c r="B4510" s="1">
        <v>45803</v>
      </c>
      <c r="C4510" t="s">
        <v>13</v>
      </c>
      <c r="D4510" t="s">
        <v>21</v>
      </c>
      <c r="E4510" s="2">
        <v>29.97</v>
      </c>
      <c r="F4510" s="3">
        <v>77.91</v>
      </c>
      <c r="G4510" s="4">
        <v>545.59</v>
      </c>
      <c r="H4510">
        <v>1</v>
      </c>
      <c r="I4510" s="4">
        <v>545.59</v>
      </c>
      <c r="J4510">
        <v>4.5999999999999996</v>
      </c>
      <c r="K4510" t="s">
        <v>36</v>
      </c>
      <c r="L4510" t="s">
        <v>16</v>
      </c>
      <c r="O4510"/>
    </row>
    <row r="4511" spans="1:15" x14ac:dyDescent="0.3">
      <c r="A4511" t="s">
        <v>4535</v>
      </c>
      <c r="B4511" s="1">
        <v>45693</v>
      </c>
      <c r="C4511" t="s">
        <v>21</v>
      </c>
      <c r="D4511" t="s">
        <v>22</v>
      </c>
      <c r="E4511" s="2">
        <v>22.24</v>
      </c>
      <c r="F4511" s="3">
        <v>79</v>
      </c>
      <c r="G4511" s="4">
        <v>237.34</v>
      </c>
      <c r="H4511">
        <v>1.2</v>
      </c>
      <c r="I4511" s="4">
        <v>284.81</v>
      </c>
      <c r="J4511">
        <v>4.5</v>
      </c>
      <c r="K4511" t="s">
        <v>36</v>
      </c>
      <c r="L4511" t="s">
        <v>28</v>
      </c>
      <c r="O4511"/>
    </row>
    <row r="4512" spans="1:15" x14ac:dyDescent="0.3">
      <c r="A4512" t="s">
        <v>4536</v>
      </c>
      <c r="B4512" s="1">
        <v>45843</v>
      </c>
      <c r="C4512" t="s">
        <v>25</v>
      </c>
      <c r="D4512" t="s">
        <v>13</v>
      </c>
      <c r="E4512" s="2">
        <v>21.1</v>
      </c>
      <c r="F4512" s="3">
        <v>65.89</v>
      </c>
      <c r="G4512" s="4">
        <v>288.43</v>
      </c>
      <c r="H4512">
        <v>1.5</v>
      </c>
      <c r="I4512" s="4">
        <v>432.64</v>
      </c>
      <c r="J4512">
        <v>4.8</v>
      </c>
      <c r="K4512" t="s">
        <v>18</v>
      </c>
      <c r="L4512" t="s">
        <v>19</v>
      </c>
      <c r="O4512"/>
    </row>
    <row r="4513" spans="1:15" x14ac:dyDescent="0.3">
      <c r="A4513" t="s">
        <v>4537</v>
      </c>
      <c r="B4513" s="1">
        <v>45682</v>
      </c>
      <c r="C4513" t="s">
        <v>21</v>
      </c>
      <c r="D4513" t="s">
        <v>13</v>
      </c>
      <c r="E4513" s="2">
        <v>15.47</v>
      </c>
      <c r="F4513" s="3">
        <v>37.479999999999997</v>
      </c>
      <c r="G4513" s="4">
        <v>181.48</v>
      </c>
      <c r="H4513">
        <v>1</v>
      </c>
      <c r="I4513" s="4">
        <v>181.48</v>
      </c>
      <c r="J4513">
        <v>3.8</v>
      </c>
      <c r="K4513" t="s">
        <v>33</v>
      </c>
      <c r="L4513" t="s">
        <v>16</v>
      </c>
      <c r="O4513"/>
    </row>
    <row r="4514" spans="1:15" x14ac:dyDescent="0.3">
      <c r="A4514" t="s">
        <v>4538</v>
      </c>
      <c r="B4514" s="1">
        <v>45929</v>
      </c>
      <c r="C4514" t="s">
        <v>22</v>
      </c>
      <c r="D4514" t="s">
        <v>21</v>
      </c>
      <c r="E4514" s="2">
        <v>7.96</v>
      </c>
      <c r="F4514" s="3">
        <v>25.27</v>
      </c>
      <c r="G4514" s="4">
        <v>151.27000000000001</v>
      </c>
      <c r="H4514">
        <v>1.5</v>
      </c>
      <c r="I4514" s="4">
        <v>226.91</v>
      </c>
      <c r="J4514">
        <v>4.3</v>
      </c>
      <c r="K4514" t="s">
        <v>33</v>
      </c>
      <c r="L4514" t="s">
        <v>16</v>
      </c>
      <c r="O4514"/>
    </row>
    <row r="4515" spans="1:15" x14ac:dyDescent="0.3">
      <c r="A4515" t="s">
        <v>4539</v>
      </c>
      <c r="B4515" s="1">
        <v>45772</v>
      </c>
      <c r="C4515" t="s">
        <v>14</v>
      </c>
      <c r="D4515" t="s">
        <v>25</v>
      </c>
      <c r="E4515" s="2">
        <v>27.89</v>
      </c>
      <c r="F4515" s="3">
        <v>60.93</v>
      </c>
      <c r="G4515" s="4">
        <v>305.62</v>
      </c>
      <c r="H4515">
        <v>2</v>
      </c>
      <c r="I4515" s="4">
        <v>611.24</v>
      </c>
      <c r="J4515">
        <v>4.3</v>
      </c>
      <c r="K4515" t="s">
        <v>30</v>
      </c>
      <c r="L4515" t="s">
        <v>16</v>
      </c>
      <c r="O4515"/>
    </row>
    <row r="4516" spans="1:15" x14ac:dyDescent="0.3">
      <c r="A4516" t="s">
        <v>4540</v>
      </c>
      <c r="B4516" s="1">
        <v>45869</v>
      </c>
      <c r="C4516" t="s">
        <v>13</v>
      </c>
      <c r="D4516" t="s">
        <v>14</v>
      </c>
      <c r="E4516" s="2">
        <v>29.8</v>
      </c>
      <c r="F4516" s="3">
        <v>101.87</v>
      </c>
      <c r="G4516" s="4">
        <v>574.49</v>
      </c>
      <c r="H4516">
        <v>1.2</v>
      </c>
      <c r="I4516" s="4">
        <v>689.39</v>
      </c>
      <c r="J4516">
        <v>4.9000000000000004</v>
      </c>
      <c r="K4516" t="s">
        <v>33</v>
      </c>
      <c r="L4516" t="s">
        <v>16</v>
      </c>
      <c r="O4516"/>
    </row>
    <row r="4517" spans="1:15" x14ac:dyDescent="0.3">
      <c r="A4517" t="s">
        <v>4541</v>
      </c>
      <c r="B4517" s="1">
        <v>45890</v>
      </c>
      <c r="C4517" t="s">
        <v>25</v>
      </c>
      <c r="D4517" t="s">
        <v>22</v>
      </c>
      <c r="E4517" s="2">
        <v>28.05</v>
      </c>
      <c r="F4517" s="3">
        <v>60.07</v>
      </c>
      <c r="G4517" s="4">
        <v>373.04</v>
      </c>
      <c r="H4517">
        <v>1.5</v>
      </c>
      <c r="I4517" s="4">
        <v>559.55999999999995</v>
      </c>
      <c r="J4517">
        <v>3.5</v>
      </c>
      <c r="K4517" t="s">
        <v>33</v>
      </c>
      <c r="L4517" t="s">
        <v>19</v>
      </c>
      <c r="O4517"/>
    </row>
    <row r="4518" spans="1:15" x14ac:dyDescent="0.3">
      <c r="A4518" t="s">
        <v>4542</v>
      </c>
      <c r="B4518" s="1">
        <v>45768</v>
      </c>
      <c r="C4518" t="s">
        <v>21</v>
      </c>
      <c r="D4518" t="s">
        <v>25</v>
      </c>
      <c r="E4518" s="2">
        <v>16.73</v>
      </c>
      <c r="F4518" s="3">
        <v>60.06</v>
      </c>
      <c r="G4518" s="4">
        <v>199.87</v>
      </c>
      <c r="H4518">
        <v>1.5</v>
      </c>
      <c r="I4518" s="4">
        <v>299.8</v>
      </c>
      <c r="J4518">
        <v>4.3</v>
      </c>
      <c r="K4518" t="s">
        <v>18</v>
      </c>
      <c r="L4518" t="s">
        <v>28</v>
      </c>
      <c r="O4518"/>
    </row>
    <row r="4519" spans="1:15" x14ac:dyDescent="0.3">
      <c r="A4519" t="s">
        <v>4543</v>
      </c>
      <c r="B4519" s="1">
        <v>45961</v>
      </c>
      <c r="C4519" t="s">
        <v>21</v>
      </c>
      <c r="D4519" t="s">
        <v>13</v>
      </c>
      <c r="E4519" s="2">
        <v>12.11</v>
      </c>
      <c r="F4519" s="3">
        <v>38.799999999999997</v>
      </c>
      <c r="G4519" s="4">
        <v>175.63</v>
      </c>
      <c r="H4519">
        <v>2</v>
      </c>
      <c r="I4519" s="4">
        <v>351.26</v>
      </c>
      <c r="J4519">
        <v>4.9000000000000004</v>
      </c>
      <c r="K4519" t="s">
        <v>15</v>
      </c>
      <c r="L4519" t="s">
        <v>19</v>
      </c>
      <c r="O4519"/>
    </row>
    <row r="4520" spans="1:15" x14ac:dyDescent="0.3">
      <c r="A4520" t="s">
        <v>4544</v>
      </c>
      <c r="B4520" s="1">
        <v>46013</v>
      </c>
      <c r="C4520" t="s">
        <v>14</v>
      </c>
      <c r="D4520" t="s">
        <v>13</v>
      </c>
      <c r="E4520" s="2">
        <v>12.62</v>
      </c>
      <c r="F4520" s="3">
        <v>26.97</v>
      </c>
      <c r="G4520" s="4">
        <v>201.68</v>
      </c>
      <c r="H4520">
        <v>1.2</v>
      </c>
      <c r="I4520" s="4">
        <v>242.02</v>
      </c>
      <c r="J4520">
        <v>3.7</v>
      </c>
      <c r="K4520" t="s">
        <v>30</v>
      </c>
      <c r="L4520" t="s">
        <v>28</v>
      </c>
      <c r="O4520"/>
    </row>
    <row r="4521" spans="1:15" x14ac:dyDescent="0.3">
      <c r="A4521" t="s">
        <v>4545</v>
      </c>
      <c r="B4521" s="1">
        <v>45745</v>
      </c>
      <c r="C4521" t="s">
        <v>22</v>
      </c>
      <c r="D4521" t="s">
        <v>22</v>
      </c>
      <c r="E4521" s="2">
        <v>20.13</v>
      </c>
      <c r="F4521" s="3">
        <v>71.47</v>
      </c>
      <c r="G4521" s="4">
        <v>244.2</v>
      </c>
      <c r="H4521">
        <v>1</v>
      </c>
      <c r="I4521" s="4">
        <v>244.2</v>
      </c>
      <c r="J4521">
        <v>3.5</v>
      </c>
      <c r="K4521" t="s">
        <v>15</v>
      </c>
      <c r="L4521" t="s">
        <v>19</v>
      </c>
      <c r="O4521"/>
    </row>
    <row r="4522" spans="1:15" x14ac:dyDescent="0.3">
      <c r="A4522" t="s">
        <v>4546</v>
      </c>
      <c r="B4522" s="1">
        <v>45687</v>
      </c>
      <c r="C4522" t="s">
        <v>25</v>
      </c>
      <c r="D4522" t="s">
        <v>22</v>
      </c>
      <c r="E4522" s="2">
        <v>11.82</v>
      </c>
      <c r="F4522" s="3">
        <v>46.98</v>
      </c>
      <c r="G4522" s="4">
        <v>219.09</v>
      </c>
      <c r="H4522">
        <v>1.5</v>
      </c>
      <c r="I4522" s="4">
        <v>328.64</v>
      </c>
      <c r="J4522">
        <v>4.5999999999999996</v>
      </c>
      <c r="K4522" t="s">
        <v>30</v>
      </c>
      <c r="L4522" t="s">
        <v>16</v>
      </c>
      <c r="O4522"/>
    </row>
    <row r="4523" spans="1:15" x14ac:dyDescent="0.3">
      <c r="A4523" t="s">
        <v>4547</v>
      </c>
      <c r="B4523" s="1">
        <v>45828</v>
      </c>
      <c r="C4523" t="s">
        <v>21</v>
      </c>
      <c r="D4523" t="s">
        <v>21</v>
      </c>
      <c r="E4523" s="2">
        <v>10.94</v>
      </c>
      <c r="F4523" s="3">
        <v>36.49</v>
      </c>
      <c r="G4523" s="4">
        <v>215.15</v>
      </c>
      <c r="H4523">
        <v>1.5</v>
      </c>
      <c r="I4523" s="4">
        <v>322.73</v>
      </c>
      <c r="J4523">
        <v>3.8</v>
      </c>
      <c r="K4523" t="s">
        <v>15</v>
      </c>
      <c r="L4523" t="s">
        <v>28</v>
      </c>
      <c r="O4523"/>
    </row>
    <row r="4524" spans="1:15" x14ac:dyDescent="0.3">
      <c r="A4524" t="s">
        <v>4548</v>
      </c>
      <c r="B4524" s="1">
        <v>45694</v>
      </c>
      <c r="C4524" t="s">
        <v>22</v>
      </c>
      <c r="D4524" t="s">
        <v>22</v>
      </c>
      <c r="E4524" s="2">
        <v>8.7200000000000006</v>
      </c>
      <c r="F4524" s="3">
        <v>27.45</v>
      </c>
      <c r="G4524" s="4">
        <v>172.59</v>
      </c>
      <c r="H4524">
        <v>1.2</v>
      </c>
      <c r="I4524" s="4">
        <v>207.11</v>
      </c>
      <c r="J4524">
        <v>4.3</v>
      </c>
      <c r="K4524" t="s">
        <v>30</v>
      </c>
      <c r="L4524" t="s">
        <v>26</v>
      </c>
      <c r="O4524"/>
    </row>
    <row r="4525" spans="1:15" x14ac:dyDescent="0.3">
      <c r="A4525" t="s">
        <v>4549</v>
      </c>
      <c r="B4525" s="1">
        <v>45908</v>
      </c>
      <c r="C4525" t="s">
        <v>21</v>
      </c>
      <c r="D4525" t="s">
        <v>21</v>
      </c>
      <c r="E4525" s="2">
        <v>27.52</v>
      </c>
      <c r="F4525" s="3">
        <v>69.010000000000005</v>
      </c>
      <c r="G4525" s="4">
        <v>385.78</v>
      </c>
      <c r="H4525">
        <v>2</v>
      </c>
      <c r="I4525" s="4">
        <v>771.56</v>
      </c>
      <c r="J4525">
        <v>3.2</v>
      </c>
      <c r="K4525" t="s">
        <v>33</v>
      </c>
      <c r="L4525" t="s">
        <v>19</v>
      </c>
      <c r="O4525"/>
    </row>
    <row r="4526" spans="1:15" x14ac:dyDescent="0.3">
      <c r="A4526" t="s">
        <v>4550</v>
      </c>
      <c r="B4526" s="1">
        <v>45985</v>
      </c>
      <c r="C4526" t="s">
        <v>14</v>
      </c>
      <c r="D4526" t="s">
        <v>22</v>
      </c>
      <c r="E4526" s="2">
        <v>3.78</v>
      </c>
      <c r="F4526" s="3">
        <v>15.07</v>
      </c>
      <c r="G4526" s="4">
        <v>66.25</v>
      </c>
      <c r="H4526">
        <v>1</v>
      </c>
      <c r="I4526" s="4">
        <v>66.25</v>
      </c>
      <c r="J4526">
        <v>3.7</v>
      </c>
      <c r="K4526" t="s">
        <v>15</v>
      </c>
      <c r="L4526" t="s">
        <v>28</v>
      </c>
      <c r="O4526"/>
    </row>
    <row r="4527" spans="1:15" x14ac:dyDescent="0.3">
      <c r="A4527" t="s">
        <v>4551</v>
      </c>
      <c r="B4527" s="1">
        <v>45899</v>
      </c>
      <c r="C4527" t="s">
        <v>14</v>
      </c>
      <c r="D4527" t="s">
        <v>22</v>
      </c>
      <c r="E4527" s="2">
        <v>3.54</v>
      </c>
      <c r="F4527" s="3">
        <v>10.59</v>
      </c>
      <c r="G4527" s="4">
        <v>68.349999999999994</v>
      </c>
      <c r="H4527">
        <v>1</v>
      </c>
      <c r="I4527" s="4">
        <v>68.349999999999994</v>
      </c>
      <c r="J4527">
        <v>4</v>
      </c>
      <c r="K4527" t="s">
        <v>18</v>
      </c>
      <c r="L4527" t="s">
        <v>28</v>
      </c>
      <c r="O4527"/>
    </row>
    <row r="4528" spans="1:15" x14ac:dyDescent="0.3">
      <c r="A4528" t="s">
        <v>4552</v>
      </c>
      <c r="B4528" s="1">
        <v>45887</v>
      </c>
      <c r="C4528" t="s">
        <v>14</v>
      </c>
      <c r="D4528" t="s">
        <v>25</v>
      </c>
      <c r="E4528" s="2">
        <v>16.41</v>
      </c>
      <c r="F4528" s="3">
        <v>55.71</v>
      </c>
      <c r="G4528" s="4">
        <v>219.9</v>
      </c>
      <c r="H4528">
        <v>1.2</v>
      </c>
      <c r="I4528" s="4">
        <v>263.88</v>
      </c>
      <c r="J4528">
        <v>3.5</v>
      </c>
      <c r="K4528" t="s">
        <v>18</v>
      </c>
      <c r="L4528" t="s">
        <v>19</v>
      </c>
      <c r="O4528"/>
    </row>
    <row r="4529" spans="1:15" x14ac:dyDescent="0.3">
      <c r="A4529" t="s">
        <v>4553</v>
      </c>
      <c r="B4529" s="1">
        <v>45823</v>
      </c>
      <c r="C4529" t="s">
        <v>25</v>
      </c>
      <c r="D4529" t="s">
        <v>22</v>
      </c>
      <c r="E4529" s="2">
        <v>16.829999999999998</v>
      </c>
      <c r="F4529" s="3">
        <v>43.63</v>
      </c>
      <c r="G4529" s="4">
        <v>250.61</v>
      </c>
      <c r="H4529">
        <v>1.2</v>
      </c>
      <c r="I4529" s="4">
        <v>300.73</v>
      </c>
      <c r="J4529">
        <v>3.7</v>
      </c>
      <c r="K4529" t="s">
        <v>33</v>
      </c>
      <c r="L4529" t="s">
        <v>19</v>
      </c>
      <c r="O4529"/>
    </row>
    <row r="4530" spans="1:15" x14ac:dyDescent="0.3">
      <c r="A4530" t="s">
        <v>4554</v>
      </c>
      <c r="B4530" s="1">
        <v>45971</v>
      </c>
      <c r="C4530" t="s">
        <v>22</v>
      </c>
      <c r="D4530" t="s">
        <v>25</v>
      </c>
      <c r="E4530" s="2">
        <v>25.94</v>
      </c>
      <c r="F4530" s="3">
        <v>100.9</v>
      </c>
      <c r="G4530" s="4">
        <v>280.16000000000003</v>
      </c>
      <c r="H4530">
        <v>1</v>
      </c>
      <c r="I4530" s="4">
        <v>280.16000000000003</v>
      </c>
      <c r="J4530">
        <v>3.3</v>
      </c>
      <c r="K4530" t="s">
        <v>15</v>
      </c>
      <c r="L4530" t="s">
        <v>16</v>
      </c>
      <c r="O4530"/>
    </row>
    <row r="4531" spans="1:15" x14ac:dyDescent="0.3">
      <c r="A4531" t="s">
        <v>4555</v>
      </c>
      <c r="B4531" s="1">
        <v>45972</v>
      </c>
      <c r="C4531" t="s">
        <v>25</v>
      </c>
      <c r="D4531" t="s">
        <v>22</v>
      </c>
      <c r="E4531" s="2">
        <v>28.63</v>
      </c>
      <c r="F4531" s="3">
        <v>93.05</v>
      </c>
      <c r="G4531" s="4">
        <v>491.64</v>
      </c>
      <c r="H4531">
        <v>1.5</v>
      </c>
      <c r="I4531" s="4">
        <v>737.46</v>
      </c>
      <c r="J4531">
        <v>3.4</v>
      </c>
      <c r="K4531" t="s">
        <v>18</v>
      </c>
      <c r="L4531" t="s">
        <v>16</v>
      </c>
      <c r="O4531"/>
    </row>
    <row r="4532" spans="1:15" x14ac:dyDescent="0.3">
      <c r="A4532" t="s">
        <v>4556</v>
      </c>
      <c r="B4532" s="1">
        <v>45868</v>
      </c>
      <c r="C4532" t="s">
        <v>13</v>
      </c>
      <c r="D4532" t="s">
        <v>21</v>
      </c>
      <c r="E4532" s="2">
        <v>1.99</v>
      </c>
      <c r="F4532" s="3">
        <v>5.26</v>
      </c>
      <c r="G4532" s="4">
        <v>29.34</v>
      </c>
      <c r="H4532">
        <v>2</v>
      </c>
      <c r="I4532" s="4">
        <v>58.68</v>
      </c>
      <c r="J4532">
        <v>4.8</v>
      </c>
      <c r="K4532" t="s">
        <v>15</v>
      </c>
      <c r="L4532" t="s">
        <v>26</v>
      </c>
      <c r="O4532"/>
    </row>
    <row r="4533" spans="1:15" x14ac:dyDescent="0.3">
      <c r="A4533" t="s">
        <v>4557</v>
      </c>
      <c r="B4533" s="1">
        <v>45786</v>
      </c>
      <c r="C4533" t="s">
        <v>22</v>
      </c>
      <c r="D4533" t="s">
        <v>14</v>
      </c>
      <c r="E4533" s="2">
        <v>6.64</v>
      </c>
      <c r="F4533" s="3">
        <v>16.34</v>
      </c>
      <c r="G4533" s="4">
        <v>125.57</v>
      </c>
      <c r="H4533">
        <v>1.5</v>
      </c>
      <c r="I4533" s="4">
        <v>188.36</v>
      </c>
      <c r="J4533">
        <v>4.5999999999999996</v>
      </c>
      <c r="K4533" t="s">
        <v>18</v>
      </c>
      <c r="L4533" t="s">
        <v>26</v>
      </c>
      <c r="O4533"/>
    </row>
    <row r="4534" spans="1:15" x14ac:dyDescent="0.3">
      <c r="A4534" t="s">
        <v>4558</v>
      </c>
      <c r="B4534" s="1">
        <v>45926</v>
      </c>
      <c r="C4534" t="s">
        <v>14</v>
      </c>
      <c r="D4534" t="s">
        <v>22</v>
      </c>
      <c r="E4534" s="2">
        <v>13.97</v>
      </c>
      <c r="F4534" s="3">
        <v>54.05</v>
      </c>
      <c r="G4534" s="4">
        <v>196.71</v>
      </c>
      <c r="H4534">
        <v>1</v>
      </c>
      <c r="I4534" s="4">
        <v>196.71</v>
      </c>
      <c r="J4534">
        <v>4.4000000000000004</v>
      </c>
      <c r="K4534" t="s">
        <v>36</v>
      </c>
      <c r="L4534" t="s">
        <v>16</v>
      </c>
      <c r="O4534"/>
    </row>
    <row r="4535" spans="1:15" x14ac:dyDescent="0.3">
      <c r="A4535" t="s">
        <v>4559</v>
      </c>
      <c r="B4535" s="1">
        <v>45925</v>
      </c>
      <c r="C4535" t="s">
        <v>22</v>
      </c>
      <c r="D4535" t="s">
        <v>14</v>
      </c>
      <c r="E4535" s="2">
        <v>18.04</v>
      </c>
      <c r="F4535" s="3">
        <v>59.01</v>
      </c>
      <c r="G4535" s="4">
        <v>254.63</v>
      </c>
      <c r="H4535">
        <v>2</v>
      </c>
      <c r="I4535" s="4">
        <v>509.26</v>
      </c>
      <c r="J4535">
        <v>4.0999999999999996</v>
      </c>
      <c r="K4535" t="s">
        <v>36</v>
      </c>
      <c r="L4535" t="s">
        <v>26</v>
      </c>
      <c r="O4535"/>
    </row>
    <row r="4536" spans="1:15" x14ac:dyDescent="0.3">
      <c r="A4536" t="s">
        <v>4560</v>
      </c>
      <c r="B4536" s="1">
        <v>45664</v>
      </c>
      <c r="C4536" t="s">
        <v>13</v>
      </c>
      <c r="D4536" t="s">
        <v>21</v>
      </c>
      <c r="E4536" s="2">
        <v>28.06</v>
      </c>
      <c r="F4536" s="3">
        <v>109.86</v>
      </c>
      <c r="G4536" s="4">
        <v>448.09</v>
      </c>
      <c r="H4536">
        <v>1.2</v>
      </c>
      <c r="I4536" s="4">
        <v>537.71</v>
      </c>
      <c r="J4536">
        <v>3.7</v>
      </c>
      <c r="K4536" t="s">
        <v>33</v>
      </c>
      <c r="L4536" t="s">
        <v>16</v>
      </c>
      <c r="O4536"/>
    </row>
    <row r="4537" spans="1:15" x14ac:dyDescent="0.3">
      <c r="A4537" t="s">
        <v>4561</v>
      </c>
      <c r="B4537" s="1">
        <v>45740</v>
      </c>
      <c r="C4537" t="s">
        <v>13</v>
      </c>
      <c r="D4537" t="s">
        <v>13</v>
      </c>
      <c r="E4537" s="2">
        <v>25.19</v>
      </c>
      <c r="F4537" s="3">
        <v>92.18</v>
      </c>
      <c r="G4537" s="4">
        <v>490.2</v>
      </c>
      <c r="H4537">
        <v>2</v>
      </c>
      <c r="I4537" s="4">
        <v>980.4</v>
      </c>
      <c r="J4537">
        <v>3.3</v>
      </c>
      <c r="K4537" t="s">
        <v>30</v>
      </c>
      <c r="L4537" t="s">
        <v>28</v>
      </c>
      <c r="O4537"/>
    </row>
    <row r="4538" spans="1:15" x14ac:dyDescent="0.3">
      <c r="A4538" t="s">
        <v>4562</v>
      </c>
      <c r="B4538" s="1">
        <v>45798</v>
      </c>
      <c r="C4538" t="s">
        <v>22</v>
      </c>
      <c r="D4538" t="s">
        <v>22</v>
      </c>
      <c r="E4538" s="2">
        <v>24.92</v>
      </c>
      <c r="F4538" s="3">
        <v>79.22</v>
      </c>
      <c r="G4538" s="4">
        <v>444.48</v>
      </c>
      <c r="H4538">
        <v>1</v>
      </c>
      <c r="I4538" s="4">
        <v>444.48</v>
      </c>
      <c r="J4538">
        <v>4.3</v>
      </c>
      <c r="K4538" t="s">
        <v>33</v>
      </c>
      <c r="L4538" t="s">
        <v>19</v>
      </c>
      <c r="O4538"/>
    </row>
    <row r="4539" spans="1:15" x14ac:dyDescent="0.3">
      <c r="A4539" t="s">
        <v>4563</v>
      </c>
      <c r="B4539" s="1">
        <v>45842</v>
      </c>
      <c r="C4539" t="s">
        <v>14</v>
      </c>
      <c r="D4539" t="s">
        <v>22</v>
      </c>
      <c r="E4539" s="2">
        <v>4.45</v>
      </c>
      <c r="F4539" s="3">
        <v>13.11</v>
      </c>
      <c r="G4539" s="4">
        <v>57.24</v>
      </c>
      <c r="H4539">
        <v>1</v>
      </c>
      <c r="I4539" s="4">
        <v>57.24</v>
      </c>
      <c r="J4539">
        <v>4.5999999999999996</v>
      </c>
      <c r="K4539" t="s">
        <v>33</v>
      </c>
      <c r="L4539" t="s">
        <v>28</v>
      </c>
      <c r="O4539"/>
    </row>
    <row r="4540" spans="1:15" x14ac:dyDescent="0.3">
      <c r="A4540" t="s">
        <v>4564</v>
      </c>
      <c r="B4540" s="1">
        <v>45780</v>
      </c>
      <c r="C4540" t="s">
        <v>13</v>
      </c>
      <c r="D4540" t="s">
        <v>21</v>
      </c>
      <c r="E4540" s="2">
        <v>14.3</v>
      </c>
      <c r="F4540" s="3">
        <v>45.42</v>
      </c>
      <c r="G4540" s="4">
        <v>216.51</v>
      </c>
      <c r="H4540">
        <v>2</v>
      </c>
      <c r="I4540" s="4">
        <v>433.02</v>
      </c>
      <c r="J4540">
        <v>3</v>
      </c>
      <c r="K4540" t="s">
        <v>30</v>
      </c>
      <c r="L4540" t="s">
        <v>28</v>
      </c>
      <c r="O4540"/>
    </row>
    <row r="4541" spans="1:15" x14ac:dyDescent="0.3">
      <c r="A4541" t="s">
        <v>4565</v>
      </c>
      <c r="B4541" s="1">
        <v>45682</v>
      </c>
      <c r="C4541" t="s">
        <v>14</v>
      </c>
      <c r="D4541" t="s">
        <v>22</v>
      </c>
      <c r="E4541" s="2">
        <v>11.94</v>
      </c>
      <c r="F4541" s="3">
        <v>42.79</v>
      </c>
      <c r="G4541" s="4">
        <v>182.45</v>
      </c>
      <c r="H4541">
        <v>2</v>
      </c>
      <c r="I4541" s="4">
        <v>364.9</v>
      </c>
      <c r="J4541">
        <v>4.8</v>
      </c>
      <c r="K4541" t="s">
        <v>15</v>
      </c>
      <c r="L4541" t="s">
        <v>26</v>
      </c>
      <c r="O4541"/>
    </row>
    <row r="4542" spans="1:15" x14ac:dyDescent="0.3">
      <c r="A4542" t="s">
        <v>4566</v>
      </c>
      <c r="B4542" s="1">
        <v>45896</v>
      </c>
      <c r="C4542" t="s">
        <v>21</v>
      </c>
      <c r="D4542" t="s">
        <v>22</v>
      </c>
      <c r="E4542" s="2">
        <v>22.85</v>
      </c>
      <c r="F4542" s="3">
        <v>90.13</v>
      </c>
      <c r="G4542" s="4">
        <v>370.24</v>
      </c>
      <c r="H4542">
        <v>1</v>
      </c>
      <c r="I4542" s="4">
        <v>370.24</v>
      </c>
      <c r="J4542">
        <v>4.2</v>
      </c>
      <c r="K4542" t="s">
        <v>15</v>
      </c>
      <c r="L4542" t="s">
        <v>19</v>
      </c>
      <c r="O4542"/>
    </row>
    <row r="4543" spans="1:15" x14ac:dyDescent="0.3">
      <c r="A4543" t="s">
        <v>4567</v>
      </c>
      <c r="B4543" s="1">
        <v>45878</v>
      </c>
      <c r="C4543" t="s">
        <v>21</v>
      </c>
      <c r="D4543" t="s">
        <v>13</v>
      </c>
      <c r="E4543" s="2">
        <v>7.72</v>
      </c>
      <c r="F4543" s="3">
        <v>15.66</v>
      </c>
      <c r="G4543" s="4">
        <v>127.64</v>
      </c>
      <c r="H4543">
        <v>1</v>
      </c>
      <c r="I4543" s="4">
        <v>127.64</v>
      </c>
      <c r="J4543">
        <v>3.5</v>
      </c>
      <c r="K4543" t="s">
        <v>18</v>
      </c>
      <c r="L4543" t="s">
        <v>19</v>
      </c>
      <c r="O4543"/>
    </row>
    <row r="4544" spans="1:15" x14ac:dyDescent="0.3">
      <c r="A4544" t="s">
        <v>4568</v>
      </c>
      <c r="B4544" s="1">
        <v>45883</v>
      </c>
      <c r="C4544" t="s">
        <v>21</v>
      </c>
      <c r="D4544" t="s">
        <v>14</v>
      </c>
      <c r="E4544" s="2">
        <v>21.15</v>
      </c>
      <c r="F4544" s="3">
        <v>84.09</v>
      </c>
      <c r="G4544" s="4">
        <v>319.43</v>
      </c>
      <c r="H4544">
        <v>1.2</v>
      </c>
      <c r="I4544" s="4">
        <v>383.32</v>
      </c>
      <c r="J4544">
        <v>4.5</v>
      </c>
      <c r="K4544" t="s">
        <v>30</v>
      </c>
      <c r="L4544" t="s">
        <v>28</v>
      </c>
      <c r="O4544"/>
    </row>
    <row r="4545" spans="1:15" x14ac:dyDescent="0.3">
      <c r="A4545" t="s">
        <v>4569</v>
      </c>
      <c r="B4545" s="1">
        <v>45737</v>
      </c>
      <c r="C4545" t="s">
        <v>22</v>
      </c>
      <c r="D4545" t="s">
        <v>25</v>
      </c>
      <c r="E4545" s="2">
        <v>14.83</v>
      </c>
      <c r="F4545" s="3">
        <v>55.55</v>
      </c>
      <c r="G4545" s="4">
        <v>154.59</v>
      </c>
      <c r="H4545">
        <v>2</v>
      </c>
      <c r="I4545" s="4">
        <v>309.18</v>
      </c>
      <c r="J4545">
        <v>4.0999999999999996</v>
      </c>
      <c r="K4545" t="s">
        <v>36</v>
      </c>
      <c r="L4545" t="s">
        <v>28</v>
      </c>
      <c r="O4545"/>
    </row>
    <row r="4546" spans="1:15" x14ac:dyDescent="0.3">
      <c r="A4546" t="s">
        <v>4570</v>
      </c>
      <c r="B4546" s="1">
        <v>45670</v>
      </c>
      <c r="C4546" t="s">
        <v>21</v>
      </c>
      <c r="D4546" t="s">
        <v>25</v>
      </c>
      <c r="E4546" s="2">
        <v>18.34</v>
      </c>
      <c r="F4546" s="3">
        <v>48.84</v>
      </c>
      <c r="G4546" s="4">
        <v>224.31</v>
      </c>
      <c r="H4546">
        <v>1</v>
      </c>
      <c r="I4546" s="4">
        <v>224.31</v>
      </c>
      <c r="J4546">
        <v>4.4000000000000004</v>
      </c>
      <c r="K4546" t="s">
        <v>36</v>
      </c>
      <c r="L4546" t="s">
        <v>28</v>
      </c>
      <c r="O4546"/>
    </row>
    <row r="4547" spans="1:15" x14ac:dyDescent="0.3">
      <c r="A4547" t="s">
        <v>4571</v>
      </c>
      <c r="B4547" s="1">
        <v>45973</v>
      </c>
      <c r="C4547" t="s">
        <v>14</v>
      </c>
      <c r="D4547" t="s">
        <v>25</v>
      </c>
      <c r="E4547" s="2">
        <v>12.47</v>
      </c>
      <c r="F4547" s="3">
        <v>34.78</v>
      </c>
      <c r="G4547" s="4">
        <v>216.21</v>
      </c>
      <c r="H4547">
        <v>2</v>
      </c>
      <c r="I4547" s="4">
        <v>432.42</v>
      </c>
      <c r="J4547">
        <v>3.4</v>
      </c>
      <c r="K4547" t="s">
        <v>15</v>
      </c>
      <c r="L4547" t="s">
        <v>28</v>
      </c>
      <c r="O4547"/>
    </row>
    <row r="4548" spans="1:15" x14ac:dyDescent="0.3">
      <c r="A4548" t="s">
        <v>4572</v>
      </c>
      <c r="B4548" s="1">
        <v>45694</v>
      </c>
      <c r="C4548" t="s">
        <v>14</v>
      </c>
      <c r="D4548" t="s">
        <v>14</v>
      </c>
      <c r="E4548" s="2">
        <v>25.27</v>
      </c>
      <c r="F4548" s="3">
        <v>53.65</v>
      </c>
      <c r="G4548" s="4">
        <v>498.36</v>
      </c>
      <c r="H4548">
        <v>1.2</v>
      </c>
      <c r="I4548" s="4">
        <v>598.03</v>
      </c>
      <c r="J4548">
        <v>4.5</v>
      </c>
      <c r="K4548" t="s">
        <v>36</v>
      </c>
      <c r="L4548" t="s">
        <v>19</v>
      </c>
      <c r="O4548"/>
    </row>
    <row r="4549" spans="1:15" x14ac:dyDescent="0.3">
      <c r="A4549" t="s">
        <v>4573</v>
      </c>
      <c r="B4549" s="1">
        <v>45779</v>
      </c>
      <c r="C4549" t="s">
        <v>14</v>
      </c>
      <c r="D4549" t="s">
        <v>25</v>
      </c>
      <c r="E4549" s="2">
        <v>17.25</v>
      </c>
      <c r="F4549" s="3">
        <v>39.270000000000003</v>
      </c>
      <c r="G4549" s="4">
        <v>330.44</v>
      </c>
      <c r="H4549">
        <v>1</v>
      </c>
      <c r="I4549" s="4">
        <v>330.44</v>
      </c>
      <c r="J4549">
        <v>4.9000000000000004</v>
      </c>
      <c r="K4549" t="s">
        <v>30</v>
      </c>
      <c r="L4549" t="s">
        <v>19</v>
      </c>
      <c r="O4549"/>
    </row>
    <row r="4550" spans="1:15" x14ac:dyDescent="0.3">
      <c r="A4550" t="s">
        <v>4574</v>
      </c>
      <c r="B4550" s="1">
        <v>45846</v>
      </c>
      <c r="C4550" t="s">
        <v>14</v>
      </c>
      <c r="D4550" t="s">
        <v>25</v>
      </c>
      <c r="E4550" s="2">
        <v>21.64</v>
      </c>
      <c r="F4550" s="3">
        <v>71.989999999999995</v>
      </c>
      <c r="G4550" s="4">
        <v>424.76</v>
      </c>
      <c r="H4550">
        <v>1</v>
      </c>
      <c r="I4550" s="4">
        <v>424.76</v>
      </c>
      <c r="J4550">
        <v>4.9000000000000004</v>
      </c>
      <c r="K4550" t="s">
        <v>30</v>
      </c>
      <c r="L4550" t="s">
        <v>26</v>
      </c>
      <c r="O4550"/>
    </row>
    <row r="4551" spans="1:15" x14ac:dyDescent="0.3">
      <c r="A4551" t="s">
        <v>4575</v>
      </c>
      <c r="B4551" s="1">
        <v>45880</v>
      </c>
      <c r="C4551" t="s">
        <v>25</v>
      </c>
      <c r="D4551" t="s">
        <v>25</v>
      </c>
      <c r="E4551" s="2">
        <v>2.74</v>
      </c>
      <c r="F4551" s="3">
        <v>9.5</v>
      </c>
      <c r="G4551" s="4">
        <v>44.31</v>
      </c>
      <c r="H4551">
        <v>1</v>
      </c>
      <c r="I4551" s="4">
        <v>44.31</v>
      </c>
      <c r="J4551">
        <v>4</v>
      </c>
      <c r="K4551" t="s">
        <v>18</v>
      </c>
      <c r="L4551" t="s">
        <v>19</v>
      </c>
      <c r="O4551"/>
    </row>
    <row r="4552" spans="1:15" x14ac:dyDescent="0.3">
      <c r="A4552" t="s">
        <v>4576</v>
      </c>
      <c r="B4552" s="1">
        <v>45668</v>
      </c>
      <c r="C4552" t="s">
        <v>14</v>
      </c>
      <c r="D4552" t="s">
        <v>21</v>
      </c>
      <c r="E4552" s="2">
        <v>28.06</v>
      </c>
      <c r="F4552" s="3">
        <v>111.77</v>
      </c>
      <c r="G4552" s="4">
        <v>400.82</v>
      </c>
      <c r="H4552">
        <v>2</v>
      </c>
      <c r="I4552" s="4">
        <v>801.64</v>
      </c>
      <c r="J4552">
        <v>3.4</v>
      </c>
      <c r="K4552" t="s">
        <v>15</v>
      </c>
      <c r="L4552" t="s">
        <v>28</v>
      </c>
      <c r="O4552"/>
    </row>
    <row r="4553" spans="1:15" x14ac:dyDescent="0.3">
      <c r="A4553" t="s">
        <v>4577</v>
      </c>
      <c r="B4553" s="1">
        <v>45751</v>
      </c>
      <c r="C4553" t="s">
        <v>21</v>
      </c>
      <c r="D4553" t="s">
        <v>22</v>
      </c>
      <c r="E4553" s="2">
        <v>10.23</v>
      </c>
      <c r="F4553" s="3">
        <v>30.87</v>
      </c>
      <c r="G4553" s="4">
        <v>114.82</v>
      </c>
      <c r="H4553">
        <v>1.5</v>
      </c>
      <c r="I4553" s="4">
        <v>172.23</v>
      </c>
      <c r="J4553">
        <v>3.5</v>
      </c>
      <c r="K4553" t="s">
        <v>30</v>
      </c>
      <c r="L4553" t="s">
        <v>28</v>
      </c>
      <c r="O4553"/>
    </row>
    <row r="4554" spans="1:15" x14ac:dyDescent="0.3">
      <c r="A4554" t="s">
        <v>4578</v>
      </c>
      <c r="B4554" s="1">
        <v>45844</v>
      </c>
      <c r="C4554" t="s">
        <v>22</v>
      </c>
      <c r="D4554" t="s">
        <v>14</v>
      </c>
      <c r="E4554" s="2">
        <v>1.1200000000000001</v>
      </c>
      <c r="F4554" s="3">
        <v>3.03</v>
      </c>
      <c r="G4554" s="4">
        <v>12.5</v>
      </c>
      <c r="H4554">
        <v>2</v>
      </c>
      <c r="I4554" s="4">
        <v>25</v>
      </c>
      <c r="J4554">
        <v>3.1</v>
      </c>
      <c r="K4554" t="s">
        <v>15</v>
      </c>
      <c r="L4554" t="s">
        <v>28</v>
      </c>
      <c r="O4554"/>
    </row>
    <row r="4555" spans="1:15" x14ac:dyDescent="0.3">
      <c r="A4555" t="s">
        <v>4579</v>
      </c>
      <c r="B4555" s="1">
        <v>45878</v>
      </c>
      <c r="C4555" t="s">
        <v>22</v>
      </c>
      <c r="D4555" t="s">
        <v>14</v>
      </c>
      <c r="E4555" s="2">
        <v>24.84</v>
      </c>
      <c r="F4555" s="3">
        <v>53.68</v>
      </c>
      <c r="G4555" s="4">
        <v>463.43</v>
      </c>
      <c r="H4555">
        <v>2</v>
      </c>
      <c r="I4555" s="4">
        <v>926.86</v>
      </c>
      <c r="J4555">
        <v>3.8</v>
      </c>
      <c r="K4555" t="s">
        <v>18</v>
      </c>
      <c r="L4555" t="s">
        <v>28</v>
      </c>
      <c r="O4555"/>
    </row>
    <row r="4556" spans="1:15" x14ac:dyDescent="0.3">
      <c r="A4556" t="s">
        <v>4580</v>
      </c>
      <c r="B4556" s="1">
        <v>45703</v>
      </c>
      <c r="C4556" t="s">
        <v>14</v>
      </c>
      <c r="D4556" t="s">
        <v>25</v>
      </c>
      <c r="E4556" s="2">
        <v>16.940000000000001</v>
      </c>
      <c r="F4556" s="3">
        <v>46.62</v>
      </c>
      <c r="G4556" s="4">
        <v>191.02</v>
      </c>
      <c r="H4556">
        <v>1</v>
      </c>
      <c r="I4556" s="4">
        <v>191.02</v>
      </c>
      <c r="J4556">
        <v>4.5999999999999996</v>
      </c>
      <c r="K4556" t="s">
        <v>33</v>
      </c>
      <c r="L4556" t="s">
        <v>19</v>
      </c>
      <c r="O4556"/>
    </row>
    <row r="4557" spans="1:15" x14ac:dyDescent="0.3">
      <c r="A4557" t="s">
        <v>4581</v>
      </c>
      <c r="B4557" s="1">
        <v>45853</v>
      </c>
      <c r="C4557" t="s">
        <v>25</v>
      </c>
      <c r="D4557" t="s">
        <v>25</v>
      </c>
      <c r="E4557" s="2">
        <v>28.55</v>
      </c>
      <c r="F4557" s="3">
        <v>95.4</v>
      </c>
      <c r="G4557" s="4">
        <v>402.65</v>
      </c>
      <c r="H4557">
        <v>1</v>
      </c>
      <c r="I4557" s="4">
        <v>402.65</v>
      </c>
      <c r="J4557">
        <v>3.6</v>
      </c>
      <c r="K4557" t="s">
        <v>30</v>
      </c>
      <c r="L4557" t="s">
        <v>16</v>
      </c>
      <c r="O4557"/>
    </row>
    <row r="4558" spans="1:15" x14ac:dyDescent="0.3">
      <c r="A4558" t="s">
        <v>4582</v>
      </c>
      <c r="B4558" s="1">
        <v>45688</v>
      </c>
      <c r="C4558" t="s">
        <v>14</v>
      </c>
      <c r="D4558" t="s">
        <v>14</v>
      </c>
      <c r="E4558" s="2">
        <v>24.87</v>
      </c>
      <c r="F4558" s="3">
        <v>68.37</v>
      </c>
      <c r="G4558" s="4">
        <v>476.7</v>
      </c>
      <c r="H4558">
        <v>2</v>
      </c>
      <c r="I4558" s="4">
        <v>953.4</v>
      </c>
      <c r="J4558">
        <v>4.8</v>
      </c>
      <c r="K4558" t="s">
        <v>30</v>
      </c>
      <c r="L4558" t="s">
        <v>28</v>
      </c>
      <c r="O4558"/>
    </row>
    <row r="4559" spans="1:15" x14ac:dyDescent="0.3">
      <c r="A4559" t="s">
        <v>4583</v>
      </c>
      <c r="B4559" s="1">
        <v>45935</v>
      </c>
      <c r="C4559" t="s">
        <v>13</v>
      </c>
      <c r="D4559" t="s">
        <v>21</v>
      </c>
      <c r="E4559" s="2">
        <v>28.88</v>
      </c>
      <c r="F4559" s="3">
        <v>111.95</v>
      </c>
      <c r="G4559" s="4">
        <v>489.73</v>
      </c>
      <c r="H4559">
        <v>1.5</v>
      </c>
      <c r="I4559" s="4">
        <v>734.6</v>
      </c>
      <c r="J4559">
        <v>4.8</v>
      </c>
      <c r="K4559" t="s">
        <v>18</v>
      </c>
      <c r="L4559" t="s">
        <v>19</v>
      </c>
      <c r="O4559"/>
    </row>
    <row r="4560" spans="1:15" x14ac:dyDescent="0.3">
      <c r="A4560" t="s">
        <v>4584</v>
      </c>
      <c r="B4560" s="1">
        <v>45988</v>
      </c>
      <c r="C4560" t="s">
        <v>14</v>
      </c>
      <c r="D4560" t="s">
        <v>13</v>
      </c>
      <c r="E4560" s="2">
        <v>3.32</v>
      </c>
      <c r="F4560" s="3">
        <v>11.35</v>
      </c>
      <c r="G4560" s="4">
        <v>49.91</v>
      </c>
      <c r="H4560">
        <v>1.2</v>
      </c>
      <c r="I4560" s="4">
        <v>59.89</v>
      </c>
      <c r="J4560">
        <v>3.1</v>
      </c>
      <c r="K4560" t="s">
        <v>18</v>
      </c>
      <c r="L4560" t="s">
        <v>26</v>
      </c>
      <c r="O4560"/>
    </row>
    <row r="4561" spans="1:15" x14ac:dyDescent="0.3">
      <c r="A4561" t="s">
        <v>4585</v>
      </c>
      <c r="B4561" s="1">
        <v>45836</v>
      </c>
      <c r="C4561" t="s">
        <v>14</v>
      </c>
      <c r="D4561" t="s">
        <v>25</v>
      </c>
      <c r="E4561" s="2">
        <v>2.74</v>
      </c>
      <c r="F4561" s="3">
        <v>6.77</v>
      </c>
      <c r="G4561" s="4">
        <v>34.68</v>
      </c>
      <c r="H4561">
        <v>1.2</v>
      </c>
      <c r="I4561" s="4">
        <v>41.62</v>
      </c>
      <c r="J4561">
        <v>4.5999999999999996</v>
      </c>
      <c r="K4561" t="s">
        <v>33</v>
      </c>
      <c r="L4561" t="s">
        <v>16</v>
      </c>
      <c r="O4561"/>
    </row>
    <row r="4562" spans="1:15" x14ac:dyDescent="0.3">
      <c r="A4562" t="s">
        <v>4586</v>
      </c>
      <c r="B4562" s="1">
        <v>45847</v>
      </c>
      <c r="C4562" t="s">
        <v>25</v>
      </c>
      <c r="D4562" t="s">
        <v>21</v>
      </c>
      <c r="E4562" s="2">
        <v>22.6</v>
      </c>
      <c r="F4562" s="3">
        <v>88.07</v>
      </c>
      <c r="G4562" s="4">
        <v>295.22000000000003</v>
      </c>
      <c r="H4562">
        <v>1.2</v>
      </c>
      <c r="I4562" s="4">
        <v>354.26</v>
      </c>
      <c r="J4562">
        <v>4.8</v>
      </c>
      <c r="K4562" t="s">
        <v>33</v>
      </c>
      <c r="L4562" t="s">
        <v>19</v>
      </c>
      <c r="O4562"/>
    </row>
    <row r="4563" spans="1:15" x14ac:dyDescent="0.3">
      <c r="A4563" t="s">
        <v>4587</v>
      </c>
      <c r="B4563" s="1">
        <v>45719</v>
      </c>
      <c r="C4563" t="s">
        <v>21</v>
      </c>
      <c r="D4563" t="s">
        <v>22</v>
      </c>
      <c r="E4563" s="2">
        <v>7.44</v>
      </c>
      <c r="F4563" s="3">
        <v>25.92</v>
      </c>
      <c r="G4563" s="4">
        <v>79</v>
      </c>
      <c r="H4563">
        <v>2</v>
      </c>
      <c r="I4563" s="4">
        <v>158</v>
      </c>
      <c r="J4563">
        <v>3.7</v>
      </c>
      <c r="K4563" t="s">
        <v>18</v>
      </c>
      <c r="L4563" t="s">
        <v>19</v>
      </c>
      <c r="O4563"/>
    </row>
    <row r="4564" spans="1:15" x14ac:dyDescent="0.3">
      <c r="A4564" t="s">
        <v>4588</v>
      </c>
      <c r="B4564" s="1">
        <v>45830</v>
      </c>
      <c r="C4564" t="s">
        <v>22</v>
      </c>
      <c r="D4564" t="s">
        <v>13</v>
      </c>
      <c r="E4564" s="2">
        <v>17.14</v>
      </c>
      <c r="F4564" s="3">
        <v>48.6</v>
      </c>
      <c r="G4564" s="4">
        <v>270.02</v>
      </c>
      <c r="H4564">
        <v>1.5</v>
      </c>
      <c r="I4564" s="4">
        <v>405.03</v>
      </c>
      <c r="J4564">
        <v>3.9</v>
      </c>
      <c r="K4564" t="s">
        <v>18</v>
      </c>
      <c r="L4564" t="s">
        <v>28</v>
      </c>
      <c r="O4564"/>
    </row>
    <row r="4565" spans="1:15" x14ac:dyDescent="0.3">
      <c r="A4565" t="s">
        <v>4589</v>
      </c>
      <c r="B4565" s="1">
        <v>45828</v>
      </c>
      <c r="C4565" t="s">
        <v>22</v>
      </c>
      <c r="D4565" t="s">
        <v>13</v>
      </c>
      <c r="E4565" s="2">
        <v>17.05</v>
      </c>
      <c r="F4565" s="3">
        <v>62.21</v>
      </c>
      <c r="G4565" s="4">
        <v>232.29</v>
      </c>
      <c r="H4565">
        <v>1.2</v>
      </c>
      <c r="I4565" s="4">
        <v>278.75</v>
      </c>
      <c r="J4565">
        <v>4.4000000000000004</v>
      </c>
      <c r="K4565" t="s">
        <v>30</v>
      </c>
      <c r="L4565" t="s">
        <v>28</v>
      </c>
      <c r="O4565"/>
    </row>
    <row r="4566" spans="1:15" x14ac:dyDescent="0.3">
      <c r="A4566" t="s">
        <v>4590</v>
      </c>
      <c r="B4566" s="1">
        <v>45997</v>
      </c>
      <c r="C4566" t="s">
        <v>13</v>
      </c>
      <c r="D4566" t="s">
        <v>22</v>
      </c>
      <c r="E4566" s="2">
        <v>24.81</v>
      </c>
      <c r="F4566" s="3">
        <v>81.89</v>
      </c>
      <c r="G4566" s="4">
        <v>426.07</v>
      </c>
      <c r="H4566">
        <v>1.5</v>
      </c>
      <c r="I4566" s="4">
        <v>639.1</v>
      </c>
      <c r="J4566">
        <v>3.3</v>
      </c>
      <c r="K4566" t="s">
        <v>33</v>
      </c>
      <c r="L4566" t="s">
        <v>19</v>
      </c>
      <c r="O4566"/>
    </row>
    <row r="4567" spans="1:15" x14ac:dyDescent="0.3">
      <c r="A4567" t="s">
        <v>4591</v>
      </c>
      <c r="B4567" s="1">
        <v>45820</v>
      </c>
      <c r="C4567" t="s">
        <v>13</v>
      </c>
      <c r="D4567" t="s">
        <v>13</v>
      </c>
      <c r="E4567" s="2">
        <v>5.61</v>
      </c>
      <c r="F4567" s="3">
        <v>14.7</v>
      </c>
      <c r="G4567" s="4">
        <v>67.73</v>
      </c>
      <c r="H4567">
        <v>1</v>
      </c>
      <c r="I4567" s="4">
        <v>67.73</v>
      </c>
      <c r="J4567">
        <v>3.4</v>
      </c>
      <c r="K4567" t="s">
        <v>15</v>
      </c>
      <c r="L4567" t="s">
        <v>16</v>
      </c>
      <c r="O4567"/>
    </row>
    <row r="4568" spans="1:15" x14ac:dyDescent="0.3">
      <c r="A4568" t="s">
        <v>4592</v>
      </c>
      <c r="B4568" s="1">
        <v>45959</v>
      </c>
      <c r="C4568" t="s">
        <v>13</v>
      </c>
      <c r="D4568" t="s">
        <v>21</v>
      </c>
      <c r="E4568" s="2">
        <v>28.81</v>
      </c>
      <c r="F4568" s="3">
        <v>112.9</v>
      </c>
      <c r="G4568" s="4">
        <v>509.82</v>
      </c>
      <c r="H4568">
        <v>1.5</v>
      </c>
      <c r="I4568" s="4">
        <v>764.73</v>
      </c>
      <c r="J4568">
        <v>4.3</v>
      </c>
      <c r="K4568" t="s">
        <v>18</v>
      </c>
      <c r="L4568" t="s">
        <v>26</v>
      </c>
      <c r="O4568"/>
    </row>
    <row r="4569" spans="1:15" x14ac:dyDescent="0.3">
      <c r="A4569" t="s">
        <v>4593</v>
      </c>
      <c r="B4569" s="1">
        <v>45857</v>
      </c>
      <c r="C4569" t="s">
        <v>14</v>
      </c>
      <c r="D4569" t="s">
        <v>25</v>
      </c>
      <c r="E4569" s="2">
        <v>9.8699999999999992</v>
      </c>
      <c r="F4569" s="3">
        <v>31.48</v>
      </c>
      <c r="G4569" s="4">
        <v>131.53</v>
      </c>
      <c r="H4569">
        <v>1</v>
      </c>
      <c r="I4569" s="4">
        <v>131.53</v>
      </c>
      <c r="J4569">
        <v>4.5999999999999996</v>
      </c>
      <c r="K4569" t="s">
        <v>33</v>
      </c>
      <c r="L4569" t="s">
        <v>28</v>
      </c>
      <c r="O4569"/>
    </row>
    <row r="4570" spans="1:15" x14ac:dyDescent="0.3">
      <c r="A4570" t="s">
        <v>4594</v>
      </c>
      <c r="B4570" s="1">
        <v>45982</v>
      </c>
      <c r="C4570" t="s">
        <v>25</v>
      </c>
      <c r="D4570" t="s">
        <v>21</v>
      </c>
      <c r="E4570" s="2">
        <v>12.12</v>
      </c>
      <c r="F4570" s="3">
        <v>25.91</v>
      </c>
      <c r="G4570" s="4">
        <v>184.78</v>
      </c>
      <c r="H4570">
        <v>1.5</v>
      </c>
      <c r="I4570" s="4">
        <v>277.17</v>
      </c>
      <c r="J4570">
        <v>4</v>
      </c>
      <c r="K4570" t="s">
        <v>15</v>
      </c>
      <c r="L4570" t="s">
        <v>16</v>
      </c>
      <c r="O4570"/>
    </row>
    <row r="4571" spans="1:15" x14ac:dyDescent="0.3">
      <c r="A4571" t="s">
        <v>4595</v>
      </c>
      <c r="B4571" s="1">
        <v>45831</v>
      </c>
      <c r="C4571" t="s">
        <v>14</v>
      </c>
      <c r="D4571" t="s">
        <v>21</v>
      </c>
      <c r="E4571" s="2">
        <v>22.88</v>
      </c>
      <c r="F4571" s="3">
        <v>54.42</v>
      </c>
      <c r="G4571" s="4">
        <v>445.35</v>
      </c>
      <c r="H4571">
        <v>1</v>
      </c>
      <c r="I4571" s="4">
        <v>445.35</v>
      </c>
      <c r="J4571">
        <v>3.6</v>
      </c>
      <c r="K4571" t="s">
        <v>36</v>
      </c>
      <c r="L4571" t="s">
        <v>26</v>
      </c>
      <c r="O4571"/>
    </row>
    <row r="4572" spans="1:15" x14ac:dyDescent="0.3">
      <c r="A4572" t="s">
        <v>4596</v>
      </c>
      <c r="B4572" s="1">
        <v>45915</v>
      </c>
      <c r="C4572" t="s">
        <v>14</v>
      </c>
      <c r="D4572" t="s">
        <v>21</v>
      </c>
      <c r="E4572" s="2">
        <v>2.09</v>
      </c>
      <c r="F4572" s="3">
        <v>7.39</v>
      </c>
      <c r="G4572" s="4">
        <v>28.96</v>
      </c>
      <c r="H4572">
        <v>1.5</v>
      </c>
      <c r="I4572" s="4">
        <v>43.44</v>
      </c>
      <c r="J4572">
        <v>4.8</v>
      </c>
      <c r="K4572" t="s">
        <v>15</v>
      </c>
      <c r="L4572" t="s">
        <v>16</v>
      </c>
      <c r="O4572"/>
    </row>
    <row r="4573" spans="1:15" x14ac:dyDescent="0.3">
      <c r="A4573" t="s">
        <v>4597</v>
      </c>
      <c r="B4573" s="1">
        <v>45822</v>
      </c>
      <c r="C4573" t="s">
        <v>13</v>
      </c>
      <c r="D4573" t="s">
        <v>14</v>
      </c>
      <c r="E4573" s="2">
        <v>23.22</v>
      </c>
      <c r="F4573" s="3">
        <v>74.25</v>
      </c>
      <c r="G4573" s="4">
        <v>348.63</v>
      </c>
      <c r="H4573">
        <v>1.5</v>
      </c>
      <c r="I4573" s="4">
        <v>522.94000000000005</v>
      </c>
      <c r="J4573">
        <v>4.3</v>
      </c>
      <c r="K4573" t="s">
        <v>36</v>
      </c>
      <c r="L4573" t="s">
        <v>26</v>
      </c>
      <c r="O4573"/>
    </row>
    <row r="4574" spans="1:15" x14ac:dyDescent="0.3">
      <c r="A4574" t="s">
        <v>4598</v>
      </c>
      <c r="B4574" s="1">
        <v>45725</v>
      </c>
      <c r="C4574" t="s">
        <v>21</v>
      </c>
      <c r="D4574" t="s">
        <v>21</v>
      </c>
      <c r="E4574" s="2">
        <v>10.25</v>
      </c>
      <c r="F4574" s="3">
        <v>28.17</v>
      </c>
      <c r="G4574" s="4">
        <v>134.74</v>
      </c>
      <c r="H4574">
        <v>1.5</v>
      </c>
      <c r="I4574" s="4">
        <v>202.11</v>
      </c>
      <c r="J4574">
        <v>3.9</v>
      </c>
      <c r="K4574" t="s">
        <v>33</v>
      </c>
      <c r="L4574" t="s">
        <v>19</v>
      </c>
      <c r="O4574"/>
    </row>
    <row r="4575" spans="1:15" x14ac:dyDescent="0.3">
      <c r="A4575" t="s">
        <v>4599</v>
      </c>
      <c r="B4575" s="1">
        <v>46020</v>
      </c>
      <c r="C4575" t="s">
        <v>25</v>
      </c>
      <c r="D4575" t="s">
        <v>22</v>
      </c>
      <c r="E4575" s="2">
        <v>22.15</v>
      </c>
      <c r="F4575" s="3">
        <v>54.79</v>
      </c>
      <c r="G4575" s="4">
        <v>279.99</v>
      </c>
      <c r="H4575">
        <v>1.5</v>
      </c>
      <c r="I4575" s="4">
        <v>419.98</v>
      </c>
      <c r="J4575">
        <v>4.4000000000000004</v>
      </c>
      <c r="K4575" t="s">
        <v>36</v>
      </c>
      <c r="L4575" t="s">
        <v>28</v>
      </c>
      <c r="O4575"/>
    </row>
    <row r="4576" spans="1:15" x14ac:dyDescent="0.3">
      <c r="A4576" t="s">
        <v>4600</v>
      </c>
      <c r="B4576" s="1">
        <v>45692</v>
      </c>
      <c r="C4576" t="s">
        <v>22</v>
      </c>
      <c r="D4576" t="s">
        <v>21</v>
      </c>
      <c r="E4576" s="2">
        <v>11.12</v>
      </c>
      <c r="F4576" s="3">
        <v>31.25</v>
      </c>
      <c r="G4576" s="4">
        <v>190.05</v>
      </c>
      <c r="H4576">
        <v>2</v>
      </c>
      <c r="I4576" s="4">
        <v>380.1</v>
      </c>
      <c r="J4576">
        <v>4.7</v>
      </c>
      <c r="K4576" t="s">
        <v>18</v>
      </c>
      <c r="L4576" t="s">
        <v>16</v>
      </c>
      <c r="O4576"/>
    </row>
    <row r="4577" spans="1:15" x14ac:dyDescent="0.3">
      <c r="A4577" t="s">
        <v>4601</v>
      </c>
      <c r="B4577" s="1">
        <v>45820</v>
      </c>
      <c r="C4577" t="s">
        <v>21</v>
      </c>
      <c r="D4577" t="s">
        <v>14</v>
      </c>
      <c r="E4577" s="2">
        <v>2.82</v>
      </c>
      <c r="F4577" s="3">
        <v>6.74</v>
      </c>
      <c r="G4577" s="4">
        <v>48.93</v>
      </c>
      <c r="H4577">
        <v>1</v>
      </c>
      <c r="I4577" s="4">
        <v>48.93</v>
      </c>
      <c r="J4577">
        <v>4.5999999999999996</v>
      </c>
      <c r="K4577" t="s">
        <v>15</v>
      </c>
      <c r="L4577" t="s">
        <v>26</v>
      </c>
      <c r="O4577"/>
    </row>
    <row r="4578" spans="1:15" x14ac:dyDescent="0.3">
      <c r="A4578" t="s">
        <v>4602</v>
      </c>
      <c r="B4578" s="1">
        <v>45710</v>
      </c>
      <c r="C4578" t="s">
        <v>21</v>
      </c>
      <c r="D4578" t="s">
        <v>14</v>
      </c>
      <c r="E4578" s="2">
        <v>18.12</v>
      </c>
      <c r="F4578" s="3">
        <v>46.91</v>
      </c>
      <c r="G4578" s="4">
        <v>193.65</v>
      </c>
      <c r="H4578">
        <v>1.5</v>
      </c>
      <c r="I4578" s="4">
        <v>290.48</v>
      </c>
      <c r="J4578">
        <v>3.9</v>
      </c>
      <c r="K4578" t="s">
        <v>30</v>
      </c>
      <c r="L4578" t="s">
        <v>26</v>
      </c>
      <c r="O4578"/>
    </row>
    <row r="4579" spans="1:15" x14ac:dyDescent="0.3">
      <c r="A4579" t="s">
        <v>4603</v>
      </c>
      <c r="B4579" s="1">
        <v>46019</v>
      </c>
      <c r="C4579" t="s">
        <v>25</v>
      </c>
      <c r="D4579" t="s">
        <v>14</v>
      </c>
      <c r="E4579" s="2">
        <v>6.35</v>
      </c>
      <c r="F4579" s="3">
        <v>19.34</v>
      </c>
      <c r="G4579" s="4">
        <v>106.24</v>
      </c>
      <c r="H4579">
        <v>1.5</v>
      </c>
      <c r="I4579" s="4">
        <v>159.36000000000001</v>
      </c>
      <c r="J4579">
        <v>4.9000000000000004</v>
      </c>
      <c r="K4579" t="s">
        <v>30</v>
      </c>
      <c r="L4579" t="s">
        <v>26</v>
      </c>
      <c r="O4579"/>
    </row>
    <row r="4580" spans="1:15" x14ac:dyDescent="0.3">
      <c r="A4580" t="s">
        <v>4604</v>
      </c>
      <c r="B4580" s="1">
        <v>45698</v>
      </c>
      <c r="C4580" t="s">
        <v>21</v>
      </c>
      <c r="D4580" t="s">
        <v>21</v>
      </c>
      <c r="E4580" s="2">
        <v>7.19</v>
      </c>
      <c r="F4580" s="3">
        <v>14.62</v>
      </c>
      <c r="G4580" s="4">
        <v>124.01</v>
      </c>
      <c r="H4580">
        <v>2</v>
      </c>
      <c r="I4580" s="4">
        <v>248.02</v>
      </c>
      <c r="J4580">
        <v>3.7</v>
      </c>
      <c r="K4580" t="s">
        <v>15</v>
      </c>
      <c r="L4580" t="s">
        <v>28</v>
      </c>
      <c r="O4580"/>
    </row>
    <row r="4581" spans="1:15" x14ac:dyDescent="0.3">
      <c r="A4581" t="s">
        <v>4605</v>
      </c>
      <c r="B4581" s="1">
        <v>45888</v>
      </c>
      <c r="C4581" t="s">
        <v>25</v>
      </c>
      <c r="D4581" t="s">
        <v>14</v>
      </c>
      <c r="E4581" s="2">
        <v>4.91</v>
      </c>
      <c r="F4581" s="3">
        <v>13.97</v>
      </c>
      <c r="G4581" s="4">
        <v>53.57</v>
      </c>
      <c r="H4581">
        <v>1.5</v>
      </c>
      <c r="I4581" s="4">
        <v>80.36</v>
      </c>
      <c r="J4581">
        <v>3.9</v>
      </c>
      <c r="K4581" t="s">
        <v>33</v>
      </c>
      <c r="L4581" t="s">
        <v>28</v>
      </c>
      <c r="O4581"/>
    </row>
    <row r="4582" spans="1:15" x14ac:dyDescent="0.3">
      <c r="A4582" t="s">
        <v>4606</v>
      </c>
      <c r="B4582" s="1">
        <v>46009</v>
      </c>
      <c r="C4582" t="s">
        <v>14</v>
      </c>
      <c r="D4582" t="s">
        <v>14</v>
      </c>
      <c r="E4582" s="2">
        <v>2.97</v>
      </c>
      <c r="F4582" s="3">
        <v>8.23</v>
      </c>
      <c r="G4582" s="4">
        <v>38.479999999999997</v>
      </c>
      <c r="H4582">
        <v>2</v>
      </c>
      <c r="I4582" s="4">
        <v>76.959999999999994</v>
      </c>
      <c r="J4582">
        <v>4.0999999999999996</v>
      </c>
      <c r="K4582" t="s">
        <v>33</v>
      </c>
      <c r="L4582" t="s">
        <v>19</v>
      </c>
      <c r="O4582"/>
    </row>
    <row r="4583" spans="1:15" x14ac:dyDescent="0.3">
      <c r="A4583" t="s">
        <v>4607</v>
      </c>
      <c r="B4583" s="1">
        <v>45680</v>
      </c>
      <c r="C4583" t="s">
        <v>21</v>
      </c>
      <c r="D4583" t="s">
        <v>13</v>
      </c>
      <c r="E4583" s="2">
        <v>22.05</v>
      </c>
      <c r="F4583" s="3">
        <v>74.239999999999995</v>
      </c>
      <c r="G4583" s="4">
        <v>357.01</v>
      </c>
      <c r="H4583">
        <v>1</v>
      </c>
      <c r="I4583" s="4">
        <v>357.01</v>
      </c>
      <c r="J4583">
        <v>3.1</v>
      </c>
      <c r="K4583" t="s">
        <v>36</v>
      </c>
      <c r="L4583" t="s">
        <v>26</v>
      </c>
      <c r="O4583"/>
    </row>
    <row r="4584" spans="1:15" x14ac:dyDescent="0.3">
      <c r="A4584" t="s">
        <v>4608</v>
      </c>
      <c r="B4584" s="1">
        <v>45973</v>
      </c>
      <c r="C4584" t="s">
        <v>22</v>
      </c>
      <c r="D4584" t="s">
        <v>21</v>
      </c>
      <c r="E4584" s="2">
        <v>1.56</v>
      </c>
      <c r="F4584" s="3">
        <v>4.24</v>
      </c>
      <c r="G4584" s="4">
        <v>19.64</v>
      </c>
      <c r="H4584">
        <v>1</v>
      </c>
      <c r="I4584" s="4">
        <v>19.64</v>
      </c>
      <c r="J4584">
        <v>3.7</v>
      </c>
      <c r="K4584" t="s">
        <v>36</v>
      </c>
      <c r="L4584" t="s">
        <v>26</v>
      </c>
      <c r="O4584"/>
    </row>
    <row r="4585" spans="1:15" x14ac:dyDescent="0.3">
      <c r="A4585" t="s">
        <v>4609</v>
      </c>
      <c r="B4585" s="1">
        <v>45765</v>
      </c>
      <c r="C4585" t="s">
        <v>22</v>
      </c>
      <c r="D4585" t="s">
        <v>14</v>
      </c>
      <c r="E4585" s="2">
        <v>11.88</v>
      </c>
      <c r="F4585" s="3">
        <v>40.99</v>
      </c>
      <c r="G4585" s="4">
        <v>175.93</v>
      </c>
      <c r="H4585">
        <v>1.5</v>
      </c>
      <c r="I4585" s="4">
        <v>263.89999999999998</v>
      </c>
      <c r="J4585">
        <v>3.9</v>
      </c>
      <c r="K4585" t="s">
        <v>33</v>
      </c>
      <c r="L4585" t="s">
        <v>19</v>
      </c>
      <c r="O4585"/>
    </row>
    <row r="4586" spans="1:15" x14ac:dyDescent="0.3">
      <c r="A4586" t="s">
        <v>4610</v>
      </c>
      <c r="B4586" s="1">
        <v>45851</v>
      </c>
      <c r="C4586" t="s">
        <v>21</v>
      </c>
      <c r="D4586" t="s">
        <v>21</v>
      </c>
      <c r="E4586" s="2">
        <v>29.69</v>
      </c>
      <c r="F4586" s="3">
        <v>112.83</v>
      </c>
      <c r="G4586" s="4">
        <v>381.98</v>
      </c>
      <c r="H4586">
        <v>2</v>
      </c>
      <c r="I4586" s="4">
        <v>763.96</v>
      </c>
      <c r="J4586">
        <v>4.3</v>
      </c>
      <c r="K4586" t="s">
        <v>36</v>
      </c>
      <c r="L4586" t="s">
        <v>16</v>
      </c>
      <c r="O4586"/>
    </row>
    <row r="4587" spans="1:15" x14ac:dyDescent="0.3">
      <c r="A4587" t="s">
        <v>4611</v>
      </c>
      <c r="B4587" s="1">
        <v>45686</v>
      </c>
      <c r="C4587" t="s">
        <v>13</v>
      </c>
      <c r="D4587" t="s">
        <v>14</v>
      </c>
      <c r="E4587" s="2">
        <v>27.99</v>
      </c>
      <c r="F4587" s="3">
        <v>94.67</v>
      </c>
      <c r="G4587" s="4">
        <v>468.69</v>
      </c>
      <c r="H4587">
        <v>1.5</v>
      </c>
      <c r="I4587" s="4">
        <v>703.04</v>
      </c>
      <c r="J4587">
        <v>3.2</v>
      </c>
      <c r="K4587" t="s">
        <v>30</v>
      </c>
      <c r="L4587" t="s">
        <v>28</v>
      </c>
      <c r="O4587"/>
    </row>
    <row r="4588" spans="1:15" x14ac:dyDescent="0.3">
      <c r="A4588" t="s">
        <v>4612</v>
      </c>
      <c r="B4588" s="1">
        <v>45902</v>
      </c>
      <c r="C4588" t="s">
        <v>13</v>
      </c>
      <c r="D4588" t="s">
        <v>22</v>
      </c>
      <c r="E4588" s="2">
        <v>6.81</v>
      </c>
      <c r="F4588" s="3">
        <v>18.03</v>
      </c>
      <c r="G4588" s="4">
        <v>134.76</v>
      </c>
      <c r="H4588">
        <v>2</v>
      </c>
      <c r="I4588" s="4">
        <v>269.52</v>
      </c>
      <c r="J4588">
        <v>4</v>
      </c>
      <c r="K4588" t="s">
        <v>33</v>
      </c>
      <c r="L4588" t="s">
        <v>28</v>
      </c>
      <c r="O4588"/>
    </row>
    <row r="4589" spans="1:15" x14ac:dyDescent="0.3">
      <c r="A4589" t="s">
        <v>4613</v>
      </c>
      <c r="B4589" s="1">
        <v>45812</v>
      </c>
      <c r="C4589" t="s">
        <v>14</v>
      </c>
      <c r="D4589" t="s">
        <v>22</v>
      </c>
      <c r="E4589" s="2">
        <v>6.02</v>
      </c>
      <c r="F4589" s="3">
        <v>12.13</v>
      </c>
      <c r="G4589" s="4">
        <v>90.39</v>
      </c>
      <c r="H4589">
        <v>1.5</v>
      </c>
      <c r="I4589" s="4">
        <v>135.58000000000001</v>
      </c>
      <c r="J4589">
        <v>3.2</v>
      </c>
      <c r="K4589" t="s">
        <v>36</v>
      </c>
      <c r="L4589" t="s">
        <v>26</v>
      </c>
      <c r="O4589"/>
    </row>
    <row r="4590" spans="1:15" x14ac:dyDescent="0.3">
      <c r="A4590" t="s">
        <v>4614</v>
      </c>
      <c r="B4590" s="1">
        <v>46003</v>
      </c>
      <c r="C4590" t="s">
        <v>22</v>
      </c>
      <c r="D4590" t="s">
        <v>21</v>
      </c>
      <c r="E4590" s="2">
        <v>6.91</v>
      </c>
      <c r="F4590" s="3">
        <v>16.47</v>
      </c>
      <c r="G4590" s="4">
        <v>71.319999999999993</v>
      </c>
      <c r="H4590">
        <v>1</v>
      </c>
      <c r="I4590" s="4">
        <v>71.319999999999993</v>
      </c>
      <c r="J4590">
        <v>4.0999999999999996</v>
      </c>
      <c r="K4590" t="s">
        <v>15</v>
      </c>
      <c r="L4590" t="s">
        <v>26</v>
      </c>
      <c r="O4590"/>
    </row>
    <row r="4591" spans="1:15" x14ac:dyDescent="0.3">
      <c r="A4591" t="s">
        <v>4615</v>
      </c>
      <c r="B4591" s="1">
        <v>45871</v>
      </c>
      <c r="C4591" t="s">
        <v>22</v>
      </c>
      <c r="D4591" t="s">
        <v>21</v>
      </c>
      <c r="E4591" s="2">
        <v>21.65</v>
      </c>
      <c r="F4591" s="3">
        <v>75.040000000000006</v>
      </c>
      <c r="G4591" s="4">
        <v>221.04</v>
      </c>
      <c r="H4591">
        <v>1</v>
      </c>
      <c r="I4591" s="4">
        <v>221.04</v>
      </c>
      <c r="J4591">
        <v>4.7</v>
      </c>
      <c r="K4591" t="s">
        <v>15</v>
      </c>
      <c r="L4591" t="s">
        <v>16</v>
      </c>
      <c r="O4591"/>
    </row>
    <row r="4592" spans="1:15" x14ac:dyDescent="0.3">
      <c r="A4592" t="s">
        <v>4616</v>
      </c>
      <c r="B4592" s="1">
        <v>45787</v>
      </c>
      <c r="C4592" t="s">
        <v>25</v>
      </c>
      <c r="D4592" t="s">
        <v>22</v>
      </c>
      <c r="E4592" s="2">
        <v>11.08</v>
      </c>
      <c r="F4592" s="3">
        <v>27.78</v>
      </c>
      <c r="G4592" s="4">
        <v>137.76</v>
      </c>
      <c r="H4592">
        <v>1.2</v>
      </c>
      <c r="I4592" s="4">
        <v>165.31</v>
      </c>
      <c r="J4592">
        <v>4.7</v>
      </c>
      <c r="K4592" t="s">
        <v>36</v>
      </c>
      <c r="L4592" t="s">
        <v>16</v>
      </c>
      <c r="O4592"/>
    </row>
    <row r="4593" spans="1:15" x14ac:dyDescent="0.3">
      <c r="A4593" t="s">
        <v>4617</v>
      </c>
      <c r="B4593" s="1">
        <v>46008</v>
      </c>
      <c r="C4593" t="s">
        <v>21</v>
      </c>
      <c r="D4593" t="s">
        <v>22</v>
      </c>
      <c r="E4593" s="2">
        <v>3.51</v>
      </c>
      <c r="F4593" s="3">
        <v>9.07</v>
      </c>
      <c r="G4593" s="4">
        <v>36.700000000000003</v>
      </c>
      <c r="H4593">
        <v>1.5</v>
      </c>
      <c r="I4593" s="4">
        <v>55.05</v>
      </c>
      <c r="J4593">
        <v>3.2</v>
      </c>
      <c r="K4593" t="s">
        <v>15</v>
      </c>
      <c r="L4593" t="s">
        <v>19</v>
      </c>
      <c r="O4593"/>
    </row>
    <row r="4594" spans="1:15" x14ac:dyDescent="0.3">
      <c r="A4594" t="s">
        <v>4618</v>
      </c>
      <c r="B4594" s="1">
        <v>45979</v>
      </c>
      <c r="C4594" t="s">
        <v>21</v>
      </c>
      <c r="D4594" t="s">
        <v>21</v>
      </c>
      <c r="E4594" s="2">
        <v>9.94</v>
      </c>
      <c r="F4594" s="3">
        <v>31.28</v>
      </c>
      <c r="G4594" s="4">
        <v>140.11000000000001</v>
      </c>
      <c r="H4594">
        <v>1.2</v>
      </c>
      <c r="I4594" s="4">
        <v>168.13</v>
      </c>
      <c r="J4594">
        <v>3.7</v>
      </c>
      <c r="K4594" t="s">
        <v>33</v>
      </c>
      <c r="L4594" t="s">
        <v>19</v>
      </c>
      <c r="O4594"/>
    </row>
    <row r="4595" spans="1:15" x14ac:dyDescent="0.3">
      <c r="A4595" t="s">
        <v>4619</v>
      </c>
      <c r="B4595" s="1">
        <v>45829</v>
      </c>
      <c r="C4595" t="s">
        <v>22</v>
      </c>
      <c r="D4595" t="s">
        <v>22</v>
      </c>
      <c r="E4595" s="2">
        <v>24.14</v>
      </c>
      <c r="F4595" s="3">
        <v>95.3</v>
      </c>
      <c r="G4595" s="4">
        <v>325.42</v>
      </c>
      <c r="H4595">
        <v>2</v>
      </c>
      <c r="I4595" s="4">
        <v>650.84</v>
      </c>
      <c r="J4595">
        <v>4.8</v>
      </c>
      <c r="K4595" t="s">
        <v>18</v>
      </c>
      <c r="L4595" t="s">
        <v>26</v>
      </c>
      <c r="O4595"/>
    </row>
    <row r="4596" spans="1:15" x14ac:dyDescent="0.3">
      <c r="A4596" t="s">
        <v>4620</v>
      </c>
      <c r="B4596" s="1">
        <v>45788</v>
      </c>
      <c r="C4596" t="s">
        <v>25</v>
      </c>
      <c r="D4596" t="s">
        <v>25</v>
      </c>
      <c r="E4596" s="2">
        <v>23.02</v>
      </c>
      <c r="F4596" s="3">
        <v>71.47</v>
      </c>
      <c r="G4596" s="4">
        <v>410.58</v>
      </c>
      <c r="H4596">
        <v>1</v>
      </c>
      <c r="I4596" s="4">
        <v>410.58</v>
      </c>
      <c r="J4596">
        <v>3</v>
      </c>
      <c r="K4596" t="s">
        <v>30</v>
      </c>
      <c r="L4596" t="s">
        <v>19</v>
      </c>
      <c r="O4596"/>
    </row>
    <row r="4597" spans="1:15" x14ac:dyDescent="0.3">
      <c r="A4597" t="s">
        <v>4621</v>
      </c>
      <c r="B4597" s="1">
        <v>45891</v>
      </c>
      <c r="C4597" t="s">
        <v>21</v>
      </c>
      <c r="D4597" t="s">
        <v>13</v>
      </c>
      <c r="E4597" s="2">
        <v>28.85</v>
      </c>
      <c r="F4597" s="3">
        <v>82.57</v>
      </c>
      <c r="G4597" s="4">
        <v>393.92</v>
      </c>
      <c r="H4597">
        <v>1.2</v>
      </c>
      <c r="I4597" s="4">
        <v>472.7</v>
      </c>
      <c r="J4597">
        <v>4</v>
      </c>
      <c r="K4597" t="s">
        <v>33</v>
      </c>
      <c r="L4597" t="s">
        <v>28</v>
      </c>
      <c r="O4597"/>
    </row>
    <row r="4598" spans="1:15" x14ac:dyDescent="0.3">
      <c r="A4598" t="s">
        <v>4622</v>
      </c>
      <c r="B4598" s="1">
        <v>45832</v>
      </c>
      <c r="C4598" t="s">
        <v>22</v>
      </c>
      <c r="D4598" t="s">
        <v>25</v>
      </c>
      <c r="E4598" s="2">
        <v>19.149999999999999</v>
      </c>
      <c r="F4598" s="3">
        <v>66.42</v>
      </c>
      <c r="G4598" s="4">
        <v>341.82</v>
      </c>
      <c r="H4598">
        <v>1.2</v>
      </c>
      <c r="I4598" s="4">
        <v>410.18</v>
      </c>
      <c r="J4598">
        <v>4.2</v>
      </c>
      <c r="K4598" t="s">
        <v>36</v>
      </c>
      <c r="L4598" t="s">
        <v>19</v>
      </c>
      <c r="O4598"/>
    </row>
    <row r="4599" spans="1:15" x14ac:dyDescent="0.3">
      <c r="A4599" t="s">
        <v>4623</v>
      </c>
      <c r="B4599" s="1">
        <v>45886</v>
      </c>
      <c r="C4599" t="s">
        <v>13</v>
      </c>
      <c r="D4599" t="s">
        <v>13</v>
      </c>
      <c r="E4599" s="2">
        <v>21.62</v>
      </c>
      <c r="F4599" s="3">
        <v>61.69</v>
      </c>
      <c r="G4599" s="4">
        <v>312.75</v>
      </c>
      <c r="H4599">
        <v>1</v>
      </c>
      <c r="I4599" s="4">
        <v>312.75</v>
      </c>
      <c r="J4599">
        <v>3.4</v>
      </c>
      <c r="K4599" t="s">
        <v>15</v>
      </c>
      <c r="L4599" t="s">
        <v>16</v>
      </c>
      <c r="O4599"/>
    </row>
    <row r="4600" spans="1:15" x14ac:dyDescent="0.3">
      <c r="A4600" t="s">
        <v>4624</v>
      </c>
      <c r="B4600" s="1">
        <v>45971</v>
      </c>
      <c r="C4600" t="s">
        <v>25</v>
      </c>
      <c r="D4600" t="s">
        <v>21</v>
      </c>
      <c r="E4600" s="2">
        <v>15.97</v>
      </c>
      <c r="F4600" s="3">
        <v>41.25</v>
      </c>
      <c r="G4600" s="4">
        <v>293.67</v>
      </c>
      <c r="H4600">
        <v>1.2</v>
      </c>
      <c r="I4600" s="4">
        <v>352.4</v>
      </c>
      <c r="J4600">
        <v>4.0999999999999996</v>
      </c>
      <c r="K4600" t="s">
        <v>30</v>
      </c>
      <c r="L4600" t="s">
        <v>28</v>
      </c>
      <c r="O4600"/>
    </row>
    <row r="4601" spans="1:15" x14ac:dyDescent="0.3">
      <c r="A4601" t="s">
        <v>4625</v>
      </c>
      <c r="B4601" s="1">
        <v>45731</v>
      </c>
      <c r="C4601" t="s">
        <v>14</v>
      </c>
      <c r="D4601" t="s">
        <v>14</v>
      </c>
      <c r="E4601" s="2">
        <v>27.7</v>
      </c>
      <c r="F4601" s="3">
        <v>101.06</v>
      </c>
      <c r="G4601" s="4">
        <v>295.11</v>
      </c>
      <c r="H4601">
        <v>2</v>
      </c>
      <c r="I4601" s="4">
        <v>590.22</v>
      </c>
      <c r="J4601">
        <v>5</v>
      </c>
      <c r="K4601" t="s">
        <v>30</v>
      </c>
      <c r="L4601" t="s">
        <v>16</v>
      </c>
      <c r="O4601"/>
    </row>
    <row r="4602" spans="1:15" x14ac:dyDescent="0.3">
      <c r="A4602" t="s">
        <v>4626</v>
      </c>
      <c r="B4602" s="1">
        <v>45852</v>
      </c>
      <c r="C4602" t="s">
        <v>13</v>
      </c>
      <c r="D4602" t="s">
        <v>22</v>
      </c>
      <c r="E4602" s="2">
        <v>7.19</v>
      </c>
      <c r="F4602" s="3">
        <v>27.45</v>
      </c>
      <c r="G4602" s="4">
        <v>135.9</v>
      </c>
      <c r="H4602">
        <v>2</v>
      </c>
      <c r="I4602" s="4">
        <v>271.8</v>
      </c>
      <c r="J4602">
        <v>4.5</v>
      </c>
      <c r="K4602" t="s">
        <v>18</v>
      </c>
      <c r="L4602" t="s">
        <v>28</v>
      </c>
      <c r="O4602"/>
    </row>
    <row r="4603" spans="1:15" x14ac:dyDescent="0.3">
      <c r="A4603" t="s">
        <v>4627</v>
      </c>
      <c r="B4603" s="1">
        <v>45831</v>
      </c>
      <c r="C4603" t="s">
        <v>22</v>
      </c>
      <c r="D4603" t="s">
        <v>13</v>
      </c>
      <c r="E4603" s="2">
        <v>1.39</v>
      </c>
      <c r="F4603" s="3">
        <v>4</v>
      </c>
      <c r="G4603" s="4">
        <v>14.46</v>
      </c>
      <c r="H4603">
        <v>2</v>
      </c>
      <c r="I4603" s="4">
        <v>28.92</v>
      </c>
      <c r="J4603">
        <v>4.2</v>
      </c>
      <c r="K4603" t="s">
        <v>18</v>
      </c>
      <c r="L4603" t="s">
        <v>19</v>
      </c>
      <c r="O4603"/>
    </row>
    <row r="4604" spans="1:15" x14ac:dyDescent="0.3">
      <c r="A4604" t="s">
        <v>4628</v>
      </c>
      <c r="B4604" s="1">
        <v>46009</v>
      </c>
      <c r="C4604" t="s">
        <v>25</v>
      </c>
      <c r="D4604" t="s">
        <v>22</v>
      </c>
      <c r="E4604" s="2">
        <v>9.9600000000000009</v>
      </c>
      <c r="F4604" s="3">
        <v>24.05</v>
      </c>
      <c r="G4604" s="4">
        <v>140.34</v>
      </c>
      <c r="H4604">
        <v>2</v>
      </c>
      <c r="I4604" s="4">
        <v>280.68</v>
      </c>
      <c r="J4604">
        <v>3.9</v>
      </c>
      <c r="K4604" t="s">
        <v>36</v>
      </c>
      <c r="L4604" t="s">
        <v>28</v>
      </c>
      <c r="O4604"/>
    </row>
    <row r="4605" spans="1:15" x14ac:dyDescent="0.3">
      <c r="A4605" t="s">
        <v>4629</v>
      </c>
      <c r="B4605" s="1">
        <v>45799</v>
      </c>
      <c r="C4605" t="s">
        <v>14</v>
      </c>
      <c r="D4605" t="s">
        <v>21</v>
      </c>
      <c r="E4605" s="2">
        <v>5.48</v>
      </c>
      <c r="F4605" s="3">
        <v>20.97</v>
      </c>
      <c r="G4605" s="4">
        <v>78.28</v>
      </c>
      <c r="H4605">
        <v>1</v>
      </c>
      <c r="I4605" s="4">
        <v>78.28</v>
      </c>
      <c r="J4605">
        <v>4.8</v>
      </c>
      <c r="K4605" t="s">
        <v>30</v>
      </c>
      <c r="L4605" t="s">
        <v>26</v>
      </c>
      <c r="O4605"/>
    </row>
    <row r="4606" spans="1:15" x14ac:dyDescent="0.3">
      <c r="A4606" t="s">
        <v>4630</v>
      </c>
      <c r="B4606" s="1">
        <v>45995</v>
      </c>
      <c r="C4606" t="s">
        <v>22</v>
      </c>
      <c r="D4606" t="s">
        <v>22</v>
      </c>
      <c r="E4606" s="2">
        <v>23.05</v>
      </c>
      <c r="F4606" s="3">
        <v>76.3</v>
      </c>
      <c r="G4606" s="4">
        <v>284.04000000000002</v>
      </c>
      <c r="H4606">
        <v>2</v>
      </c>
      <c r="I4606" s="4">
        <v>568.08000000000004</v>
      </c>
      <c r="J4606">
        <v>4.8</v>
      </c>
      <c r="K4606" t="s">
        <v>15</v>
      </c>
      <c r="L4606" t="s">
        <v>26</v>
      </c>
      <c r="O4606"/>
    </row>
    <row r="4607" spans="1:15" x14ac:dyDescent="0.3">
      <c r="A4607" t="s">
        <v>4631</v>
      </c>
      <c r="B4607" s="1">
        <v>45776</v>
      </c>
      <c r="C4607" t="s">
        <v>22</v>
      </c>
      <c r="D4607" t="s">
        <v>14</v>
      </c>
      <c r="E4607" s="2">
        <v>25.91</v>
      </c>
      <c r="F4607" s="3">
        <v>69.08</v>
      </c>
      <c r="G4607" s="4">
        <v>397.97</v>
      </c>
      <c r="H4607">
        <v>1.5</v>
      </c>
      <c r="I4607" s="4">
        <v>596.96</v>
      </c>
      <c r="J4607">
        <v>3.2</v>
      </c>
      <c r="K4607" t="s">
        <v>18</v>
      </c>
      <c r="L4607" t="s">
        <v>16</v>
      </c>
      <c r="O4607"/>
    </row>
    <row r="4608" spans="1:15" x14ac:dyDescent="0.3">
      <c r="A4608" t="s">
        <v>4632</v>
      </c>
      <c r="B4608" s="1">
        <v>45860</v>
      </c>
      <c r="C4608" t="s">
        <v>22</v>
      </c>
      <c r="D4608" t="s">
        <v>25</v>
      </c>
      <c r="E4608" s="2">
        <v>18.05</v>
      </c>
      <c r="F4608" s="3">
        <v>64.430000000000007</v>
      </c>
      <c r="G4608" s="4">
        <v>182.62</v>
      </c>
      <c r="H4608">
        <v>2</v>
      </c>
      <c r="I4608" s="4">
        <v>365.24</v>
      </c>
      <c r="J4608">
        <v>4.8</v>
      </c>
      <c r="K4608" t="s">
        <v>18</v>
      </c>
      <c r="L4608" t="s">
        <v>26</v>
      </c>
      <c r="O4608"/>
    </row>
    <row r="4609" spans="1:15" x14ac:dyDescent="0.3">
      <c r="A4609" t="s">
        <v>4633</v>
      </c>
      <c r="B4609" s="1">
        <v>45981</v>
      </c>
      <c r="C4609" t="s">
        <v>22</v>
      </c>
      <c r="D4609" t="s">
        <v>25</v>
      </c>
      <c r="E4609" s="2">
        <v>6.31</v>
      </c>
      <c r="F4609" s="3">
        <v>22.37</v>
      </c>
      <c r="G4609" s="4">
        <v>79.2</v>
      </c>
      <c r="H4609">
        <v>2</v>
      </c>
      <c r="I4609" s="4">
        <v>158.4</v>
      </c>
      <c r="J4609">
        <v>3.4</v>
      </c>
      <c r="K4609" t="s">
        <v>33</v>
      </c>
      <c r="L4609" t="s">
        <v>28</v>
      </c>
      <c r="O4609"/>
    </row>
    <row r="4610" spans="1:15" x14ac:dyDescent="0.3">
      <c r="A4610" t="s">
        <v>4634</v>
      </c>
      <c r="B4610" s="1">
        <v>45706</v>
      </c>
      <c r="C4610" t="s">
        <v>13</v>
      </c>
      <c r="D4610" t="s">
        <v>22</v>
      </c>
      <c r="E4610" s="2">
        <v>12.38</v>
      </c>
      <c r="F4610" s="3">
        <v>46.4</v>
      </c>
      <c r="G4610" s="4">
        <v>200.36</v>
      </c>
      <c r="H4610">
        <v>2</v>
      </c>
      <c r="I4610" s="4">
        <v>400.72</v>
      </c>
      <c r="J4610">
        <v>3.7</v>
      </c>
      <c r="K4610" t="s">
        <v>30</v>
      </c>
      <c r="L4610" t="s">
        <v>28</v>
      </c>
      <c r="O4610"/>
    </row>
    <row r="4611" spans="1:15" x14ac:dyDescent="0.3">
      <c r="A4611" t="s">
        <v>4635</v>
      </c>
      <c r="B4611" s="1">
        <v>45881</v>
      </c>
      <c r="C4611" t="s">
        <v>13</v>
      </c>
      <c r="D4611" t="s">
        <v>13</v>
      </c>
      <c r="E4611" s="2">
        <v>28.66</v>
      </c>
      <c r="F4611" s="3">
        <v>63.81</v>
      </c>
      <c r="G4611" s="4">
        <v>346.13</v>
      </c>
      <c r="H4611">
        <v>1</v>
      </c>
      <c r="I4611" s="4">
        <v>346.13</v>
      </c>
      <c r="J4611">
        <v>3.3</v>
      </c>
      <c r="K4611" t="s">
        <v>36</v>
      </c>
      <c r="L4611" t="s">
        <v>26</v>
      </c>
      <c r="O4611"/>
    </row>
    <row r="4612" spans="1:15" x14ac:dyDescent="0.3">
      <c r="A4612" t="s">
        <v>4636</v>
      </c>
      <c r="B4612" s="1">
        <v>45836</v>
      </c>
      <c r="C4612" t="s">
        <v>13</v>
      </c>
      <c r="D4612" t="s">
        <v>25</v>
      </c>
      <c r="E4612" s="2">
        <v>6.14</v>
      </c>
      <c r="F4612" s="3">
        <v>14.06</v>
      </c>
      <c r="G4612" s="4">
        <v>87.25</v>
      </c>
      <c r="H4612">
        <v>1.2</v>
      </c>
      <c r="I4612" s="4">
        <v>104.7</v>
      </c>
      <c r="J4612">
        <v>3.5</v>
      </c>
      <c r="K4612" t="s">
        <v>36</v>
      </c>
      <c r="L4612" t="s">
        <v>16</v>
      </c>
      <c r="O4612"/>
    </row>
    <row r="4613" spans="1:15" x14ac:dyDescent="0.3">
      <c r="A4613" t="s">
        <v>4637</v>
      </c>
      <c r="B4613" s="1">
        <v>46021</v>
      </c>
      <c r="C4613" t="s">
        <v>14</v>
      </c>
      <c r="D4613" t="s">
        <v>14</v>
      </c>
      <c r="E4613" s="2">
        <v>3.25</v>
      </c>
      <c r="F4613" s="3">
        <v>6.88</v>
      </c>
      <c r="G4613" s="4">
        <v>48.27</v>
      </c>
      <c r="H4613">
        <v>1</v>
      </c>
      <c r="I4613" s="4">
        <v>48.27</v>
      </c>
      <c r="J4613">
        <v>3.4</v>
      </c>
      <c r="K4613" t="s">
        <v>30</v>
      </c>
      <c r="L4613" t="s">
        <v>19</v>
      </c>
      <c r="O4613"/>
    </row>
    <row r="4614" spans="1:15" x14ac:dyDescent="0.3">
      <c r="A4614" t="s">
        <v>4638</v>
      </c>
      <c r="B4614" s="1">
        <v>45742</v>
      </c>
      <c r="C4614" t="s">
        <v>25</v>
      </c>
      <c r="D4614" t="s">
        <v>25</v>
      </c>
      <c r="E4614" s="2">
        <v>29.94</v>
      </c>
      <c r="F4614" s="3">
        <v>91.73</v>
      </c>
      <c r="G4614" s="4">
        <v>411.75</v>
      </c>
      <c r="H4614">
        <v>1</v>
      </c>
      <c r="I4614" s="4">
        <v>411.75</v>
      </c>
      <c r="J4614">
        <v>4.4000000000000004</v>
      </c>
      <c r="K4614" t="s">
        <v>30</v>
      </c>
      <c r="L4614" t="s">
        <v>16</v>
      </c>
      <c r="O4614"/>
    </row>
    <row r="4615" spans="1:15" x14ac:dyDescent="0.3">
      <c r="A4615" t="s">
        <v>4639</v>
      </c>
      <c r="B4615" s="1">
        <v>45860</v>
      </c>
      <c r="C4615" t="s">
        <v>14</v>
      </c>
      <c r="D4615" t="s">
        <v>13</v>
      </c>
      <c r="E4615" s="2">
        <v>15.85</v>
      </c>
      <c r="F4615" s="3">
        <v>45.61</v>
      </c>
      <c r="G4615" s="4">
        <v>201.42</v>
      </c>
      <c r="H4615">
        <v>2</v>
      </c>
      <c r="I4615" s="4">
        <v>402.84</v>
      </c>
      <c r="J4615">
        <v>4.4000000000000004</v>
      </c>
      <c r="K4615" t="s">
        <v>18</v>
      </c>
      <c r="L4615" t="s">
        <v>16</v>
      </c>
      <c r="O4615"/>
    </row>
    <row r="4616" spans="1:15" x14ac:dyDescent="0.3">
      <c r="A4616" t="s">
        <v>4640</v>
      </c>
      <c r="B4616" s="1">
        <v>45900</v>
      </c>
      <c r="C4616" t="s">
        <v>21</v>
      </c>
      <c r="D4616" t="s">
        <v>14</v>
      </c>
      <c r="E4616" s="2">
        <v>15.75</v>
      </c>
      <c r="F4616" s="3">
        <v>33.340000000000003</v>
      </c>
      <c r="G4616" s="4">
        <v>181.71</v>
      </c>
      <c r="H4616">
        <v>1.5</v>
      </c>
      <c r="I4616" s="4">
        <v>272.56</v>
      </c>
      <c r="J4616">
        <v>3.6</v>
      </c>
      <c r="K4616" t="s">
        <v>30</v>
      </c>
      <c r="L4616" t="s">
        <v>26</v>
      </c>
      <c r="O4616"/>
    </row>
    <row r="4617" spans="1:15" x14ac:dyDescent="0.3">
      <c r="A4617" t="s">
        <v>4641</v>
      </c>
      <c r="B4617" s="1">
        <v>45956</v>
      </c>
      <c r="C4617" t="s">
        <v>22</v>
      </c>
      <c r="D4617" t="s">
        <v>13</v>
      </c>
      <c r="E4617" s="2">
        <v>2.84</v>
      </c>
      <c r="F4617" s="3">
        <v>9.6199999999999992</v>
      </c>
      <c r="G4617" s="4">
        <v>30.16</v>
      </c>
      <c r="H4617">
        <v>1</v>
      </c>
      <c r="I4617" s="4">
        <v>30.16</v>
      </c>
      <c r="J4617">
        <v>3.1</v>
      </c>
      <c r="K4617" t="s">
        <v>15</v>
      </c>
      <c r="L4617" t="s">
        <v>19</v>
      </c>
      <c r="O4617"/>
    </row>
    <row r="4618" spans="1:15" x14ac:dyDescent="0.3">
      <c r="A4618" t="s">
        <v>4642</v>
      </c>
      <c r="B4618" s="1">
        <v>45695</v>
      </c>
      <c r="C4618" t="s">
        <v>14</v>
      </c>
      <c r="D4618" t="s">
        <v>25</v>
      </c>
      <c r="E4618" s="2">
        <v>19.88</v>
      </c>
      <c r="F4618" s="3">
        <v>68.87</v>
      </c>
      <c r="G4618" s="4">
        <v>216.29</v>
      </c>
      <c r="H4618">
        <v>1.2</v>
      </c>
      <c r="I4618" s="4">
        <v>259.55</v>
      </c>
      <c r="J4618">
        <v>4</v>
      </c>
      <c r="K4618" t="s">
        <v>15</v>
      </c>
      <c r="L4618" t="s">
        <v>26</v>
      </c>
      <c r="O4618"/>
    </row>
    <row r="4619" spans="1:15" x14ac:dyDescent="0.3">
      <c r="A4619" t="s">
        <v>4643</v>
      </c>
      <c r="B4619" s="1">
        <v>45933</v>
      </c>
      <c r="C4619" t="s">
        <v>21</v>
      </c>
      <c r="D4619" t="s">
        <v>13</v>
      </c>
      <c r="E4619" s="2">
        <v>28.34</v>
      </c>
      <c r="F4619" s="3">
        <v>85.18</v>
      </c>
      <c r="G4619" s="4">
        <v>557.57000000000005</v>
      </c>
      <c r="H4619">
        <v>1.2</v>
      </c>
      <c r="I4619" s="4">
        <v>669.08</v>
      </c>
      <c r="J4619">
        <v>3.8</v>
      </c>
      <c r="K4619" t="s">
        <v>36</v>
      </c>
      <c r="L4619" t="s">
        <v>26</v>
      </c>
      <c r="O4619"/>
    </row>
    <row r="4620" spans="1:15" x14ac:dyDescent="0.3">
      <c r="A4620" t="s">
        <v>4644</v>
      </c>
      <c r="B4620" s="1">
        <v>45965</v>
      </c>
      <c r="C4620" t="s">
        <v>21</v>
      </c>
      <c r="D4620" t="s">
        <v>14</v>
      </c>
      <c r="E4620" s="2">
        <v>19.84</v>
      </c>
      <c r="F4620" s="3">
        <v>62.75</v>
      </c>
      <c r="G4620" s="4">
        <v>377.23</v>
      </c>
      <c r="H4620">
        <v>1.2</v>
      </c>
      <c r="I4620" s="4">
        <v>452.68</v>
      </c>
      <c r="J4620">
        <v>3.5</v>
      </c>
      <c r="K4620" t="s">
        <v>15</v>
      </c>
      <c r="L4620" t="s">
        <v>19</v>
      </c>
      <c r="O4620"/>
    </row>
    <row r="4621" spans="1:15" x14ac:dyDescent="0.3">
      <c r="A4621" t="s">
        <v>4645</v>
      </c>
      <c r="B4621" s="1">
        <v>45989</v>
      </c>
      <c r="C4621" t="s">
        <v>13</v>
      </c>
      <c r="D4621" t="s">
        <v>14</v>
      </c>
      <c r="E4621" s="2">
        <v>19.11</v>
      </c>
      <c r="F4621" s="3">
        <v>40.74</v>
      </c>
      <c r="G4621" s="4">
        <v>314.35000000000002</v>
      </c>
      <c r="H4621">
        <v>1.5</v>
      </c>
      <c r="I4621" s="4">
        <v>471.52</v>
      </c>
      <c r="J4621">
        <v>3.1</v>
      </c>
      <c r="K4621" t="s">
        <v>33</v>
      </c>
      <c r="L4621" t="s">
        <v>28</v>
      </c>
      <c r="O4621"/>
    </row>
    <row r="4622" spans="1:15" x14ac:dyDescent="0.3">
      <c r="A4622" t="s">
        <v>4646</v>
      </c>
      <c r="B4622" s="1">
        <v>45738</v>
      </c>
      <c r="C4622" t="s">
        <v>21</v>
      </c>
      <c r="D4622" t="s">
        <v>14</v>
      </c>
      <c r="E4622" s="2">
        <v>18.14</v>
      </c>
      <c r="F4622" s="3">
        <v>68.709999999999994</v>
      </c>
      <c r="G4622" s="4">
        <v>202.49</v>
      </c>
      <c r="H4622">
        <v>1.2</v>
      </c>
      <c r="I4622" s="4">
        <v>242.99</v>
      </c>
      <c r="J4622">
        <v>4.5</v>
      </c>
      <c r="K4622" t="s">
        <v>15</v>
      </c>
      <c r="L4622" t="s">
        <v>19</v>
      </c>
      <c r="O4622"/>
    </row>
    <row r="4623" spans="1:15" x14ac:dyDescent="0.3">
      <c r="A4623" t="s">
        <v>4647</v>
      </c>
      <c r="B4623" s="1">
        <v>45699</v>
      </c>
      <c r="C4623" t="s">
        <v>14</v>
      </c>
      <c r="D4623" t="s">
        <v>22</v>
      </c>
      <c r="E4623" s="2">
        <v>10.76</v>
      </c>
      <c r="F4623" s="3">
        <v>21.52</v>
      </c>
      <c r="G4623" s="4">
        <v>203.47</v>
      </c>
      <c r="H4623">
        <v>2</v>
      </c>
      <c r="I4623" s="4">
        <v>406.94</v>
      </c>
      <c r="J4623">
        <v>3.5</v>
      </c>
      <c r="K4623" t="s">
        <v>30</v>
      </c>
      <c r="L4623" t="s">
        <v>26</v>
      </c>
      <c r="O4623"/>
    </row>
    <row r="4624" spans="1:15" x14ac:dyDescent="0.3">
      <c r="A4624" t="s">
        <v>4648</v>
      </c>
      <c r="B4624" s="1">
        <v>45782</v>
      </c>
      <c r="C4624" t="s">
        <v>14</v>
      </c>
      <c r="D4624" t="s">
        <v>22</v>
      </c>
      <c r="E4624" s="2">
        <v>4.74</v>
      </c>
      <c r="F4624" s="3">
        <v>13.07</v>
      </c>
      <c r="G4624" s="4">
        <v>91.21</v>
      </c>
      <c r="H4624">
        <v>1</v>
      </c>
      <c r="I4624" s="4">
        <v>91.21</v>
      </c>
      <c r="J4624">
        <v>4.9000000000000004</v>
      </c>
      <c r="K4624" t="s">
        <v>15</v>
      </c>
      <c r="L4624" t="s">
        <v>28</v>
      </c>
      <c r="O4624"/>
    </row>
    <row r="4625" spans="1:15" x14ac:dyDescent="0.3">
      <c r="A4625" t="s">
        <v>4649</v>
      </c>
      <c r="B4625" s="1">
        <v>45860</v>
      </c>
      <c r="C4625" t="s">
        <v>25</v>
      </c>
      <c r="D4625" t="s">
        <v>14</v>
      </c>
      <c r="E4625" s="2">
        <v>27.48</v>
      </c>
      <c r="F4625" s="3">
        <v>85.73</v>
      </c>
      <c r="G4625" s="4">
        <v>439.03</v>
      </c>
      <c r="H4625">
        <v>1</v>
      </c>
      <c r="I4625" s="4">
        <v>439.03</v>
      </c>
      <c r="J4625">
        <v>3.1</v>
      </c>
      <c r="K4625" t="s">
        <v>36</v>
      </c>
      <c r="L4625" t="s">
        <v>19</v>
      </c>
      <c r="O4625"/>
    </row>
    <row r="4626" spans="1:15" x14ac:dyDescent="0.3">
      <c r="A4626" t="s">
        <v>4650</v>
      </c>
      <c r="B4626" s="1">
        <v>45760</v>
      </c>
      <c r="C4626" t="s">
        <v>21</v>
      </c>
      <c r="D4626" t="s">
        <v>14</v>
      </c>
      <c r="E4626" s="2">
        <v>11.86</v>
      </c>
      <c r="F4626" s="3">
        <v>41.45</v>
      </c>
      <c r="G4626" s="4">
        <v>214.44</v>
      </c>
      <c r="H4626">
        <v>1.2</v>
      </c>
      <c r="I4626" s="4">
        <v>257.33</v>
      </c>
      <c r="J4626">
        <v>3.3</v>
      </c>
      <c r="K4626" t="s">
        <v>33</v>
      </c>
      <c r="L4626" t="s">
        <v>28</v>
      </c>
      <c r="O4626"/>
    </row>
    <row r="4627" spans="1:15" x14ac:dyDescent="0.3">
      <c r="A4627" t="s">
        <v>4651</v>
      </c>
      <c r="B4627" s="1">
        <v>45708</v>
      </c>
      <c r="C4627" t="s">
        <v>14</v>
      </c>
      <c r="D4627" t="s">
        <v>14</v>
      </c>
      <c r="E4627" s="2">
        <v>19.45</v>
      </c>
      <c r="F4627" s="3">
        <v>68.03</v>
      </c>
      <c r="G4627" s="4">
        <v>242.93</v>
      </c>
      <c r="H4627">
        <v>1.2</v>
      </c>
      <c r="I4627" s="4">
        <v>291.52</v>
      </c>
      <c r="J4627">
        <v>4.2</v>
      </c>
      <c r="K4627" t="s">
        <v>15</v>
      </c>
      <c r="L4627" t="s">
        <v>16</v>
      </c>
      <c r="O4627"/>
    </row>
    <row r="4628" spans="1:15" x14ac:dyDescent="0.3">
      <c r="A4628" t="s">
        <v>4652</v>
      </c>
      <c r="B4628" s="1">
        <v>45836</v>
      </c>
      <c r="C4628" t="s">
        <v>14</v>
      </c>
      <c r="D4628" t="s">
        <v>25</v>
      </c>
      <c r="E4628" s="2">
        <v>9.65</v>
      </c>
      <c r="F4628" s="3">
        <v>23.61</v>
      </c>
      <c r="G4628" s="4">
        <v>116.85</v>
      </c>
      <c r="H4628">
        <v>2</v>
      </c>
      <c r="I4628" s="4">
        <v>233.7</v>
      </c>
      <c r="J4628">
        <v>3.8</v>
      </c>
      <c r="K4628" t="s">
        <v>36</v>
      </c>
      <c r="L4628" t="s">
        <v>28</v>
      </c>
      <c r="O4628"/>
    </row>
    <row r="4629" spans="1:15" x14ac:dyDescent="0.3">
      <c r="A4629" t="s">
        <v>4653</v>
      </c>
      <c r="B4629" s="1">
        <v>45895</v>
      </c>
      <c r="C4629" t="s">
        <v>14</v>
      </c>
      <c r="D4629" t="s">
        <v>13</v>
      </c>
      <c r="E4629" s="2">
        <v>18.649999999999999</v>
      </c>
      <c r="F4629" s="3">
        <v>48.61</v>
      </c>
      <c r="G4629" s="4">
        <v>305.58999999999997</v>
      </c>
      <c r="H4629">
        <v>1.2</v>
      </c>
      <c r="I4629" s="4">
        <v>366.71</v>
      </c>
      <c r="J4629">
        <v>4.0999999999999996</v>
      </c>
      <c r="K4629" t="s">
        <v>30</v>
      </c>
      <c r="L4629" t="s">
        <v>26</v>
      </c>
      <c r="O4629"/>
    </row>
    <row r="4630" spans="1:15" x14ac:dyDescent="0.3">
      <c r="A4630" t="s">
        <v>4654</v>
      </c>
      <c r="B4630" s="1">
        <v>45854</v>
      </c>
      <c r="C4630" t="s">
        <v>13</v>
      </c>
      <c r="D4630" t="s">
        <v>22</v>
      </c>
      <c r="E4630" s="2">
        <v>5.62</v>
      </c>
      <c r="F4630" s="3">
        <v>18.37</v>
      </c>
      <c r="G4630" s="4">
        <v>80.38</v>
      </c>
      <c r="H4630">
        <v>1</v>
      </c>
      <c r="I4630" s="4">
        <v>80.38</v>
      </c>
      <c r="J4630">
        <v>4.7</v>
      </c>
      <c r="K4630" t="s">
        <v>33</v>
      </c>
      <c r="L4630" t="s">
        <v>28</v>
      </c>
      <c r="O4630"/>
    </row>
    <row r="4631" spans="1:15" x14ac:dyDescent="0.3">
      <c r="A4631" t="s">
        <v>4655</v>
      </c>
      <c r="B4631" s="1">
        <v>45950</v>
      </c>
      <c r="C4631" t="s">
        <v>21</v>
      </c>
      <c r="D4631" t="s">
        <v>21</v>
      </c>
      <c r="E4631" s="2">
        <v>29.69</v>
      </c>
      <c r="F4631" s="3">
        <v>80.150000000000006</v>
      </c>
      <c r="G4631" s="4">
        <v>583.57000000000005</v>
      </c>
      <c r="H4631">
        <v>1.5</v>
      </c>
      <c r="I4631" s="4">
        <v>875.36</v>
      </c>
      <c r="J4631">
        <v>3.1</v>
      </c>
      <c r="K4631" t="s">
        <v>15</v>
      </c>
      <c r="L4631" t="s">
        <v>16</v>
      </c>
      <c r="O4631"/>
    </row>
    <row r="4632" spans="1:15" x14ac:dyDescent="0.3">
      <c r="A4632" t="s">
        <v>4656</v>
      </c>
      <c r="B4632" s="1">
        <v>45788</v>
      </c>
      <c r="C4632" t="s">
        <v>22</v>
      </c>
      <c r="D4632" t="s">
        <v>25</v>
      </c>
      <c r="E4632" s="2">
        <v>4.32</v>
      </c>
      <c r="F4632" s="3">
        <v>11</v>
      </c>
      <c r="G4632" s="4">
        <v>67.86</v>
      </c>
      <c r="H4632">
        <v>1.5</v>
      </c>
      <c r="I4632" s="4">
        <v>101.79</v>
      </c>
      <c r="J4632">
        <v>4.5</v>
      </c>
      <c r="K4632" t="s">
        <v>30</v>
      </c>
      <c r="L4632" t="s">
        <v>28</v>
      </c>
      <c r="O4632"/>
    </row>
    <row r="4633" spans="1:15" x14ac:dyDescent="0.3">
      <c r="A4633" t="s">
        <v>4657</v>
      </c>
      <c r="B4633" s="1">
        <v>45849</v>
      </c>
      <c r="C4633" t="s">
        <v>13</v>
      </c>
      <c r="D4633" t="s">
        <v>22</v>
      </c>
      <c r="E4633" s="2">
        <v>18.84</v>
      </c>
      <c r="F4633" s="3">
        <v>60.05</v>
      </c>
      <c r="G4633" s="4">
        <v>360.29</v>
      </c>
      <c r="H4633">
        <v>2</v>
      </c>
      <c r="I4633" s="4">
        <v>720.58</v>
      </c>
      <c r="J4633">
        <v>4.7</v>
      </c>
      <c r="K4633" t="s">
        <v>36</v>
      </c>
      <c r="L4633" t="s">
        <v>16</v>
      </c>
      <c r="O4633"/>
    </row>
    <row r="4634" spans="1:15" x14ac:dyDescent="0.3">
      <c r="A4634" t="s">
        <v>4658</v>
      </c>
      <c r="B4634" s="1">
        <v>46014</v>
      </c>
      <c r="C4634" t="s">
        <v>22</v>
      </c>
      <c r="D4634" t="s">
        <v>22</v>
      </c>
      <c r="E4634" s="2">
        <v>5.69</v>
      </c>
      <c r="F4634" s="3">
        <v>15.93</v>
      </c>
      <c r="G4634" s="4">
        <v>97.46</v>
      </c>
      <c r="H4634">
        <v>1.2</v>
      </c>
      <c r="I4634" s="4">
        <v>116.95</v>
      </c>
      <c r="J4634">
        <v>4.8</v>
      </c>
      <c r="K4634" t="s">
        <v>30</v>
      </c>
      <c r="L4634" t="s">
        <v>19</v>
      </c>
      <c r="O4634"/>
    </row>
    <row r="4635" spans="1:15" x14ac:dyDescent="0.3">
      <c r="A4635" t="s">
        <v>4659</v>
      </c>
      <c r="B4635" s="1">
        <v>45963</v>
      </c>
      <c r="C4635" t="s">
        <v>21</v>
      </c>
      <c r="D4635" t="s">
        <v>22</v>
      </c>
      <c r="E4635" s="2">
        <v>4.08</v>
      </c>
      <c r="F4635" s="3">
        <v>12.94</v>
      </c>
      <c r="G4635" s="4">
        <v>50.71</v>
      </c>
      <c r="H4635">
        <v>1.2</v>
      </c>
      <c r="I4635" s="4">
        <v>60.85</v>
      </c>
      <c r="J4635">
        <v>4.5</v>
      </c>
      <c r="K4635" t="s">
        <v>18</v>
      </c>
      <c r="L4635" t="s">
        <v>26</v>
      </c>
      <c r="O4635"/>
    </row>
    <row r="4636" spans="1:15" x14ac:dyDescent="0.3">
      <c r="A4636" t="s">
        <v>4660</v>
      </c>
      <c r="B4636" s="1">
        <v>45683</v>
      </c>
      <c r="C4636" t="s">
        <v>22</v>
      </c>
      <c r="D4636" t="s">
        <v>13</v>
      </c>
      <c r="E4636" s="2">
        <v>23.08</v>
      </c>
      <c r="F4636" s="3">
        <v>61.49</v>
      </c>
      <c r="G4636" s="4">
        <v>364.25</v>
      </c>
      <c r="H4636">
        <v>1.2</v>
      </c>
      <c r="I4636" s="4">
        <v>437.1</v>
      </c>
      <c r="J4636">
        <v>4.5999999999999996</v>
      </c>
      <c r="K4636" t="s">
        <v>18</v>
      </c>
      <c r="L4636" t="s">
        <v>26</v>
      </c>
      <c r="O4636"/>
    </row>
    <row r="4637" spans="1:15" x14ac:dyDescent="0.3">
      <c r="A4637" t="s">
        <v>4661</v>
      </c>
      <c r="B4637" s="1">
        <v>45978</v>
      </c>
      <c r="C4637" t="s">
        <v>14</v>
      </c>
      <c r="D4637" t="s">
        <v>21</v>
      </c>
      <c r="E4637" s="2">
        <v>10.77</v>
      </c>
      <c r="F4637" s="3">
        <v>43.03</v>
      </c>
      <c r="G4637" s="4">
        <v>213.09</v>
      </c>
      <c r="H4637">
        <v>1</v>
      </c>
      <c r="I4637" s="4">
        <v>213.09</v>
      </c>
      <c r="J4637">
        <v>4.8</v>
      </c>
      <c r="K4637" t="s">
        <v>30</v>
      </c>
      <c r="L4637" t="s">
        <v>28</v>
      </c>
      <c r="O4637"/>
    </row>
    <row r="4638" spans="1:15" x14ac:dyDescent="0.3">
      <c r="A4638" t="s">
        <v>4662</v>
      </c>
      <c r="B4638" s="1">
        <v>45702</v>
      </c>
      <c r="C4638" t="s">
        <v>22</v>
      </c>
      <c r="D4638" t="s">
        <v>21</v>
      </c>
      <c r="E4638" s="2">
        <v>2.13</v>
      </c>
      <c r="F4638" s="3">
        <v>4.51</v>
      </c>
      <c r="G4638" s="4">
        <v>23.24</v>
      </c>
      <c r="H4638">
        <v>2</v>
      </c>
      <c r="I4638" s="4">
        <v>46.48</v>
      </c>
      <c r="J4638">
        <v>4.9000000000000004</v>
      </c>
      <c r="K4638" t="s">
        <v>36</v>
      </c>
      <c r="L4638" t="s">
        <v>28</v>
      </c>
      <c r="O4638"/>
    </row>
    <row r="4639" spans="1:15" x14ac:dyDescent="0.3">
      <c r="A4639" t="s">
        <v>4663</v>
      </c>
      <c r="B4639" s="1">
        <v>45706</v>
      </c>
      <c r="C4639" t="s">
        <v>25</v>
      </c>
      <c r="D4639" t="s">
        <v>21</v>
      </c>
      <c r="E4639" s="2">
        <v>22.05</v>
      </c>
      <c r="F4639" s="3">
        <v>63.56</v>
      </c>
      <c r="G4639" s="4">
        <v>404.89</v>
      </c>
      <c r="H4639">
        <v>1</v>
      </c>
      <c r="I4639" s="4">
        <v>404.89</v>
      </c>
      <c r="J4639">
        <v>3.9</v>
      </c>
      <c r="K4639" t="s">
        <v>15</v>
      </c>
      <c r="L4639" t="s">
        <v>19</v>
      </c>
      <c r="O4639"/>
    </row>
    <row r="4640" spans="1:15" x14ac:dyDescent="0.3">
      <c r="A4640" t="s">
        <v>4664</v>
      </c>
      <c r="B4640" s="1">
        <v>45719</v>
      </c>
      <c r="C4640" t="s">
        <v>14</v>
      </c>
      <c r="D4640" t="s">
        <v>13</v>
      </c>
      <c r="E4640" s="2">
        <v>8.2799999999999994</v>
      </c>
      <c r="F4640" s="3">
        <v>20.36</v>
      </c>
      <c r="G4640" s="4">
        <v>85.41</v>
      </c>
      <c r="H4640">
        <v>1.5</v>
      </c>
      <c r="I4640" s="4">
        <v>128.12</v>
      </c>
      <c r="J4640">
        <v>4.7</v>
      </c>
      <c r="K4640" t="s">
        <v>15</v>
      </c>
      <c r="L4640" t="s">
        <v>28</v>
      </c>
      <c r="O4640"/>
    </row>
    <row r="4641" spans="1:15" x14ac:dyDescent="0.3">
      <c r="A4641" t="s">
        <v>4665</v>
      </c>
      <c r="B4641" s="1">
        <v>45897</v>
      </c>
      <c r="C4641" t="s">
        <v>22</v>
      </c>
      <c r="D4641" t="s">
        <v>14</v>
      </c>
      <c r="E4641" s="2">
        <v>11.08</v>
      </c>
      <c r="F4641" s="3">
        <v>36.33</v>
      </c>
      <c r="G4641" s="4">
        <v>160.19999999999999</v>
      </c>
      <c r="H4641">
        <v>1</v>
      </c>
      <c r="I4641" s="4">
        <v>160.19999999999999</v>
      </c>
      <c r="J4641">
        <v>3.4</v>
      </c>
      <c r="K4641" t="s">
        <v>18</v>
      </c>
      <c r="L4641" t="s">
        <v>16</v>
      </c>
      <c r="O4641"/>
    </row>
    <row r="4642" spans="1:15" x14ac:dyDescent="0.3">
      <c r="A4642" t="s">
        <v>4666</v>
      </c>
      <c r="B4642" s="1">
        <v>46008</v>
      </c>
      <c r="C4642" t="s">
        <v>25</v>
      </c>
      <c r="D4642" t="s">
        <v>14</v>
      </c>
      <c r="E4642" s="2">
        <v>29.83</v>
      </c>
      <c r="F4642" s="3">
        <v>62.55</v>
      </c>
      <c r="G4642" s="4">
        <v>506.12</v>
      </c>
      <c r="H4642">
        <v>2</v>
      </c>
      <c r="I4642" s="4">
        <v>1012.24</v>
      </c>
      <c r="J4642">
        <v>4.5999999999999996</v>
      </c>
      <c r="K4642" t="s">
        <v>36</v>
      </c>
      <c r="L4642" t="s">
        <v>28</v>
      </c>
      <c r="O4642"/>
    </row>
    <row r="4643" spans="1:15" x14ac:dyDescent="0.3">
      <c r="A4643" t="s">
        <v>4667</v>
      </c>
      <c r="B4643" s="1">
        <v>45699</v>
      </c>
      <c r="C4643" t="s">
        <v>21</v>
      </c>
      <c r="D4643" t="s">
        <v>22</v>
      </c>
      <c r="E4643" s="2">
        <v>17.52</v>
      </c>
      <c r="F4643" s="3">
        <v>59.83</v>
      </c>
      <c r="G4643" s="4">
        <v>250.42</v>
      </c>
      <c r="H4643">
        <v>1.5</v>
      </c>
      <c r="I4643" s="4">
        <v>375.63</v>
      </c>
      <c r="J4643">
        <v>4.5999999999999996</v>
      </c>
      <c r="K4643" t="s">
        <v>36</v>
      </c>
      <c r="L4643" t="s">
        <v>19</v>
      </c>
      <c r="O4643"/>
    </row>
    <row r="4644" spans="1:15" x14ac:dyDescent="0.3">
      <c r="A4644" t="s">
        <v>4668</v>
      </c>
      <c r="B4644" s="1">
        <v>45726</v>
      </c>
      <c r="C4644" t="s">
        <v>14</v>
      </c>
      <c r="D4644" t="s">
        <v>22</v>
      </c>
      <c r="E4644" s="2">
        <v>13.54</v>
      </c>
      <c r="F4644" s="3">
        <v>45.1</v>
      </c>
      <c r="G4644" s="4">
        <v>207.34</v>
      </c>
      <c r="H4644">
        <v>1.2</v>
      </c>
      <c r="I4644" s="4">
        <v>248.81</v>
      </c>
      <c r="J4644">
        <v>4</v>
      </c>
      <c r="K4644" t="s">
        <v>30</v>
      </c>
      <c r="L4644" t="s">
        <v>16</v>
      </c>
      <c r="O4644"/>
    </row>
    <row r="4645" spans="1:15" x14ac:dyDescent="0.3">
      <c r="A4645" t="s">
        <v>4669</v>
      </c>
      <c r="B4645" s="1">
        <v>45708</v>
      </c>
      <c r="C4645" t="s">
        <v>21</v>
      </c>
      <c r="D4645" t="s">
        <v>22</v>
      </c>
      <c r="E4645" s="2">
        <v>25.49</v>
      </c>
      <c r="F4645" s="3">
        <v>83.88</v>
      </c>
      <c r="G4645" s="4">
        <v>476.45</v>
      </c>
      <c r="H4645">
        <v>2</v>
      </c>
      <c r="I4645" s="4">
        <v>952.9</v>
      </c>
      <c r="J4645">
        <v>3.9</v>
      </c>
      <c r="K4645" t="s">
        <v>36</v>
      </c>
      <c r="L4645" t="s">
        <v>19</v>
      </c>
      <c r="O4645"/>
    </row>
    <row r="4646" spans="1:15" x14ac:dyDescent="0.3">
      <c r="A4646" t="s">
        <v>4670</v>
      </c>
      <c r="B4646" s="1">
        <v>46019</v>
      </c>
      <c r="C4646" t="s">
        <v>25</v>
      </c>
      <c r="D4646" t="s">
        <v>25</v>
      </c>
      <c r="E4646" s="2">
        <v>28.8</v>
      </c>
      <c r="F4646" s="3">
        <v>112.57</v>
      </c>
      <c r="G4646" s="4">
        <v>466.37</v>
      </c>
      <c r="H4646">
        <v>2</v>
      </c>
      <c r="I4646" s="4">
        <v>932.74</v>
      </c>
      <c r="J4646">
        <v>4.0999999999999996</v>
      </c>
      <c r="K4646" t="s">
        <v>15</v>
      </c>
      <c r="L4646" t="s">
        <v>16</v>
      </c>
      <c r="O4646"/>
    </row>
    <row r="4647" spans="1:15" x14ac:dyDescent="0.3">
      <c r="A4647" t="s">
        <v>4671</v>
      </c>
      <c r="B4647" s="1">
        <v>45884</v>
      </c>
      <c r="C4647" t="s">
        <v>21</v>
      </c>
      <c r="D4647" t="s">
        <v>14</v>
      </c>
      <c r="E4647" s="2">
        <v>19.010000000000002</v>
      </c>
      <c r="F4647" s="3">
        <v>38.76</v>
      </c>
      <c r="G4647" s="4">
        <v>257.76</v>
      </c>
      <c r="H4647">
        <v>1.2</v>
      </c>
      <c r="I4647" s="4">
        <v>309.31</v>
      </c>
      <c r="J4647">
        <v>4.8</v>
      </c>
      <c r="K4647" t="s">
        <v>15</v>
      </c>
      <c r="L4647" t="s">
        <v>26</v>
      </c>
      <c r="O4647"/>
    </row>
    <row r="4648" spans="1:15" x14ac:dyDescent="0.3">
      <c r="A4648" t="s">
        <v>4672</v>
      </c>
      <c r="B4648" s="1">
        <v>45688</v>
      </c>
      <c r="C4648" t="s">
        <v>21</v>
      </c>
      <c r="D4648" t="s">
        <v>13</v>
      </c>
      <c r="E4648" s="2">
        <v>2.99</v>
      </c>
      <c r="F4648" s="3">
        <v>11.48</v>
      </c>
      <c r="G4648" s="4">
        <v>43.39</v>
      </c>
      <c r="H4648">
        <v>1.2</v>
      </c>
      <c r="I4648" s="4">
        <v>52.07</v>
      </c>
      <c r="J4648">
        <v>4.9000000000000004</v>
      </c>
      <c r="K4648" t="s">
        <v>33</v>
      </c>
      <c r="L4648" t="s">
        <v>26</v>
      </c>
      <c r="O4648"/>
    </row>
    <row r="4649" spans="1:15" x14ac:dyDescent="0.3">
      <c r="A4649" t="s">
        <v>4673</v>
      </c>
      <c r="B4649" s="1">
        <v>45926</v>
      </c>
      <c r="C4649" t="s">
        <v>22</v>
      </c>
      <c r="D4649" t="s">
        <v>22</v>
      </c>
      <c r="E4649" s="2">
        <v>24.33</v>
      </c>
      <c r="F4649" s="3">
        <v>63.55</v>
      </c>
      <c r="G4649" s="4">
        <v>319.92</v>
      </c>
      <c r="H4649">
        <v>2</v>
      </c>
      <c r="I4649" s="4">
        <v>639.84</v>
      </c>
      <c r="J4649">
        <v>3.3</v>
      </c>
      <c r="K4649" t="s">
        <v>15</v>
      </c>
      <c r="L4649" t="s">
        <v>26</v>
      </c>
      <c r="O4649"/>
    </row>
    <row r="4650" spans="1:15" x14ac:dyDescent="0.3">
      <c r="A4650" t="s">
        <v>4674</v>
      </c>
      <c r="B4650" s="1">
        <v>45663</v>
      </c>
      <c r="C4650" t="s">
        <v>25</v>
      </c>
      <c r="D4650" t="s">
        <v>13</v>
      </c>
      <c r="E4650" s="2">
        <v>26.73</v>
      </c>
      <c r="F4650" s="3">
        <v>75.53</v>
      </c>
      <c r="G4650" s="4">
        <v>359.23</v>
      </c>
      <c r="H4650">
        <v>1.2</v>
      </c>
      <c r="I4650" s="4">
        <v>431.08</v>
      </c>
      <c r="J4650">
        <v>3.4</v>
      </c>
      <c r="K4650" t="s">
        <v>18</v>
      </c>
      <c r="L4650" t="s">
        <v>19</v>
      </c>
      <c r="O4650"/>
    </row>
    <row r="4651" spans="1:15" x14ac:dyDescent="0.3">
      <c r="A4651" t="s">
        <v>4675</v>
      </c>
      <c r="B4651" s="1">
        <v>45730</v>
      </c>
      <c r="C4651" t="s">
        <v>14</v>
      </c>
      <c r="D4651" t="s">
        <v>13</v>
      </c>
      <c r="E4651" s="2">
        <v>5.47</v>
      </c>
      <c r="F4651" s="3">
        <v>13.34</v>
      </c>
      <c r="G4651" s="4">
        <v>99.37</v>
      </c>
      <c r="H4651">
        <v>1.5</v>
      </c>
      <c r="I4651" s="4">
        <v>149.06</v>
      </c>
      <c r="J4651">
        <v>4.9000000000000004</v>
      </c>
      <c r="K4651" t="s">
        <v>15</v>
      </c>
      <c r="L4651" t="s">
        <v>19</v>
      </c>
      <c r="O4651"/>
    </row>
    <row r="4652" spans="1:15" x14ac:dyDescent="0.3">
      <c r="A4652" t="s">
        <v>4676</v>
      </c>
      <c r="B4652" s="1">
        <v>45791</v>
      </c>
      <c r="C4652" t="s">
        <v>14</v>
      </c>
      <c r="D4652" t="s">
        <v>25</v>
      </c>
      <c r="E4652" s="2">
        <v>9.0299999999999994</v>
      </c>
      <c r="F4652" s="3">
        <v>35.11</v>
      </c>
      <c r="G4652" s="4">
        <v>98.05</v>
      </c>
      <c r="H4652">
        <v>1.2</v>
      </c>
      <c r="I4652" s="4">
        <v>117.66</v>
      </c>
      <c r="J4652">
        <v>3.9</v>
      </c>
      <c r="K4652" t="s">
        <v>15</v>
      </c>
      <c r="L4652" t="s">
        <v>28</v>
      </c>
      <c r="O4652"/>
    </row>
    <row r="4653" spans="1:15" x14ac:dyDescent="0.3">
      <c r="A4653" t="s">
        <v>4677</v>
      </c>
      <c r="B4653" s="1">
        <v>45863</v>
      </c>
      <c r="C4653" t="s">
        <v>13</v>
      </c>
      <c r="D4653" t="s">
        <v>25</v>
      </c>
      <c r="E4653" s="2">
        <v>12.91</v>
      </c>
      <c r="F4653" s="3">
        <v>31.84</v>
      </c>
      <c r="G4653" s="4">
        <v>179.01</v>
      </c>
      <c r="H4653">
        <v>2</v>
      </c>
      <c r="I4653" s="4">
        <v>358.02</v>
      </c>
      <c r="J4653">
        <v>3.6</v>
      </c>
      <c r="K4653" t="s">
        <v>15</v>
      </c>
      <c r="L4653" t="s">
        <v>16</v>
      </c>
      <c r="O4653"/>
    </row>
    <row r="4654" spans="1:15" x14ac:dyDescent="0.3">
      <c r="A4654" t="s">
        <v>4678</v>
      </c>
      <c r="B4654" s="1">
        <v>45893</v>
      </c>
      <c r="C4654" t="s">
        <v>14</v>
      </c>
      <c r="D4654" t="s">
        <v>22</v>
      </c>
      <c r="E4654" s="2">
        <v>23.09</v>
      </c>
      <c r="F4654" s="3">
        <v>62.75</v>
      </c>
      <c r="G4654" s="4">
        <v>396.41</v>
      </c>
      <c r="H4654">
        <v>2</v>
      </c>
      <c r="I4654" s="4">
        <v>792.82</v>
      </c>
      <c r="J4654">
        <v>3.3</v>
      </c>
      <c r="K4654" t="s">
        <v>30</v>
      </c>
      <c r="L4654" t="s">
        <v>28</v>
      </c>
      <c r="O4654"/>
    </row>
    <row r="4655" spans="1:15" x14ac:dyDescent="0.3">
      <c r="A4655" t="s">
        <v>4679</v>
      </c>
      <c r="B4655" s="1">
        <v>45763</v>
      </c>
      <c r="C4655" t="s">
        <v>22</v>
      </c>
      <c r="D4655" t="s">
        <v>25</v>
      </c>
      <c r="E4655" s="2">
        <v>12.74</v>
      </c>
      <c r="F4655" s="3">
        <v>32.340000000000003</v>
      </c>
      <c r="G4655" s="4">
        <v>152.69</v>
      </c>
      <c r="H4655">
        <v>1.2</v>
      </c>
      <c r="I4655" s="4">
        <v>183.23</v>
      </c>
      <c r="J4655">
        <v>4.3</v>
      </c>
      <c r="K4655" t="s">
        <v>30</v>
      </c>
      <c r="L4655" t="s">
        <v>28</v>
      </c>
      <c r="O4655"/>
    </row>
    <row r="4656" spans="1:15" x14ac:dyDescent="0.3">
      <c r="A4656" t="s">
        <v>4680</v>
      </c>
      <c r="B4656" s="1">
        <v>45701</v>
      </c>
      <c r="C4656" t="s">
        <v>25</v>
      </c>
      <c r="D4656" t="s">
        <v>14</v>
      </c>
      <c r="E4656" s="2">
        <v>27.05</v>
      </c>
      <c r="F4656" s="3">
        <v>89.4</v>
      </c>
      <c r="G4656" s="4">
        <v>401.33</v>
      </c>
      <c r="H4656">
        <v>1.5</v>
      </c>
      <c r="I4656" s="4">
        <v>602</v>
      </c>
      <c r="J4656">
        <v>3.7</v>
      </c>
      <c r="K4656" t="s">
        <v>30</v>
      </c>
      <c r="L4656" t="s">
        <v>19</v>
      </c>
      <c r="O4656"/>
    </row>
    <row r="4657" spans="1:15" x14ac:dyDescent="0.3">
      <c r="A4657" t="s">
        <v>4681</v>
      </c>
      <c r="B4657" s="1">
        <v>46016</v>
      </c>
      <c r="C4657" t="s">
        <v>13</v>
      </c>
      <c r="D4657" t="s">
        <v>25</v>
      </c>
      <c r="E4657" s="2">
        <v>27.17</v>
      </c>
      <c r="F4657" s="3">
        <v>74.92</v>
      </c>
      <c r="G4657" s="4">
        <v>279.58999999999997</v>
      </c>
      <c r="H4657">
        <v>1.2</v>
      </c>
      <c r="I4657" s="4">
        <v>335.51</v>
      </c>
      <c r="J4657">
        <v>5</v>
      </c>
      <c r="K4657" t="s">
        <v>30</v>
      </c>
      <c r="L4657" t="s">
        <v>19</v>
      </c>
      <c r="O4657"/>
    </row>
    <row r="4658" spans="1:15" x14ac:dyDescent="0.3">
      <c r="A4658" t="s">
        <v>4682</v>
      </c>
      <c r="B4658" s="1">
        <v>45680</v>
      </c>
      <c r="C4658" t="s">
        <v>22</v>
      </c>
      <c r="D4658" t="s">
        <v>21</v>
      </c>
      <c r="E4658" s="2">
        <v>16.73</v>
      </c>
      <c r="F4658" s="3">
        <v>46.94</v>
      </c>
      <c r="G4658" s="4">
        <v>309.69</v>
      </c>
      <c r="H4658">
        <v>1.2</v>
      </c>
      <c r="I4658" s="4">
        <v>371.63</v>
      </c>
      <c r="J4658">
        <v>3.1</v>
      </c>
      <c r="K4658" t="s">
        <v>36</v>
      </c>
      <c r="L4658" t="s">
        <v>26</v>
      </c>
      <c r="O4658"/>
    </row>
    <row r="4659" spans="1:15" x14ac:dyDescent="0.3">
      <c r="A4659" t="s">
        <v>4683</v>
      </c>
      <c r="B4659" s="1">
        <v>45760</v>
      </c>
      <c r="C4659" t="s">
        <v>21</v>
      </c>
      <c r="D4659" t="s">
        <v>14</v>
      </c>
      <c r="E4659" s="2">
        <v>1.71</v>
      </c>
      <c r="F4659" s="3">
        <v>3.98</v>
      </c>
      <c r="G4659" s="4">
        <v>33.19</v>
      </c>
      <c r="H4659">
        <v>2</v>
      </c>
      <c r="I4659" s="4">
        <v>66.38</v>
      </c>
      <c r="J4659">
        <v>3.9</v>
      </c>
      <c r="K4659" t="s">
        <v>18</v>
      </c>
      <c r="L4659" t="s">
        <v>26</v>
      </c>
      <c r="O4659"/>
    </row>
    <row r="4660" spans="1:15" x14ac:dyDescent="0.3">
      <c r="A4660" t="s">
        <v>4684</v>
      </c>
      <c r="B4660" s="1">
        <v>45802</v>
      </c>
      <c r="C4660" t="s">
        <v>21</v>
      </c>
      <c r="D4660" t="s">
        <v>22</v>
      </c>
      <c r="E4660" s="2">
        <v>15.11</v>
      </c>
      <c r="F4660" s="3">
        <v>55.45</v>
      </c>
      <c r="G4660" s="4">
        <v>232.54</v>
      </c>
      <c r="H4660">
        <v>2</v>
      </c>
      <c r="I4660" s="4">
        <v>465.08</v>
      </c>
      <c r="J4660">
        <v>4.2</v>
      </c>
      <c r="K4660" t="s">
        <v>15</v>
      </c>
      <c r="L4660" t="s">
        <v>19</v>
      </c>
      <c r="O4660"/>
    </row>
    <row r="4661" spans="1:15" x14ac:dyDescent="0.3">
      <c r="A4661" t="s">
        <v>4685</v>
      </c>
      <c r="B4661" s="1">
        <v>45748</v>
      </c>
      <c r="C4661" t="s">
        <v>21</v>
      </c>
      <c r="D4661" t="s">
        <v>22</v>
      </c>
      <c r="E4661" s="2">
        <v>14.07</v>
      </c>
      <c r="F4661" s="3">
        <v>41.55</v>
      </c>
      <c r="G4661" s="4">
        <v>147.35</v>
      </c>
      <c r="H4661">
        <v>1</v>
      </c>
      <c r="I4661" s="4">
        <v>147.35</v>
      </c>
      <c r="J4661">
        <v>4.0999999999999996</v>
      </c>
      <c r="K4661" t="s">
        <v>33</v>
      </c>
      <c r="L4661" t="s">
        <v>28</v>
      </c>
      <c r="O4661"/>
    </row>
    <row r="4662" spans="1:15" x14ac:dyDescent="0.3">
      <c r="A4662" t="s">
        <v>4686</v>
      </c>
      <c r="B4662" s="1">
        <v>45782</v>
      </c>
      <c r="C4662" t="s">
        <v>25</v>
      </c>
      <c r="D4662" t="s">
        <v>22</v>
      </c>
      <c r="E4662" s="2">
        <v>12.88</v>
      </c>
      <c r="F4662" s="3">
        <v>40.29</v>
      </c>
      <c r="G4662" s="4">
        <v>176.89</v>
      </c>
      <c r="H4662">
        <v>1.2</v>
      </c>
      <c r="I4662" s="4">
        <v>212.27</v>
      </c>
      <c r="J4662">
        <v>4</v>
      </c>
      <c r="K4662" t="s">
        <v>15</v>
      </c>
      <c r="L4662" t="s">
        <v>16</v>
      </c>
      <c r="O4662"/>
    </row>
    <row r="4663" spans="1:15" x14ac:dyDescent="0.3">
      <c r="A4663" t="s">
        <v>4687</v>
      </c>
      <c r="B4663" s="1">
        <v>45873</v>
      </c>
      <c r="C4663" t="s">
        <v>21</v>
      </c>
      <c r="D4663" t="s">
        <v>13</v>
      </c>
      <c r="E4663" s="2">
        <v>2.73</v>
      </c>
      <c r="F4663" s="3">
        <v>8.93</v>
      </c>
      <c r="G4663" s="4">
        <v>35.97</v>
      </c>
      <c r="H4663">
        <v>2</v>
      </c>
      <c r="I4663" s="4">
        <v>71.94</v>
      </c>
      <c r="J4663">
        <v>4.3</v>
      </c>
      <c r="K4663" t="s">
        <v>15</v>
      </c>
      <c r="L4663" t="s">
        <v>19</v>
      </c>
      <c r="O4663"/>
    </row>
    <row r="4664" spans="1:15" x14ac:dyDescent="0.3">
      <c r="A4664" t="s">
        <v>4688</v>
      </c>
      <c r="B4664" s="1">
        <v>45806</v>
      </c>
      <c r="C4664" t="s">
        <v>25</v>
      </c>
      <c r="D4664" t="s">
        <v>25</v>
      </c>
      <c r="E4664" s="2">
        <v>29.21</v>
      </c>
      <c r="F4664" s="3">
        <v>95.19</v>
      </c>
      <c r="G4664" s="4">
        <v>547.52</v>
      </c>
      <c r="H4664">
        <v>2</v>
      </c>
      <c r="I4664" s="4">
        <v>1095.04</v>
      </c>
      <c r="J4664">
        <v>3.3</v>
      </c>
      <c r="K4664" t="s">
        <v>18</v>
      </c>
      <c r="L4664" t="s">
        <v>28</v>
      </c>
      <c r="O4664"/>
    </row>
    <row r="4665" spans="1:15" x14ac:dyDescent="0.3">
      <c r="A4665" t="s">
        <v>4689</v>
      </c>
      <c r="B4665" s="1">
        <v>45763</v>
      </c>
      <c r="C4665" t="s">
        <v>21</v>
      </c>
      <c r="D4665" t="s">
        <v>25</v>
      </c>
      <c r="E4665" s="2">
        <v>7.22</v>
      </c>
      <c r="F4665" s="3">
        <v>15.8</v>
      </c>
      <c r="G4665" s="4">
        <v>110.61</v>
      </c>
      <c r="H4665">
        <v>1.2</v>
      </c>
      <c r="I4665" s="4">
        <v>132.72999999999999</v>
      </c>
      <c r="J4665">
        <v>4.7</v>
      </c>
      <c r="K4665" t="s">
        <v>30</v>
      </c>
      <c r="L4665" t="s">
        <v>19</v>
      </c>
      <c r="O4665"/>
    </row>
    <row r="4666" spans="1:15" x14ac:dyDescent="0.3">
      <c r="A4666" t="s">
        <v>4690</v>
      </c>
      <c r="B4666" s="1">
        <v>46021</v>
      </c>
      <c r="C4666" t="s">
        <v>14</v>
      </c>
      <c r="D4666" t="s">
        <v>14</v>
      </c>
      <c r="E4666" s="2">
        <v>11.64</v>
      </c>
      <c r="F4666" s="3">
        <v>37.44</v>
      </c>
      <c r="G4666" s="4">
        <v>217.67</v>
      </c>
      <c r="H4666">
        <v>2</v>
      </c>
      <c r="I4666" s="4">
        <v>435.34</v>
      </c>
      <c r="J4666">
        <v>3.8</v>
      </c>
      <c r="K4666" t="s">
        <v>33</v>
      </c>
      <c r="L4666" t="s">
        <v>28</v>
      </c>
      <c r="O4666"/>
    </row>
    <row r="4667" spans="1:15" x14ac:dyDescent="0.3">
      <c r="A4667" t="s">
        <v>4691</v>
      </c>
      <c r="B4667" s="1">
        <v>45877</v>
      </c>
      <c r="C4667" t="s">
        <v>25</v>
      </c>
      <c r="D4667" t="s">
        <v>25</v>
      </c>
      <c r="E4667" s="2">
        <v>25.06</v>
      </c>
      <c r="F4667" s="3">
        <v>85.26</v>
      </c>
      <c r="G4667" s="4">
        <v>498.65</v>
      </c>
      <c r="H4667">
        <v>1.2</v>
      </c>
      <c r="I4667" s="4">
        <v>598.38</v>
      </c>
      <c r="J4667">
        <v>4.3</v>
      </c>
      <c r="K4667" t="s">
        <v>36</v>
      </c>
      <c r="L4667" t="s">
        <v>28</v>
      </c>
      <c r="O4667"/>
    </row>
    <row r="4668" spans="1:15" x14ac:dyDescent="0.3">
      <c r="A4668" t="s">
        <v>4692</v>
      </c>
      <c r="B4668" s="1">
        <v>45829</v>
      </c>
      <c r="C4668" t="s">
        <v>14</v>
      </c>
      <c r="D4668" t="s">
        <v>21</v>
      </c>
      <c r="E4668" s="2">
        <v>22.75</v>
      </c>
      <c r="F4668" s="3">
        <v>71.44</v>
      </c>
      <c r="G4668" s="4">
        <v>362.86</v>
      </c>
      <c r="H4668">
        <v>1</v>
      </c>
      <c r="I4668" s="4">
        <v>362.86</v>
      </c>
      <c r="J4668">
        <v>4.5999999999999996</v>
      </c>
      <c r="K4668" t="s">
        <v>36</v>
      </c>
      <c r="L4668" t="s">
        <v>26</v>
      </c>
      <c r="O4668"/>
    </row>
    <row r="4669" spans="1:15" x14ac:dyDescent="0.3">
      <c r="A4669" t="s">
        <v>4693</v>
      </c>
      <c r="B4669" s="1">
        <v>45968</v>
      </c>
      <c r="C4669" t="s">
        <v>25</v>
      </c>
      <c r="D4669" t="s">
        <v>13</v>
      </c>
      <c r="E4669" s="2">
        <v>21.37</v>
      </c>
      <c r="F4669" s="3">
        <v>45.3</v>
      </c>
      <c r="G4669" s="4">
        <v>356.97</v>
      </c>
      <c r="H4669">
        <v>1.2</v>
      </c>
      <c r="I4669" s="4">
        <v>428.36</v>
      </c>
      <c r="J4669">
        <v>3.6</v>
      </c>
      <c r="K4669" t="s">
        <v>15</v>
      </c>
      <c r="L4669" t="s">
        <v>16</v>
      </c>
      <c r="O4669"/>
    </row>
    <row r="4670" spans="1:15" x14ac:dyDescent="0.3">
      <c r="A4670" t="s">
        <v>4694</v>
      </c>
      <c r="B4670" s="1">
        <v>45918</v>
      </c>
      <c r="C4670" t="s">
        <v>21</v>
      </c>
      <c r="D4670" t="s">
        <v>13</v>
      </c>
      <c r="E4670" s="2">
        <v>28.51</v>
      </c>
      <c r="F4670" s="3">
        <v>96.93</v>
      </c>
      <c r="G4670" s="4">
        <v>363.89</v>
      </c>
      <c r="H4670">
        <v>1</v>
      </c>
      <c r="I4670" s="4">
        <v>363.89</v>
      </c>
      <c r="J4670">
        <v>4.3</v>
      </c>
      <c r="K4670" t="s">
        <v>18</v>
      </c>
      <c r="L4670" t="s">
        <v>28</v>
      </c>
      <c r="O4670"/>
    </row>
    <row r="4671" spans="1:15" x14ac:dyDescent="0.3">
      <c r="A4671" t="s">
        <v>4695</v>
      </c>
      <c r="B4671" s="1">
        <v>45998</v>
      </c>
      <c r="C4671" t="s">
        <v>22</v>
      </c>
      <c r="D4671" t="s">
        <v>14</v>
      </c>
      <c r="E4671" s="2">
        <v>29.39</v>
      </c>
      <c r="F4671" s="3">
        <v>62.23</v>
      </c>
      <c r="G4671" s="4">
        <v>515.46</v>
      </c>
      <c r="H4671">
        <v>1.5</v>
      </c>
      <c r="I4671" s="4">
        <v>773.19</v>
      </c>
      <c r="J4671">
        <v>4.5999999999999996</v>
      </c>
      <c r="K4671" t="s">
        <v>33</v>
      </c>
      <c r="L4671" t="s">
        <v>19</v>
      </c>
      <c r="O4671"/>
    </row>
    <row r="4672" spans="1:15" x14ac:dyDescent="0.3">
      <c r="A4672" t="s">
        <v>4696</v>
      </c>
      <c r="B4672" s="1">
        <v>45998</v>
      </c>
      <c r="C4672" t="s">
        <v>25</v>
      </c>
      <c r="D4672" t="s">
        <v>25</v>
      </c>
      <c r="E4672" s="2">
        <v>4.1500000000000004</v>
      </c>
      <c r="F4672" s="3">
        <v>8.7200000000000006</v>
      </c>
      <c r="G4672" s="4">
        <v>78.400000000000006</v>
      </c>
      <c r="H4672">
        <v>1</v>
      </c>
      <c r="I4672" s="4">
        <v>78.400000000000006</v>
      </c>
      <c r="J4672">
        <v>3.9</v>
      </c>
      <c r="K4672" t="s">
        <v>30</v>
      </c>
      <c r="L4672" t="s">
        <v>26</v>
      </c>
      <c r="O4672"/>
    </row>
    <row r="4673" spans="1:15" x14ac:dyDescent="0.3">
      <c r="A4673" t="s">
        <v>4697</v>
      </c>
      <c r="B4673" s="1">
        <v>45870</v>
      </c>
      <c r="C4673" t="s">
        <v>25</v>
      </c>
      <c r="D4673" t="s">
        <v>25</v>
      </c>
      <c r="E4673" s="2">
        <v>18.37</v>
      </c>
      <c r="F4673" s="3">
        <v>50.63</v>
      </c>
      <c r="G4673" s="4">
        <v>351.89</v>
      </c>
      <c r="H4673">
        <v>2</v>
      </c>
      <c r="I4673" s="4">
        <v>703.78</v>
      </c>
      <c r="J4673">
        <v>3.1</v>
      </c>
      <c r="K4673" t="s">
        <v>36</v>
      </c>
      <c r="L4673" t="s">
        <v>19</v>
      </c>
      <c r="O4673"/>
    </row>
    <row r="4674" spans="1:15" x14ac:dyDescent="0.3">
      <c r="A4674" t="s">
        <v>4698</v>
      </c>
      <c r="B4674" s="1">
        <v>45676</v>
      </c>
      <c r="C4674" t="s">
        <v>22</v>
      </c>
      <c r="D4674" t="s">
        <v>21</v>
      </c>
      <c r="E4674" s="2">
        <v>7.72</v>
      </c>
      <c r="F4674" s="3">
        <v>19.649999999999999</v>
      </c>
      <c r="G4674" s="4">
        <v>94.21</v>
      </c>
      <c r="H4674">
        <v>1</v>
      </c>
      <c r="I4674" s="4">
        <v>94.21</v>
      </c>
      <c r="J4674">
        <v>4.4000000000000004</v>
      </c>
      <c r="K4674" t="s">
        <v>18</v>
      </c>
      <c r="L4674" t="s">
        <v>16</v>
      </c>
      <c r="O4674"/>
    </row>
    <row r="4675" spans="1:15" x14ac:dyDescent="0.3">
      <c r="A4675" t="s">
        <v>4699</v>
      </c>
      <c r="B4675" s="1">
        <v>45939</v>
      </c>
      <c r="C4675" t="s">
        <v>14</v>
      </c>
      <c r="D4675" t="s">
        <v>21</v>
      </c>
      <c r="E4675" s="2">
        <v>18.14</v>
      </c>
      <c r="F4675" s="3">
        <v>55.66</v>
      </c>
      <c r="G4675" s="4">
        <v>334.59</v>
      </c>
      <c r="H4675">
        <v>2</v>
      </c>
      <c r="I4675" s="4">
        <v>669.18</v>
      </c>
      <c r="J4675">
        <v>4.5</v>
      </c>
      <c r="K4675" t="s">
        <v>33</v>
      </c>
      <c r="L4675" t="s">
        <v>28</v>
      </c>
      <c r="O4675"/>
    </row>
    <row r="4676" spans="1:15" x14ac:dyDescent="0.3">
      <c r="A4676" t="s">
        <v>4700</v>
      </c>
      <c r="B4676" s="1">
        <v>45812</v>
      </c>
      <c r="C4676" t="s">
        <v>21</v>
      </c>
      <c r="D4676" t="s">
        <v>25</v>
      </c>
      <c r="E4676" s="2">
        <v>7.13</v>
      </c>
      <c r="F4676" s="3">
        <v>23.39</v>
      </c>
      <c r="G4676" s="4">
        <v>74.17</v>
      </c>
      <c r="H4676">
        <v>1</v>
      </c>
      <c r="I4676" s="4">
        <v>74.17</v>
      </c>
      <c r="J4676">
        <v>3.7</v>
      </c>
      <c r="K4676" t="s">
        <v>30</v>
      </c>
      <c r="L4676" t="s">
        <v>16</v>
      </c>
      <c r="O4676"/>
    </row>
    <row r="4677" spans="1:15" x14ac:dyDescent="0.3">
      <c r="A4677" t="s">
        <v>4701</v>
      </c>
      <c r="B4677" s="1">
        <v>45695</v>
      </c>
      <c r="C4677" t="s">
        <v>21</v>
      </c>
      <c r="D4677" t="s">
        <v>22</v>
      </c>
      <c r="E4677" s="2">
        <v>1.71</v>
      </c>
      <c r="F4677" s="3">
        <v>5.4</v>
      </c>
      <c r="G4677" s="4">
        <v>31.47</v>
      </c>
      <c r="H4677">
        <v>1</v>
      </c>
      <c r="I4677" s="4">
        <v>31.47</v>
      </c>
      <c r="J4677">
        <v>3.6</v>
      </c>
      <c r="K4677" t="s">
        <v>30</v>
      </c>
      <c r="L4677" t="s">
        <v>26</v>
      </c>
      <c r="O4677"/>
    </row>
    <row r="4678" spans="1:15" x14ac:dyDescent="0.3">
      <c r="A4678" t="s">
        <v>4702</v>
      </c>
      <c r="B4678" s="1">
        <v>45866</v>
      </c>
      <c r="C4678" t="s">
        <v>13</v>
      </c>
      <c r="D4678" t="s">
        <v>13</v>
      </c>
      <c r="E4678" s="2">
        <v>21.7</v>
      </c>
      <c r="F4678" s="3">
        <v>83.75</v>
      </c>
      <c r="G4678" s="4">
        <v>372.63</v>
      </c>
      <c r="H4678">
        <v>2</v>
      </c>
      <c r="I4678" s="4">
        <v>745.26</v>
      </c>
      <c r="J4678">
        <v>4.4000000000000004</v>
      </c>
      <c r="K4678" t="s">
        <v>15</v>
      </c>
      <c r="L4678" t="s">
        <v>19</v>
      </c>
      <c r="O4678"/>
    </row>
    <row r="4679" spans="1:15" x14ac:dyDescent="0.3">
      <c r="A4679" t="s">
        <v>4703</v>
      </c>
      <c r="B4679" s="1">
        <v>45942</v>
      </c>
      <c r="C4679" t="s">
        <v>21</v>
      </c>
      <c r="D4679" t="s">
        <v>22</v>
      </c>
      <c r="E4679" s="2">
        <v>1.45</v>
      </c>
      <c r="F4679" s="3">
        <v>4.91</v>
      </c>
      <c r="G4679" s="4">
        <v>17.850000000000001</v>
      </c>
      <c r="H4679">
        <v>1</v>
      </c>
      <c r="I4679" s="4">
        <v>17.850000000000001</v>
      </c>
      <c r="J4679">
        <v>4.5999999999999996</v>
      </c>
      <c r="K4679" t="s">
        <v>30</v>
      </c>
      <c r="L4679" t="s">
        <v>26</v>
      </c>
      <c r="O4679"/>
    </row>
    <row r="4680" spans="1:15" x14ac:dyDescent="0.3">
      <c r="A4680" t="s">
        <v>4704</v>
      </c>
      <c r="B4680" s="1">
        <v>45971</v>
      </c>
      <c r="C4680" t="s">
        <v>22</v>
      </c>
      <c r="D4680" t="s">
        <v>22</v>
      </c>
      <c r="E4680" s="2">
        <v>16.39</v>
      </c>
      <c r="F4680" s="3">
        <v>57.49</v>
      </c>
      <c r="G4680" s="4">
        <v>291.64999999999998</v>
      </c>
      <c r="H4680">
        <v>1.5</v>
      </c>
      <c r="I4680" s="4">
        <v>437.48</v>
      </c>
      <c r="J4680">
        <v>4.4000000000000004</v>
      </c>
      <c r="K4680" t="s">
        <v>15</v>
      </c>
      <c r="L4680" t="s">
        <v>28</v>
      </c>
      <c r="O4680"/>
    </row>
    <row r="4681" spans="1:15" x14ac:dyDescent="0.3">
      <c r="A4681" t="s">
        <v>4705</v>
      </c>
      <c r="B4681" s="1">
        <v>45930</v>
      </c>
      <c r="C4681" t="s">
        <v>21</v>
      </c>
      <c r="D4681" t="s">
        <v>21</v>
      </c>
      <c r="E4681" s="2">
        <v>10.89</v>
      </c>
      <c r="F4681" s="3">
        <v>22.22</v>
      </c>
      <c r="G4681" s="4">
        <v>187.5</v>
      </c>
      <c r="H4681">
        <v>1.2</v>
      </c>
      <c r="I4681" s="4">
        <v>225</v>
      </c>
      <c r="J4681">
        <v>4.3</v>
      </c>
      <c r="K4681" t="s">
        <v>30</v>
      </c>
      <c r="L4681" t="s">
        <v>28</v>
      </c>
      <c r="O4681"/>
    </row>
    <row r="4682" spans="1:15" x14ac:dyDescent="0.3">
      <c r="A4682" t="s">
        <v>4706</v>
      </c>
      <c r="B4682" s="1">
        <v>45951</v>
      </c>
      <c r="C4682" t="s">
        <v>14</v>
      </c>
      <c r="D4682" t="s">
        <v>13</v>
      </c>
      <c r="E4682" s="2">
        <v>1.75</v>
      </c>
      <c r="F4682" s="3">
        <v>4.26</v>
      </c>
      <c r="G4682" s="4">
        <v>25.17</v>
      </c>
      <c r="H4682">
        <v>1</v>
      </c>
      <c r="I4682" s="4">
        <v>25.17</v>
      </c>
      <c r="J4682">
        <v>3.9</v>
      </c>
      <c r="K4682" t="s">
        <v>36</v>
      </c>
      <c r="L4682" t="s">
        <v>28</v>
      </c>
      <c r="O4682"/>
    </row>
    <row r="4683" spans="1:15" x14ac:dyDescent="0.3">
      <c r="A4683" t="s">
        <v>4707</v>
      </c>
      <c r="B4683" s="1">
        <v>46000</v>
      </c>
      <c r="C4683" t="s">
        <v>25</v>
      </c>
      <c r="D4683" t="s">
        <v>21</v>
      </c>
      <c r="E4683" s="2">
        <v>27.56</v>
      </c>
      <c r="F4683" s="3">
        <v>106.86</v>
      </c>
      <c r="G4683" s="4">
        <v>305.13</v>
      </c>
      <c r="H4683">
        <v>1.5</v>
      </c>
      <c r="I4683" s="4">
        <v>457.7</v>
      </c>
      <c r="J4683">
        <v>3.5</v>
      </c>
      <c r="K4683" t="s">
        <v>30</v>
      </c>
      <c r="L4683" t="s">
        <v>19</v>
      </c>
      <c r="O4683"/>
    </row>
    <row r="4684" spans="1:15" x14ac:dyDescent="0.3">
      <c r="A4684" t="s">
        <v>4708</v>
      </c>
      <c r="B4684" s="1">
        <v>45793</v>
      </c>
      <c r="C4684" t="s">
        <v>25</v>
      </c>
      <c r="D4684" t="s">
        <v>13</v>
      </c>
      <c r="E4684" s="2">
        <v>24.29</v>
      </c>
      <c r="F4684" s="3">
        <v>94.51</v>
      </c>
      <c r="G4684" s="4">
        <v>485.2</v>
      </c>
      <c r="H4684">
        <v>2</v>
      </c>
      <c r="I4684" s="4">
        <v>970.4</v>
      </c>
      <c r="J4684">
        <v>4.5999999999999996</v>
      </c>
      <c r="K4684" t="s">
        <v>15</v>
      </c>
      <c r="L4684" t="s">
        <v>19</v>
      </c>
      <c r="O4684"/>
    </row>
    <row r="4685" spans="1:15" x14ac:dyDescent="0.3">
      <c r="A4685" t="s">
        <v>4709</v>
      </c>
      <c r="B4685" s="1">
        <v>45864</v>
      </c>
      <c r="C4685" t="s">
        <v>13</v>
      </c>
      <c r="D4685" t="s">
        <v>14</v>
      </c>
      <c r="E4685" s="2">
        <v>8.26</v>
      </c>
      <c r="F4685" s="3">
        <v>29.05</v>
      </c>
      <c r="G4685" s="4">
        <v>107.32</v>
      </c>
      <c r="H4685">
        <v>1.5</v>
      </c>
      <c r="I4685" s="4">
        <v>160.97999999999999</v>
      </c>
      <c r="J4685">
        <v>3.4</v>
      </c>
      <c r="K4685" t="s">
        <v>18</v>
      </c>
      <c r="L4685" t="s">
        <v>28</v>
      </c>
      <c r="O4685"/>
    </row>
    <row r="4686" spans="1:15" x14ac:dyDescent="0.3">
      <c r="A4686" t="s">
        <v>4710</v>
      </c>
      <c r="B4686" s="1">
        <v>45944</v>
      </c>
      <c r="C4686" t="s">
        <v>13</v>
      </c>
      <c r="D4686" t="s">
        <v>13</v>
      </c>
      <c r="E4686" s="2">
        <v>24.02</v>
      </c>
      <c r="F4686" s="3">
        <v>61.29</v>
      </c>
      <c r="G4686" s="4">
        <v>362.23</v>
      </c>
      <c r="H4686">
        <v>1.5</v>
      </c>
      <c r="I4686" s="4">
        <v>543.34</v>
      </c>
      <c r="J4686">
        <v>3.2</v>
      </c>
      <c r="K4686" t="s">
        <v>30</v>
      </c>
      <c r="L4686" t="s">
        <v>19</v>
      </c>
      <c r="O4686"/>
    </row>
    <row r="4687" spans="1:15" x14ac:dyDescent="0.3">
      <c r="A4687" t="s">
        <v>4711</v>
      </c>
      <c r="B4687" s="1">
        <v>45968</v>
      </c>
      <c r="C4687" t="s">
        <v>14</v>
      </c>
      <c r="D4687" t="s">
        <v>13</v>
      </c>
      <c r="E4687" s="2">
        <v>2.52</v>
      </c>
      <c r="F4687" s="3">
        <v>6.66</v>
      </c>
      <c r="G4687" s="4">
        <v>50.26</v>
      </c>
      <c r="H4687">
        <v>2</v>
      </c>
      <c r="I4687" s="4">
        <v>100.52</v>
      </c>
      <c r="J4687">
        <v>4.5999999999999996</v>
      </c>
      <c r="K4687" t="s">
        <v>33</v>
      </c>
      <c r="L4687" t="s">
        <v>16</v>
      </c>
      <c r="O4687"/>
    </row>
    <row r="4688" spans="1:15" x14ac:dyDescent="0.3">
      <c r="A4688" t="s">
        <v>4712</v>
      </c>
      <c r="B4688" s="1">
        <v>45872</v>
      </c>
      <c r="C4688" t="s">
        <v>22</v>
      </c>
      <c r="D4688" t="s">
        <v>25</v>
      </c>
      <c r="E4688" s="2">
        <v>4.84</v>
      </c>
      <c r="F4688" s="3">
        <v>14.08</v>
      </c>
      <c r="G4688" s="4">
        <v>57.36</v>
      </c>
      <c r="H4688">
        <v>1.2</v>
      </c>
      <c r="I4688" s="4">
        <v>68.83</v>
      </c>
      <c r="J4688">
        <v>4.5</v>
      </c>
      <c r="K4688" t="s">
        <v>15</v>
      </c>
      <c r="L4688" t="s">
        <v>26</v>
      </c>
      <c r="O4688"/>
    </row>
    <row r="4689" spans="1:15" x14ac:dyDescent="0.3">
      <c r="A4689" t="s">
        <v>4713</v>
      </c>
      <c r="B4689" s="1">
        <v>45753</v>
      </c>
      <c r="C4689" t="s">
        <v>25</v>
      </c>
      <c r="D4689" t="s">
        <v>21</v>
      </c>
      <c r="E4689" s="2">
        <v>13.53</v>
      </c>
      <c r="F4689" s="3">
        <v>29.1</v>
      </c>
      <c r="G4689" s="4">
        <v>258.39999999999998</v>
      </c>
      <c r="H4689">
        <v>2</v>
      </c>
      <c r="I4689" s="4">
        <v>516.79999999999995</v>
      </c>
      <c r="J4689">
        <v>4.0999999999999996</v>
      </c>
      <c r="K4689" t="s">
        <v>33</v>
      </c>
      <c r="L4689" t="s">
        <v>19</v>
      </c>
      <c r="O4689"/>
    </row>
    <row r="4690" spans="1:15" x14ac:dyDescent="0.3">
      <c r="A4690" t="s">
        <v>4714</v>
      </c>
      <c r="B4690" s="1">
        <v>45786</v>
      </c>
      <c r="C4690" t="s">
        <v>25</v>
      </c>
      <c r="D4690" t="s">
        <v>14</v>
      </c>
      <c r="E4690" s="2">
        <v>29.4</v>
      </c>
      <c r="F4690" s="3">
        <v>98.65</v>
      </c>
      <c r="G4690" s="4">
        <v>559.04</v>
      </c>
      <c r="H4690">
        <v>1</v>
      </c>
      <c r="I4690" s="4">
        <v>559.04</v>
      </c>
      <c r="J4690">
        <v>3.1</v>
      </c>
      <c r="K4690" t="s">
        <v>15</v>
      </c>
      <c r="L4690" t="s">
        <v>19</v>
      </c>
      <c r="O4690"/>
    </row>
    <row r="4691" spans="1:15" x14ac:dyDescent="0.3">
      <c r="A4691" t="s">
        <v>4715</v>
      </c>
      <c r="B4691" s="1">
        <v>45892</v>
      </c>
      <c r="C4691" t="s">
        <v>14</v>
      </c>
      <c r="D4691" t="s">
        <v>21</v>
      </c>
      <c r="E4691" s="2">
        <v>8.8699999999999992</v>
      </c>
      <c r="F4691" s="3">
        <v>26.12</v>
      </c>
      <c r="G4691" s="4">
        <v>146.05000000000001</v>
      </c>
      <c r="H4691">
        <v>1</v>
      </c>
      <c r="I4691" s="4">
        <v>146.05000000000001</v>
      </c>
      <c r="J4691">
        <v>3.3</v>
      </c>
      <c r="K4691" t="s">
        <v>33</v>
      </c>
      <c r="L4691" t="s">
        <v>16</v>
      </c>
      <c r="O4691"/>
    </row>
    <row r="4692" spans="1:15" x14ac:dyDescent="0.3">
      <c r="A4692" t="s">
        <v>4716</v>
      </c>
      <c r="B4692" s="1">
        <v>45870</v>
      </c>
      <c r="C4692" t="s">
        <v>22</v>
      </c>
      <c r="D4692" t="s">
        <v>13</v>
      </c>
      <c r="E4692" s="2">
        <v>3.67</v>
      </c>
      <c r="F4692" s="3">
        <v>10.02</v>
      </c>
      <c r="G4692" s="4">
        <v>65.81</v>
      </c>
      <c r="H4692">
        <v>1.2</v>
      </c>
      <c r="I4692" s="4">
        <v>78.97</v>
      </c>
      <c r="J4692">
        <v>3.2</v>
      </c>
      <c r="K4692" t="s">
        <v>33</v>
      </c>
      <c r="L4692" t="s">
        <v>28</v>
      </c>
      <c r="O4692"/>
    </row>
    <row r="4693" spans="1:15" x14ac:dyDescent="0.3">
      <c r="A4693" t="s">
        <v>4717</v>
      </c>
      <c r="B4693" s="1">
        <v>45827</v>
      </c>
      <c r="C4693" t="s">
        <v>14</v>
      </c>
      <c r="D4693" t="s">
        <v>21</v>
      </c>
      <c r="E4693" s="2">
        <v>25.05</v>
      </c>
      <c r="F4693" s="3">
        <v>87.06</v>
      </c>
      <c r="G4693" s="4">
        <v>353.67</v>
      </c>
      <c r="H4693">
        <v>2</v>
      </c>
      <c r="I4693" s="4">
        <v>707.34</v>
      </c>
      <c r="J4693">
        <v>4.0999999999999996</v>
      </c>
      <c r="K4693" t="s">
        <v>33</v>
      </c>
      <c r="L4693" t="s">
        <v>19</v>
      </c>
      <c r="O4693"/>
    </row>
    <row r="4694" spans="1:15" x14ac:dyDescent="0.3">
      <c r="A4694" t="s">
        <v>4718</v>
      </c>
      <c r="B4694" s="1">
        <v>45706</v>
      </c>
      <c r="C4694" t="s">
        <v>13</v>
      </c>
      <c r="D4694" t="s">
        <v>14</v>
      </c>
      <c r="E4694" s="2">
        <v>27.47</v>
      </c>
      <c r="F4694" s="3">
        <v>87.2</v>
      </c>
      <c r="G4694" s="4">
        <v>384.78</v>
      </c>
      <c r="H4694">
        <v>1.5</v>
      </c>
      <c r="I4694" s="4">
        <v>577.16999999999996</v>
      </c>
      <c r="J4694">
        <v>4.3</v>
      </c>
      <c r="K4694" t="s">
        <v>18</v>
      </c>
      <c r="L4694" t="s">
        <v>26</v>
      </c>
      <c r="O4694"/>
    </row>
    <row r="4695" spans="1:15" x14ac:dyDescent="0.3">
      <c r="A4695" t="s">
        <v>4719</v>
      </c>
      <c r="B4695" s="1">
        <v>45950</v>
      </c>
      <c r="C4695" t="s">
        <v>21</v>
      </c>
      <c r="D4695" t="s">
        <v>13</v>
      </c>
      <c r="E4695" s="2">
        <v>27.11</v>
      </c>
      <c r="F4695" s="3">
        <v>91.98</v>
      </c>
      <c r="G4695" s="4">
        <v>526.1</v>
      </c>
      <c r="H4695">
        <v>1.2</v>
      </c>
      <c r="I4695" s="4">
        <v>631.32000000000005</v>
      </c>
      <c r="J4695">
        <v>3.8</v>
      </c>
      <c r="K4695" t="s">
        <v>33</v>
      </c>
      <c r="L4695" t="s">
        <v>28</v>
      </c>
      <c r="O4695"/>
    </row>
    <row r="4696" spans="1:15" x14ac:dyDescent="0.3">
      <c r="A4696" t="s">
        <v>4720</v>
      </c>
      <c r="B4696" s="1">
        <v>45663</v>
      </c>
      <c r="C4696" t="s">
        <v>13</v>
      </c>
      <c r="D4696" t="s">
        <v>22</v>
      </c>
      <c r="E4696" s="2">
        <v>24.47</v>
      </c>
      <c r="F4696" s="3">
        <v>83.3</v>
      </c>
      <c r="G4696" s="4">
        <v>296.17</v>
      </c>
      <c r="H4696">
        <v>1</v>
      </c>
      <c r="I4696" s="4">
        <v>296.17</v>
      </c>
      <c r="J4696">
        <v>4.4000000000000004</v>
      </c>
      <c r="K4696" t="s">
        <v>30</v>
      </c>
      <c r="L4696" t="s">
        <v>28</v>
      </c>
      <c r="O4696"/>
    </row>
    <row r="4697" spans="1:15" x14ac:dyDescent="0.3">
      <c r="A4697" t="s">
        <v>4721</v>
      </c>
      <c r="B4697" s="1">
        <v>45790</v>
      </c>
      <c r="C4697" t="s">
        <v>22</v>
      </c>
      <c r="D4697" t="s">
        <v>13</v>
      </c>
      <c r="E4697" s="2">
        <v>13.96</v>
      </c>
      <c r="F4697" s="3">
        <v>48.44</v>
      </c>
      <c r="G4697" s="4">
        <v>192.46</v>
      </c>
      <c r="H4697">
        <v>2</v>
      </c>
      <c r="I4697" s="4">
        <v>384.92</v>
      </c>
      <c r="J4697">
        <v>4.8</v>
      </c>
      <c r="K4697" t="s">
        <v>33</v>
      </c>
      <c r="L4697" t="s">
        <v>28</v>
      </c>
      <c r="O4697"/>
    </row>
    <row r="4698" spans="1:15" x14ac:dyDescent="0.3">
      <c r="A4698" t="s">
        <v>4722</v>
      </c>
      <c r="B4698" s="1">
        <v>45923</v>
      </c>
      <c r="C4698" t="s">
        <v>21</v>
      </c>
      <c r="D4698" t="s">
        <v>22</v>
      </c>
      <c r="E4698" s="2">
        <v>2.16</v>
      </c>
      <c r="F4698" s="3">
        <v>4.4000000000000004</v>
      </c>
      <c r="G4698" s="4">
        <v>35.57</v>
      </c>
      <c r="H4698">
        <v>1.2</v>
      </c>
      <c r="I4698" s="4">
        <v>42.68</v>
      </c>
      <c r="J4698">
        <v>3.8</v>
      </c>
      <c r="K4698" t="s">
        <v>33</v>
      </c>
      <c r="L4698" t="s">
        <v>28</v>
      </c>
      <c r="O4698"/>
    </row>
    <row r="4699" spans="1:15" x14ac:dyDescent="0.3">
      <c r="A4699" t="s">
        <v>4723</v>
      </c>
      <c r="B4699" s="1">
        <v>45979</v>
      </c>
      <c r="C4699" t="s">
        <v>25</v>
      </c>
      <c r="D4699" t="s">
        <v>14</v>
      </c>
      <c r="E4699" s="2">
        <v>23.91</v>
      </c>
      <c r="F4699" s="3">
        <v>65.790000000000006</v>
      </c>
      <c r="G4699" s="4">
        <v>477.11</v>
      </c>
      <c r="H4699">
        <v>1.2</v>
      </c>
      <c r="I4699" s="4">
        <v>572.53</v>
      </c>
      <c r="J4699">
        <v>4.7</v>
      </c>
      <c r="K4699" t="s">
        <v>36</v>
      </c>
      <c r="L4699" t="s">
        <v>16</v>
      </c>
      <c r="O4699"/>
    </row>
    <row r="4700" spans="1:15" x14ac:dyDescent="0.3">
      <c r="A4700" t="s">
        <v>4724</v>
      </c>
      <c r="B4700" s="1">
        <v>45777</v>
      </c>
      <c r="C4700" t="s">
        <v>13</v>
      </c>
      <c r="D4700" t="s">
        <v>22</v>
      </c>
      <c r="E4700" s="2">
        <v>26.05</v>
      </c>
      <c r="F4700" s="3">
        <v>65.55</v>
      </c>
      <c r="G4700" s="4">
        <v>513.35</v>
      </c>
      <c r="H4700">
        <v>1.2</v>
      </c>
      <c r="I4700" s="4">
        <v>616.02</v>
      </c>
      <c r="J4700">
        <v>4.9000000000000004</v>
      </c>
      <c r="K4700" t="s">
        <v>30</v>
      </c>
      <c r="L4700" t="s">
        <v>19</v>
      </c>
      <c r="O4700"/>
    </row>
    <row r="4701" spans="1:15" x14ac:dyDescent="0.3">
      <c r="A4701" t="s">
        <v>4725</v>
      </c>
      <c r="B4701" s="1">
        <v>45735</v>
      </c>
      <c r="C4701" t="s">
        <v>21</v>
      </c>
      <c r="D4701" t="s">
        <v>13</v>
      </c>
      <c r="E4701" s="2">
        <v>1.99</v>
      </c>
      <c r="F4701" s="3">
        <v>4.57</v>
      </c>
      <c r="G4701" s="4">
        <v>23.63</v>
      </c>
      <c r="H4701">
        <v>2</v>
      </c>
      <c r="I4701" s="4">
        <v>47.26</v>
      </c>
      <c r="J4701">
        <v>4.3</v>
      </c>
      <c r="K4701" t="s">
        <v>15</v>
      </c>
      <c r="L4701" t="s">
        <v>26</v>
      </c>
      <c r="O4701"/>
    </row>
    <row r="4702" spans="1:15" x14ac:dyDescent="0.3">
      <c r="A4702" t="s">
        <v>4726</v>
      </c>
      <c r="B4702" s="1">
        <v>45858</v>
      </c>
      <c r="C4702" t="s">
        <v>21</v>
      </c>
      <c r="D4702" t="s">
        <v>13</v>
      </c>
      <c r="E4702" s="2">
        <v>29.11</v>
      </c>
      <c r="F4702" s="3">
        <v>95.25</v>
      </c>
      <c r="G4702" s="4">
        <v>492.69</v>
      </c>
      <c r="H4702">
        <v>1.5</v>
      </c>
      <c r="I4702" s="4">
        <v>739.04</v>
      </c>
      <c r="J4702">
        <v>3.7</v>
      </c>
      <c r="K4702" t="s">
        <v>30</v>
      </c>
      <c r="L4702" t="s">
        <v>16</v>
      </c>
      <c r="O4702"/>
    </row>
    <row r="4703" spans="1:15" x14ac:dyDescent="0.3">
      <c r="A4703" t="s">
        <v>4727</v>
      </c>
      <c r="B4703" s="1">
        <v>45744</v>
      </c>
      <c r="C4703" t="s">
        <v>25</v>
      </c>
      <c r="D4703" t="s">
        <v>13</v>
      </c>
      <c r="E4703" s="2">
        <v>20.37</v>
      </c>
      <c r="F4703" s="3">
        <v>75.959999999999994</v>
      </c>
      <c r="G4703" s="4">
        <v>398.54</v>
      </c>
      <c r="H4703">
        <v>2</v>
      </c>
      <c r="I4703" s="4">
        <v>797.08</v>
      </c>
      <c r="J4703">
        <v>4</v>
      </c>
      <c r="K4703" t="s">
        <v>36</v>
      </c>
      <c r="L4703" t="s">
        <v>16</v>
      </c>
      <c r="O4703"/>
    </row>
    <row r="4704" spans="1:15" x14ac:dyDescent="0.3">
      <c r="A4704" t="s">
        <v>4728</v>
      </c>
      <c r="B4704" s="1">
        <v>45670</v>
      </c>
      <c r="C4704" t="s">
        <v>22</v>
      </c>
      <c r="D4704" t="s">
        <v>14</v>
      </c>
      <c r="E4704" s="2">
        <v>24.3</v>
      </c>
      <c r="F4704" s="3">
        <v>90.69</v>
      </c>
      <c r="G4704" s="4">
        <v>384.85</v>
      </c>
      <c r="H4704">
        <v>2</v>
      </c>
      <c r="I4704" s="4">
        <v>769.7</v>
      </c>
      <c r="J4704">
        <v>4.9000000000000004</v>
      </c>
      <c r="K4704" t="s">
        <v>15</v>
      </c>
      <c r="L4704" t="s">
        <v>16</v>
      </c>
      <c r="O4704"/>
    </row>
    <row r="4705" spans="1:15" x14ac:dyDescent="0.3">
      <c r="A4705" t="s">
        <v>4729</v>
      </c>
      <c r="B4705" s="1">
        <v>45679</v>
      </c>
      <c r="C4705" t="s">
        <v>14</v>
      </c>
      <c r="D4705" t="s">
        <v>13</v>
      </c>
      <c r="E4705" s="2">
        <v>9.86</v>
      </c>
      <c r="F4705" s="3">
        <v>24.42</v>
      </c>
      <c r="G4705" s="4">
        <v>146.72999999999999</v>
      </c>
      <c r="H4705">
        <v>1</v>
      </c>
      <c r="I4705" s="4">
        <v>146.72999999999999</v>
      </c>
      <c r="J4705">
        <v>4.3</v>
      </c>
      <c r="K4705" t="s">
        <v>15</v>
      </c>
      <c r="L4705" t="s">
        <v>16</v>
      </c>
      <c r="O4705"/>
    </row>
    <row r="4706" spans="1:15" x14ac:dyDescent="0.3">
      <c r="A4706" t="s">
        <v>4730</v>
      </c>
      <c r="B4706" s="1">
        <v>45848</v>
      </c>
      <c r="C4706" t="s">
        <v>13</v>
      </c>
      <c r="D4706" t="s">
        <v>22</v>
      </c>
      <c r="E4706" s="2">
        <v>28.74</v>
      </c>
      <c r="F4706" s="3">
        <v>105.75</v>
      </c>
      <c r="G4706" s="4">
        <v>558.02</v>
      </c>
      <c r="H4706">
        <v>2</v>
      </c>
      <c r="I4706" s="4">
        <v>1116.04</v>
      </c>
      <c r="J4706">
        <v>3</v>
      </c>
      <c r="K4706" t="s">
        <v>18</v>
      </c>
      <c r="L4706" t="s">
        <v>26</v>
      </c>
      <c r="O4706"/>
    </row>
    <row r="4707" spans="1:15" x14ac:dyDescent="0.3">
      <c r="A4707" t="s">
        <v>4731</v>
      </c>
      <c r="B4707" s="1">
        <v>46007</v>
      </c>
      <c r="C4707" t="s">
        <v>22</v>
      </c>
      <c r="D4707" t="s">
        <v>14</v>
      </c>
      <c r="E4707" s="2">
        <v>24.55</v>
      </c>
      <c r="F4707" s="3">
        <v>94.42</v>
      </c>
      <c r="G4707" s="4">
        <v>478</v>
      </c>
      <c r="H4707">
        <v>1.2</v>
      </c>
      <c r="I4707" s="4">
        <v>573.6</v>
      </c>
      <c r="J4707">
        <v>3.6</v>
      </c>
      <c r="K4707" t="s">
        <v>18</v>
      </c>
      <c r="L4707" t="s">
        <v>16</v>
      </c>
      <c r="O4707"/>
    </row>
    <row r="4708" spans="1:15" x14ac:dyDescent="0.3">
      <c r="A4708" t="s">
        <v>4732</v>
      </c>
      <c r="B4708" s="1">
        <v>45716</v>
      </c>
      <c r="C4708" t="s">
        <v>21</v>
      </c>
      <c r="D4708" t="s">
        <v>25</v>
      </c>
      <c r="E4708" s="2">
        <v>2.15</v>
      </c>
      <c r="F4708" s="3">
        <v>4.93</v>
      </c>
      <c r="G4708" s="4">
        <v>42.26</v>
      </c>
      <c r="H4708">
        <v>1.5</v>
      </c>
      <c r="I4708" s="4">
        <v>63.39</v>
      </c>
      <c r="J4708">
        <v>4.7</v>
      </c>
      <c r="K4708" t="s">
        <v>33</v>
      </c>
      <c r="L4708" t="s">
        <v>16</v>
      </c>
      <c r="O4708"/>
    </row>
    <row r="4709" spans="1:15" x14ac:dyDescent="0.3">
      <c r="A4709" t="s">
        <v>4733</v>
      </c>
      <c r="B4709" s="1">
        <v>45703</v>
      </c>
      <c r="C4709" t="s">
        <v>14</v>
      </c>
      <c r="D4709" t="s">
        <v>13</v>
      </c>
      <c r="E4709" s="2">
        <v>21.6</v>
      </c>
      <c r="F4709" s="3">
        <v>72.34</v>
      </c>
      <c r="G4709" s="4">
        <v>271.62</v>
      </c>
      <c r="H4709">
        <v>2</v>
      </c>
      <c r="I4709" s="4">
        <v>543.24</v>
      </c>
      <c r="J4709">
        <v>3.9</v>
      </c>
      <c r="K4709" t="s">
        <v>30</v>
      </c>
      <c r="L4709" t="s">
        <v>16</v>
      </c>
      <c r="O4709"/>
    </row>
    <row r="4710" spans="1:15" x14ac:dyDescent="0.3">
      <c r="A4710" t="s">
        <v>4734</v>
      </c>
      <c r="B4710" s="1">
        <v>45992</v>
      </c>
      <c r="C4710" t="s">
        <v>25</v>
      </c>
      <c r="D4710" t="s">
        <v>21</v>
      </c>
      <c r="E4710" s="2">
        <v>11.3</v>
      </c>
      <c r="F4710" s="3">
        <v>26.31</v>
      </c>
      <c r="G4710" s="4">
        <v>166.5</v>
      </c>
      <c r="H4710">
        <v>2</v>
      </c>
      <c r="I4710" s="4">
        <v>333</v>
      </c>
      <c r="J4710">
        <v>4.5999999999999996</v>
      </c>
      <c r="K4710" t="s">
        <v>33</v>
      </c>
      <c r="L4710" t="s">
        <v>28</v>
      </c>
      <c r="O4710"/>
    </row>
    <row r="4711" spans="1:15" x14ac:dyDescent="0.3">
      <c r="A4711" t="s">
        <v>4735</v>
      </c>
      <c r="B4711" s="1">
        <v>45797</v>
      </c>
      <c r="C4711" t="s">
        <v>13</v>
      </c>
      <c r="D4711" t="s">
        <v>14</v>
      </c>
      <c r="E4711" s="2">
        <v>22.08</v>
      </c>
      <c r="F4711" s="3">
        <v>79.12</v>
      </c>
      <c r="G4711" s="4">
        <v>318.17</v>
      </c>
      <c r="H4711">
        <v>1.2</v>
      </c>
      <c r="I4711" s="4">
        <v>381.8</v>
      </c>
      <c r="J4711">
        <v>3.8</v>
      </c>
      <c r="K4711" t="s">
        <v>18</v>
      </c>
      <c r="L4711" t="s">
        <v>16</v>
      </c>
      <c r="O4711"/>
    </row>
    <row r="4712" spans="1:15" x14ac:dyDescent="0.3">
      <c r="A4712" t="s">
        <v>4736</v>
      </c>
      <c r="B4712" s="1">
        <v>45780</v>
      </c>
      <c r="C4712" t="s">
        <v>22</v>
      </c>
      <c r="D4712" t="s">
        <v>14</v>
      </c>
      <c r="E4712" s="2">
        <v>29.07</v>
      </c>
      <c r="F4712" s="3">
        <v>82.26</v>
      </c>
      <c r="G4712" s="4">
        <v>489.88</v>
      </c>
      <c r="H4712">
        <v>1.5</v>
      </c>
      <c r="I4712" s="4">
        <v>734.82</v>
      </c>
      <c r="J4712">
        <v>4.5</v>
      </c>
      <c r="K4712" t="s">
        <v>30</v>
      </c>
      <c r="L4712" t="s">
        <v>19</v>
      </c>
      <c r="O4712"/>
    </row>
    <row r="4713" spans="1:15" x14ac:dyDescent="0.3">
      <c r="A4713" t="s">
        <v>4737</v>
      </c>
      <c r="B4713" s="1">
        <v>45992</v>
      </c>
      <c r="C4713" t="s">
        <v>22</v>
      </c>
      <c r="D4713" t="s">
        <v>13</v>
      </c>
      <c r="E4713" s="2">
        <v>9.5</v>
      </c>
      <c r="F4713" s="3">
        <v>28.39</v>
      </c>
      <c r="G4713" s="4">
        <v>98.98</v>
      </c>
      <c r="H4713">
        <v>1</v>
      </c>
      <c r="I4713" s="4">
        <v>98.98</v>
      </c>
      <c r="J4713">
        <v>4.8</v>
      </c>
      <c r="K4713" t="s">
        <v>36</v>
      </c>
      <c r="L4713" t="s">
        <v>26</v>
      </c>
      <c r="O4713"/>
    </row>
    <row r="4714" spans="1:15" x14ac:dyDescent="0.3">
      <c r="A4714" t="s">
        <v>4738</v>
      </c>
      <c r="B4714" s="1">
        <v>45921</v>
      </c>
      <c r="C4714" t="s">
        <v>14</v>
      </c>
      <c r="D4714" t="s">
        <v>14</v>
      </c>
      <c r="E4714" s="2">
        <v>25.19</v>
      </c>
      <c r="F4714" s="3">
        <v>74.55</v>
      </c>
      <c r="G4714" s="4">
        <v>399.6</v>
      </c>
      <c r="H4714">
        <v>2</v>
      </c>
      <c r="I4714" s="4">
        <v>799.2</v>
      </c>
      <c r="J4714">
        <v>4.5999999999999996</v>
      </c>
      <c r="K4714" t="s">
        <v>18</v>
      </c>
      <c r="L4714" t="s">
        <v>19</v>
      </c>
      <c r="O4714"/>
    </row>
    <row r="4715" spans="1:15" x14ac:dyDescent="0.3">
      <c r="A4715" t="s">
        <v>4739</v>
      </c>
      <c r="B4715" s="1">
        <v>45828</v>
      </c>
      <c r="C4715" t="s">
        <v>14</v>
      </c>
      <c r="D4715" t="s">
        <v>22</v>
      </c>
      <c r="E4715" s="2">
        <v>21.32</v>
      </c>
      <c r="F4715" s="3">
        <v>79.38</v>
      </c>
      <c r="G4715" s="4">
        <v>256.39999999999998</v>
      </c>
      <c r="H4715">
        <v>1.5</v>
      </c>
      <c r="I4715" s="4">
        <v>384.6</v>
      </c>
      <c r="J4715">
        <v>3.8</v>
      </c>
      <c r="K4715" t="s">
        <v>36</v>
      </c>
      <c r="L4715" t="s">
        <v>28</v>
      </c>
      <c r="O4715"/>
    </row>
    <row r="4716" spans="1:15" x14ac:dyDescent="0.3">
      <c r="A4716" t="s">
        <v>4740</v>
      </c>
      <c r="B4716" s="1">
        <v>45750</v>
      </c>
      <c r="C4716" t="s">
        <v>13</v>
      </c>
      <c r="D4716" t="s">
        <v>13</v>
      </c>
      <c r="E4716" s="2">
        <v>29.51</v>
      </c>
      <c r="F4716" s="3">
        <v>72.2</v>
      </c>
      <c r="G4716" s="4">
        <v>314.70999999999998</v>
      </c>
      <c r="H4716">
        <v>1.5</v>
      </c>
      <c r="I4716" s="4">
        <v>472.06</v>
      </c>
      <c r="J4716">
        <v>3.3</v>
      </c>
      <c r="K4716" t="s">
        <v>15</v>
      </c>
      <c r="L4716" t="s">
        <v>28</v>
      </c>
      <c r="O4716"/>
    </row>
    <row r="4717" spans="1:15" x14ac:dyDescent="0.3">
      <c r="A4717" t="s">
        <v>4741</v>
      </c>
      <c r="B4717" s="1">
        <v>45676</v>
      </c>
      <c r="C4717" t="s">
        <v>13</v>
      </c>
      <c r="D4717" t="s">
        <v>25</v>
      </c>
      <c r="E4717" s="2">
        <v>13.79</v>
      </c>
      <c r="F4717" s="3">
        <v>44.65</v>
      </c>
      <c r="G4717" s="4">
        <v>261.94</v>
      </c>
      <c r="H4717">
        <v>1</v>
      </c>
      <c r="I4717" s="4">
        <v>261.94</v>
      </c>
      <c r="J4717">
        <v>4.2</v>
      </c>
      <c r="K4717" t="s">
        <v>36</v>
      </c>
      <c r="L4717" t="s">
        <v>19</v>
      </c>
      <c r="O4717"/>
    </row>
    <row r="4718" spans="1:15" x14ac:dyDescent="0.3">
      <c r="A4718" t="s">
        <v>4742</v>
      </c>
      <c r="B4718" s="1">
        <v>45678</v>
      </c>
      <c r="C4718" t="s">
        <v>14</v>
      </c>
      <c r="D4718" t="s">
        <v>13</v>
      </c>
      <c r="E4718" s="2">
        <v>12.1</v>
      </c>
      <c r="F4718" s="3">
        <v>47.36</v>
      </c>
      <c r="G4718" s="4">
        <v>155.87</v>
      </c>
      <c r="H4718">
        <v>1.5</v>
      </c>
      <c r="I4718" s="4">
        <v>233.8</v>
      </c>
      <c r="J4718">
        <v>3.8</v>
      </c>
      <c r="K4718" t="s">
        <v>30</v>
      </c>
      <c r="L4718" t="s">
        <v>19</v>
      </c>
      <c r="O4718"/>
    </row>
    <row r="4719" spans="1:15" x14ac:dyDescent="0.3">
      <c r="A4719" t="s">
        <v>4743</v>
      </c>
      <c r="B4719" s="1">
        <v>45715</v>
      </c>
      <c r="C4719" t="s">
        <v>25</v>
      </c>
      <c r="D4719" t="s">
        <v>22</v>
      </c>
      <c r="E4719" s="2">
        <v>11.62</v>
      </c>
      <c r="F4719" s="3">
        <v>34.17</v>
      </c>
      <c r="G4719" s="4">
        <v>181.31</v>
      </c>
      <c r="H4719">
        <v>1.2</v>
      </c>
      <c r="I4719" s="4">
        <v>217.57</v>
      </c>
      <c r="J4719">
        <v>3.1</v>
      </c>
      <c r="K4719" t="s">
        <v>33</v>
      </c>
      <c r="L4719" t="s">
        <v>26</v>
      </c>
      <c r="O4719"/>
    </row>
    <row r="4720" spans="1:15" x14ac:dyDescent="0.3">
      <c r="A4720" t="s">
        <v>4744</v>
      </c>
      <c r="B4720" s="1">
        <v>45709</v>
      </c>
      <c r="C4720" t="s">
        <v>22</v>
      </c>
      <c r="D4720" t="s">
        <v>21</v>
      </c>
      <c r="E4720" s="2">
        <v>2.04</v>
      </c>
      <c r="F4720" s="3">
        <v>6.99</v>
      </c>
      <c r="G4720" s="4">
        <v>37.21</v>
      </c>
      <c r="H4720">
        <v>1.5</v>
      </c>
      <c r="I4720" s="4">
        <v>55.82</v>
      </c>
      <c r="J4720">
        <v>4.8</v>
      </c>
      <c r="K4720" t="s">
        <v>15</v>
      </c>
      <c r="L4720" t="s">
        <v>16</v>
      </c>
      <c r="O4720"/>
    </row>
    <row r="4721" spans="1:15" x14ac:dyDescent="0.3">
      <c r="A4721" t="s">
        <v>4745</v>
      </c>
      <c r="B4721" s="1">
        <v>45705</v>
      </c>
      <c r="C4721" t="s">
        <v>21</v>
      </c>
      <c r="D4721" t="s">
        <v>25</v>
      </c>
      <c r="E4721" s="2">
        <v>25.34</v>
      </c>
      <c r="F4721" s="3">
        <v>90.09</v>
      </c>
      <c r="G4721" s="4">
        <v>389.23</v>
      </c>
      <c r="H4721">
        <v>1</v>
      </c>
      <c r="I4721" s="4">
        <v>389.23</v>
      </c>
      <c r="J4721">
        <v>4</v>
      </c>
      <c r="K4721" t="s">
        <v>36</v>
      </c>
      <c r="L4721" t="s">
        <v>28</v>
      </c>
      <c r="O4721"/>
    </row>
    <row r="4722" spans="1:15" x14ac:dyDescent="0.3">
      <c r="A4722" t="s">
        <v>4746</v>
      </c>
      <c r="B4722" s="1">
        <v>45884</v>
      </c>
      <c r="C4722" t="s">
        <v>13</v>
      </c>
      <c r="D4722" t="s">
        <v>14</v>
      </c>
      <c r="E4722" s="2">
        <v>17.53</v>
      </c>
      <c r="F4722" s="3">
        <v>52.31</v>
      </c>
      <c r="G4722" s="4">
        <v>266.08999999999997</v>
      </c>
      <c r="H4722">
        <v>1</v>
      </c>
      <c r="I4722" s="4">
        <v>266.08999999999997</v>
      </c>
      <c r="J4722">
        <v>3.9</v>
      </c>
      <c r="K4722" t="s">
        <v>15</v>
      </c>
      <c r="L4722" t="s">
        <v>19</v>
      </c>
      <c r="O4722"/>
    </row>
    <row r="4723" spans="1:15" x14ac:dyDescent="0.3">
      <c r="A4723" t="s">
        <v>4747</v>
      </c>
      <c r="B4723" s="1">
        <v>45848</v>
      </c>
      <c r="C4723" t="s">
        <v>14</v>
      </c>
      <c r="D4723" t="s">
        <v>21</v>
      </c>
      <c r="E4723" s="2">
        <v>14.15</v>
      </c>
      <c r="F4723" s="3">
        <v>41.2</v>
      </c>
      <c r="G4723" s="4">
        <v>214.4</v>
      </c>
      <c r="H4723">
        <v>1.5</v>
      </c>
      <c r="I4723" s="4">
        <v>321.60000000000002</v>
      </c>
      <c r="J4723">
        <v>3.9</v>
      </c>
      <c r="K4723" t="s">
        <v>15</v>
      </c>
      <c r="L4723" t="s">
        <v>28</v>
      </c>
      <c r="O4723"/>
    </row>
    <row r="4724" spans="1:15" x14ac:dyDescent="0.3">
      <c r="A4724" t="s">
        <v>4748</v>
      </c>
      <c r="B4724" s="1">
        <v>45874</v>
      </c>
      <c r="C4724" t="s">
        <v>13</v>
      </c>
      <c r="D4724" t="s">
        <v>25</v>
      </c>
      <c r="E4724" s="2">
        <v>19.829999999999998</v>
      </c>
      <c r="F4724" s="3">
        <v>50.66</v>
      </c>
      <c r="G4724" s="4">
        <v>303.7</v>
      </c>
      <c r="H4724">
        <v>1</v>
      </c>
      <c r="I4724" s="4">
        <v>303.7</v>
      </c>
      <c r="J4724">
        <v>3.5</v>
      </c>
      <c r="K4724" t="s">
        <v>15</v>
      </c>
      <c r="L4724" t="s">
        <v>28</v>
      </c>
      <c r="O4724"/>
    </row>
    <row r="4725" spans="1:15" x14ac:dyDescent="0.3">
      <c r="A4725" t="s">
        <v>4749</v>
      </c>
      <c r="B4725" s="1">
        <v>45812</v>
      </c>
      <c r="C4725" t="s">
        <v>21</v>
      </c>
      <c r="D4725" t="s">
        <v>21</v>
      </c>
      <c r="E4725" s="2">
        <v>16.89</v>
      </c>
      <c r="F4725" s="3">
        <v>62.72</v>
      </c>
      <c r="G4725" s="4">
        <v>255.8</v>
      </c>
      <c r="H4725">
        <v>1.2</v>
      </c>
      <c r="I4725" s="4">
        <v>306.95999999999998</v>
      </c>
      <c r="J4725">
        <v>3.9</v>
      </c>
      <c r="K4725" t="s">
        <v>15</v>
      </c>
      <c r="L4725" t="s">
        <v>26</v>
      </c>
      <c r="O4725"/>
    </row>
    <row r="4726" spans="1:15" x14ac:dyDescent="0.3">
      <c r="A4726" t="s">
        <v>4750</v>
      </c>
      <c r="B4726" s="1">
        <v>45920</v>
      </c>
      <c r="C4726" t="s">
        <v>13</v>
      </c>
      <c r="D4726" t="s">
        <v>21</v>
      </c>
      <c r="E4726" s="2">
        <v>18.88</v>
      </c>
      <c r="F4726" s="3">
        <v>56.76</v>
      </c>
      <c r="G4726" s="4">
        <v>362.25</v>
      </c>
      <c r="H4726">
        <v>1</v>
      </c>
      <c r="I4726" s="4">
        <v>362.25</v>
      </c>
      <c r="J4726">
        <v>3.3</v>
      </c>
      <c r="K4726" t="s">
        <v>33</v>
      </c>
      <c r="L4726" t="s">
        <v>26</v>
      </c>
      <c r="O4726"/>
    </row>
    <row r="4727" spans="1:15" x14ac:dyDescent="0.3">
      <c r="A4727" t="s">
        <v>4751</v>
      </c>
      <c r="B4727" s="1">
        <v>45676</v>
      </c>
      <c r="C4727" t="s">
        <v>14</v>
      </c>
      <c r="D4727" t="s">
        <v>22</v>
      </c>
      <c r="E4727" s="2">
        <v>17.350000000000001</v>
      </c>
      <c r="F4727" s="3">
        <v>59.29</v>
      </c>
      <c r="G4727" s="4">
        <v>327.38</v>
      </c>
      <c r="H4727">
        <v>1.5</v>
      </c>
      <c r="I4727" s="4">
        <v>491.07</v>
      </c>
      <c r="J4727">
        <v>3</v>
      </c>
      <c r="K4727" t="s">
        <v>30</v>
      </c>
      <c r="L4727" t="s">
        <v>16</v>
      </c>
      <c r="O4727"/>
    </row>
    <row r="4728" spans="1:15" x14ac:dyDescent="0.3">
      <c r="A4728" t="s">
        <v>4752</v>
      </c>
      <c r="B4728" s="1">
        <v>46014</v>
      </c>
      <c r="C4728" t="s">
        <v>14</v>
      </c>
      <c r="D4728" t="s">
        <v>22</v>
      </c>
      <c r="E4728" s="2">
        <v>10.119999999999999</v>
      </c>
      <c r="F4728" s="3">
        <v>26.29</v>
      </c>
      <c r="G4728" s="4">
        <v>132.47999999999999</v>
      </c>
      <c r="H4728">
        <v>1</v>
      </c>
      <c r="I4728" s="4">
        <v>132.47999999999999</v>
      </c>
      <c r="J4728">
        <v>3.6</v>
      </c>
      <c r="K4728" t="s">
        <v>36</v>
      </c>
      <c r="L4728" t="s">
        <v>28</v>
      </c>
      <c r="O4728"/>
    </row>
    <row r="4729" spans="1:15" x14ac:dyDescent="0.3">
      <c r="A4729" t="s">
        <v>4753</v>
      </c>
      <c r="B4729" s="1">
        <v>45770</v>
      </c>
      <c r="C4729" t="s">
        <v>13</v>
      </c>
      <c r="D4729" t="s">
        <v>21</v>
      </c>
      <c r="E4729" s="2">
        <v>6.37</v>
      </c>
      <c r="F4729" s="3">
        <v>18.68</v>
      </c>
      <c r="G4729" s="4">
        <v>116.98</v>
      </c>
      <c r="H4729">
        <v>2</v>
      </c>
      <c r="I4729" s="4">
        <v>233.96</v>
      </c>
      <c r="J4729">
        <v>3.7</v>
      </c>
      <c r="K4729" t="s">
        <v>36</v>
      </c>
      <c r="L4729" t="s">
        <v>16</v>
      </c>
      <c r="O4729"/>
    </row>
    <row r="4730" spans="1:15" x14ac:dyDescent="0.3">
      <c r="A4730" t="s">
        <v>4754</v>
      </c>
      <c r="B4730" s="1">
        <v>45930</v>
      </c>
      <c r="C4730" t="s">
        <v>25</v>
      </c>
      <c r="D4730" t="s">
        <v>21</v>
      </c>
      <c r="E4730" s="2">
        <v>5.67</v>
      </c>
      <c r="F4730" s="3">
        <v>14.46</v>
      </c>
      <c r="G4730" s="4">
        <v>90.43</v>
      </c>
      <c r="H4730">
        <v>1.2</v>
      </c>
      <c r="I4730" s="4">
        <v>108.52</v>
      </c>
      <c r="J4730">
        <v>3.7</v>
      </c>
      <c r="K4730" t="s">
        <v>15</v>
      </c>
      <c r="L4730" t="s">
        <v>19</v>
      </c>
      <c r="O4730"/>
    </row>
    <row r="4731" spans="1:15" x14ac:dyDescent="0.3">
      <c r="A4731" t="s">
        <v>4755</v>
      </c>
      <c r="B4731" s="1">
        <v>46010</v>
      </c>
      <c r="C4731" t="s">
        <v>13</v>
      </c>
      <c r="D4731" t="s">
        <v>22</v>
      </c>
      <c r="E4731" s="2">
        <v>21.78</v>
      </c>
      <c r="F4731" s="3">
        <v>47.94</v>
      </c>
      <c r="G4731" s="4">
        <v>353.83</v>
      </c>
      <c r="H4731">
        <v>2</v>
      </c>
      <c r="I4731" s="4">
        <v>707.66</v>
      </c>
      <c r="J4731">
        <v>4.5999999999999996</v>
      </c>
      <c r="K4731" t="s">
        <v>33</v>
      </c>
      <c r="L4731" t="s">
        <v>28</v>
      </c>
      <c r="O4731"/>
    </row>
    <row r="4732" spans="1:15" x14ac:dyDescent="0.3">
      <c r="A4732" t="s">
        <v>4756</v>
      </c>
      <c r="B4732" s="1">
        <v>45980</v>
      </c>
      <c r="C4732" t="s">
        <v>21</v>
      </c>
      <c r="D4732" t="s">
        <v>25</v>
      </c>
      <c r="E4732" s="2">
        <v>6.16</v>
      </c>
      <c r="F4732" s="3">
        <v>14.45</v>
      </c>
      <c r="G4732" s="4">
        <v>99.57</v>
      </c>
      <c r="H4732">
        <v>1.2</v>
      </c>
      <c r="I4732" s="4">
        <v>119.48</v>
      </c>
      <c r="J4732">
        <v>3.4</v>
      </c>
      <c r="K4732" t="s">
        <v>15</v>
      </c>
      <c r="L4732" t="s">
        <v>19</v>
      </c>
      <c r="O4732"/>
    </row>
    <row r="4733" spans="1:15" x14ac:dyDescent="0.3">
      <c r="A4733" t="s">
        <v>4757</v>
      </c>
      <c r="B4733" s="1">
        <v>45922</v>
      </c>
      <c r="C4733" t="s">
        <v>25</v>
      </c>
      <c r="D4733" t="s">
        <v>21</v>
      </c>
      <c r="E4733" s="2">
        <v>8.85</v>
      </c>
      <c r="F4733" s="3">
        <v>31.96</v>
      </c>
      <c r="G4733" s="4">
        <v>148.97999999999999</v>
      </c>
      <c r="H4733">
        <v>1.2</v>
      </c>
      <c r="I4733" s="4">
        <v>178.78</v>
      </c>
      <c r="J4733">
        <v>4.2</v>
      </c>
      <c r="K4733" t="s">
        <v>30</v>
      </c>
      <c r="L4733" t="s">
        <v>16</v>
      </c>
      <c r="O4733"/>
    </row>
    <row r="4734" spans="1:15" x14ac:dyDescent="0.3">
      <c r="A4734" t="s">
        <v>4758</v>
      </c>
      <c r="B4734" s="1">
        <v>45853</v>
      </c>
      <c r="C4734" t="s">
        <v>25</v>
      </c>
      <c r="D4734" t="s">
        <v>13</v>
      </c>
      <c r="E4734" s="2">
        <v>26.42</v>
      </c>
      <c r="F4734" s="3">
        <v>73.260000000000005</v>
      </c>
      <c r="G4734" s="4">
        <v>467.44</v>
      </c>
      <c r="H4734">
        <v>1</v>
      </c>
      <c r="I4734" s="4">
        <v>467.44</v>
      </c>
      <c r="J4734">
        <v>3.9</v>
      </c>
      <c r="K4734" t="s">
        <v>33</v>
      </c>
      <c r="L4734" t="s">
        <v>26</v>
      </c>
      <c r="O4734"/>
    </row>
    <row r="4735" spans="1:15" x14ac:dyDescent="0.3">
      <c r="A4735" t="s">
        <v>4759</v>
      </c>
      <c r="B4735" s="1">
        <v>45829</v>
      </c>
      <c r="C4735" t="s">
        <v>22</v>
      </c>
      <c r="D4735" t="s">
        <v>21</v>
      </c>
      <c r="E4735" s="2">
        <v>21.23</v>
      </c>
      <c r="F4735" s="3">
        <v>58.07</v>
      </c>
      <c r="G4735" s="4">
        <v>395.7</v>
      </c>
      <c r="H4735">
        <v>2</v>
      </c>
      <c r="I4735" s="4">
        <v>791.4</v>
      </c>
      <c r="J4735">
        <v>4.9000000000000004</v>
      </c>
      <c r="K4735" t="s">
        <v>18</v>
      </c>
      <c r="L4735" t="s">
        <v>28</v>
      </c>
      <c r="O4735"/>
    </row>
    <row r="4736" spans="1:15" x14ac:dyDescent="0.3">
      <c r="A4736" t="s">
        <v>4760</v>
      </c>
      <c r="B4736" s="1">
        <v>45834</v>
      </c>
      <c r="C4736" t="s">
        <v>14</v>
      </c>
      <c r="D4736" t="s">
        <v>21</v>
      </c>
      <c r="E4736" s="2">
        <v>4.79</v>
      </c>
      <c r="F4736" s="3">
        <v>17.649999999999999</v>
      </c>
      <c r="G4736" s="4">
        <v>88.25</v>
      </c>
      <c r="H4736">
        <v>1.2</v>
      </c>
      <c r="I4736" s="4">
        <v>105.9</v>
      </c>
      <c r="J4736">
        <v>4</v>
      </c>
      <c r="K4736" t="s">
        <v>30</v>
      </c>
      <c r="L4736" t="s">
        <v>26</v>
      </c>
      <c r="O4736"/>
    </row>
    <row r="4737" spans="1:15" x14ac:dyDescent="0.3">
      <c r="A4737" t="s">
        <v>4761</v>
      </c>
      <c r="B4737" s="1">
        <v>45927</v>
      </c>
      <c r="C4737" t="s">
        <v>13</v>
      </c>
      <c r="D4737" t="s">
        <v>21</v>
      </c>
      <c r="E4737" s="2">
        <v>20.7</v>
      </c>
      <c r="F4737" s="3">
        <v>82.09</v>
      </c>
      <c r="G4737" s="4">
        <v>317.20999999999998</v>
      </c>
      <c r="H4737">
        <v>2</v>
      </c>
      <c r="I4737" s="4">
        <v>634.41999999999996</v>
      </c>
      <c r="J4737">
        <v>5</v>
      </c>
      <c r="K4737" t="s">
        <v>33</v>
      </c>
      <c r="L4737" t="s">
        <v>28</v>
      </c>
      <c r="O4737"/>
    </row>
    <row r="4738" spans="1:15" x14ac:dyDescent="0.3">
      <c r="A4738" t="s">
        <v>4762</v>
      </c>
      <c r="B4738" s="1">
        <v>45964</v>
      </c>
      <c r="C4738" t="s">
        <v>14</v>
      </c>
      <c r="D4738" t="s">
        <v>25</v>
      </c>
      <c r="E4738" s="2">
        <v>29.43</v>
      </c>
      <c r="F4738" s="3">
        <v>80.66</v>
      </c>
      <c r="G4738" s="4">
        <v>575.95000000000005</v>
      </c>
      <c r="H4738">
        <v>1</v>
      </c>
      <c r="I4738" s="4">
        <v>575.95000000000005</v>
      </c>
      <c r="J4738">
        <v>3.9</v>
      </c>
      <c r="K4738" t="s">
        <v>36</v>
      </c>
      <c r="L4738" t="s">
        <v>16</v>
      </c>
      <c r="O4738"/>
    </row>
    <row r="4739" spans="1:15" x14ac:dyDescent="0.3">
      <c r="A4739" t="s">
        <v>4763</v>
      </c>
      <c r="B4739" s="1">
        <v>45909</v>
      </c>
      <c r="C4739" t="s">
        <v>22</v>
      </c>
      <c r="D4739" t="s">
        <v>25</v>
      </c>
      <c r="E4739" s="2">
        <v>16.71</v>
      </c>
      <c r="F4739" s="3">
        <v>53.72</v>
      </c>
      <c r="G4739" s="4">
        <v>278.35000000000002</v>
      </c>
      <c r="H4739">
        <v>1</v>
      </c>
      <c r="I4739" s="4">
        <v>278.35000000000002</v>
      </c>
      <c r="J4739">
        <v>4.2</v>
      </c>
      <c r="K4739" t="s">
        <v>33</v>
      </c>
      <c r="L4739" t="s">
        <v>19</v>
      </c>
      <c r="O4739"/>
    </row>
    <row r="4740" spans="1:15" x14ac:dyDescent="0.3">
      <c r="A4740" t="s">
        <v>4764</v>
      </c>
      <c r="B4740" s="1">
        <v>45849</v>
      </c>
      <c r="C4740" t="s">
        <v>21</v>
      </c>
      <c r="D4740" t="s">
        <v>22</v>
      </c>
      <c r="E4740" s="2">
        <v>18.309999999999999</v>
      </c>
      <c r="F4740" s="3">
        <v>70.72</v>
      </c>
      <c r="G4740" s="4">
        <v>298.8</v>
      </c>
      <c r="H4740">
        <v>1</v>
      </c>
      <c r="I4740" s="4">
        <v>298.8</v>
      </c>
      <c r="J4740">
        <v>4.3</v>
      </c>
      <c r="K4740" t="s">
        <v>18</v>
      </c>
      <c r="L4740" t="s">
        <v>16</v>
      </c>
      <c r="O4740"/>
    </row>
    <row r="4741" spans="1:15" x14ac:dyDescent="0.3">
      <c r="A4741" t="s">
        <v>4765</v>
      </c>
      <c r="B4741" s="1">
        <v>45938</v>
      </c>
      <c r="C4741" t="s">
        <v>13</v>
      </c>
      <c r="D4741" t="s">
        <v>25</v>
      </c>
      <c r="E4741" s="2">
        <v>25.06</v>
      </c>
      <c r="F4741" s="3">
        <v>66.47</v>
      </c>
      <c r="G4741" s="4">
        <v>490.29</v>
      </c>
      <c r="H4741">
        <v>1.5</v>
      </c>
      <c r="I4741" s="4">
        <v>735.44</v>
      </c>
      <c r="J4741">
        <v>5</v>
      </c>
      <c r="K4741" t="s">
        <v>36</v>
      </c>
      <c r="L4741" t="s">
        <v>28</v>
      </c>
      <c r="O4741"/>
    </row>
    <row r="4742" spans="1:15" x14ac:dyDescent="0.3">
      <c r="A4742" t="s">
        <v>4766</v>
      </c>
      <c r="B4742" s="1">
        <v>45897</v>
      </c>
      <c r="C4742" t="s">
        <v>22</v>
      </c>
      <c r="D4742" t="s">
        <v>13</v>
      </c>
      <c r="E4742" s="2">
        <v>26.54</v>
      </c>
      <c r="F4742" s="3">
        <v>93.83</v>
      </c>
      <c r="G4742" s="4">
        <v>389.46</v>
      </c>
      <c r="H4742">
        <v>1.5</v>
      </c>
      <c r="I4742" s="4">
        <v>584.19000000000005</v>
      </c>
      <c r="J4742">
        <v>4.5</v>
      </c>
      <c r="K4742" t="s">
        <v>33</v>
      </c>
      <c r="L4742" t="s">
        <v>19</v>
      </c>
      <c r="O4742"/>
    </row>
    <row r="4743" spans="1:15" x14ac:dyDescent="0.3">
      <c r="A4743" t="s">
        <v>4767</v>
      </c>
      <c r="B4743" s="1">
        <v>45995</v>
      </c>
      <c r="C4743" t="s">
        <v>22</v>
      </c>
      <c r="D4743" t="s">
        <v>21</v>
      </c>
      <c r="E4743" s="2">
        <v>16.78</v>
      </c>
      <c r="F4743" s="3">
        <v>58.33</v>
      </c>
      <c r="G4743" s="4">
        <v>300.47000000000003</v>
      </c>
      <c r="H4743">
        <v>1</v>
      </c>
      <c r="I4743" s="4">
        <v>300.47000000000003</v>
      </c>
      <c r="J4743">
        <v>3.2</v>
      </c>
      <c r="K4743" t="s">
        <v>33</v>
      </c>
      <c r="L4743" t="s">
        <v>26</v>
      </c>
      <c r="O4743"/>
    </row>
    <row r="4744" spans="1:15" x14ac:dyDescent="0.3">
      <c r="A4744" t="s">
        <v>4768</v>
      </c>
      <c r="B4744" s="1">
        <v>45688</v>
      </c>
      <c r="C4744" t="s">
        <v>21</v>
      </c>
      <c r="D4744" t="s">
        <v>13</v>
      </c>
      <c r="E4744" s="2">
        <v>6.74</v>
      </c>
      <c r="F4744" s="3">
        <v>16.78</v>
      </c>
      <c r="G4744" s="4">
        <v>128.38999999999999</v>
      </c>
      <c r="H4744">
        <v>2</v>
      </c>
      <c r="I4744" s="4">
        <v>256.77999999999997</v>
      </c>
      <c r="J4744">
        <v>3.8</v>
      </c>
      <c r="K4744" t="s">
        <v>18</v>
      </c>
      <c r="L4744" t="s">
        <v>19</v>
      </c>
      <c r="O4744"/>
    </row>
    <row r="4745" spans="1:15" x14ac:dyDescent="0.3">
      <c r="A4745" t="s">
        <v>4769</v>
      </c>
      <c r="B4745" s="1">
        <v>45850</v>
      </c>
      <c r="C4745" t="s">
        <v>14</v>
      </c>
      <c r="D4745" t="s">
        <v>13</v>
      </c>
      <c r="E4745" s="2">
        <v>26.21</v>
      </c>
      <c r="F4745" s="3">
        <v>53.74</v>
      </c>
      <c r="G4745" s="4">
        <v>382.22</v>
      </c>
      <c r="H4745">
        <v>1.5</v>
      </c>
      <c r="I4745" s="4">
        <v>573.33000000000004</v>
      </c>
      <c r="J4745">
        <v>3.6</v>
      </c>
      <c r="K4745" t="s">
        <v>15</v>
      </c>
      <c r="L4745" t="s">
        <v>19</v>
      </c>
      <c r="O4745"/>
    </row>
    <row r="4746" spans="1:15" x14ac:dyDescent="0.3">
      <c r="A4746" t="s">
        <v>4770</v>
      </c>
      <c r="B4746" s="1">
        <v>45763</v>
      </c>
      <c r="C4746" t="s">
        <v>14</v>
      </c>
      <c r="D4746" t="s">
        <v>22</v>
      </c>
      <c r="E4746" s="2">
        <v>29.2</v>
      </c>
      <c r="F4746" s="3">
        <v>94.07</v>
      </c>
      <c r="G4746" s="4">
        <v>406.52</v>
      </c>
      <c r="H4746">
        <v>1.2</v>
      </c>
      <c r="I4746" s="4">
        <v>487.82</v>
      </c>
      <c r="J4746">
        <v>4.4000000000000004</v>
      </c>
      <c r="K4746" t="s">
        <v>36</v>
      </c>
      <c r="L4746" t="s">
        <v>19</v>
      </c>
      <c r="O4746"/>
    </row>
    <row r="4747" spans="1:15" x14ac:dyDescent="0.3">
      <c r="A4747" t="s">
        <v>4771</v>
      </c>
      <c r="B4747" s="1">
        <v>45917</v>
      </c>
      <c r="C4747" t="s">
        <v>13</v>
      </c>
      <c r="D4747" t="s">
        <v>25</v>
      </c>
      <c r="E4747" s="2">
        <v>7.47</v>
      </c>
      <c r="F4747" s="3">
        <v>21.54</v>
      </c>
      <c r="G4747" s="4">
        <v>129.77000000000001</v>
      </c>
      <c r="H4747">
        <v>1.5</v>
      </c>
      <c r="I4747" s="4">
        <v>194.66</v>
      </c>
      <c r="J4747">
        <v>3.1</v>
      </c>
      <c r="K4747" t="s">
        <v>36</v>
      </c>
      <c r="L4747" t="s">
        <v>26</v>
      </c>
      <c r="O4747"/>
    </row>
    <row r="4748" spans="1:15" x14ac:dyDescent="0.3">
      <c r="A4748" t="s">
        <v>4772</v>
      </c>
      <c r="B4748" s="1">
        <v>45739</v>
      </c>
      <c r="C4748" t="s">
        <v>25</v>
      </c>
      <c r="D4748" t="s">
        <v>22</v>
      </c>
      <c r="E4748" s="2">
        <v>25.3</v>
      </c>
      <c r="F4748" s="3">
        <v>56.36</v>
      </c>
      <c r="G4748" s="4">
        <v>382.86</v>
      </c>
      <c r="H4748">
        <v>1.5</v>
      </c>
      <c r="I4748" s="4">
        <v>574.29</v>
      </c>
      <c r="J4748">
        <v>3.9</v>
      </c>
      <c r="K4748" t="s">
        <v>30</v>
      </c>
      <c r="L4748" t="s">
        <v>19</v>
      </c>
      <c r="O4748"/>
    </row>
    <row r="4749" spans="1:15" x14ac:dyDescent="0.3">
      <c r="A4749" t="s">
        <v>4773</v>
      </c>
      <c r="B4749" s="1">
        <v>45789</v>
      </c>
      <c r="C4749" t="s">
        <v>21</v>
      </c>
      <c r="D4749" t="s">
        <v>22</v>
      </c>
      <c r="E4749" s="2">
        <v>19.5</v>
      </c>
      <c r="F4749" s="3">
        <v>45.38</v>
      </c>
      <c r="G4749" s="4">
        <v>250.35</v>
      </c>
      <c r="H4749">
        <v>1.5</v>
      </c>
      <c r="I4749" s="4">
        <v>375.52</v>
      </c>
      <c r="J4749">
        <v>4.5</v>
      </c>
      <c r="K4749" t="s">
        <v>18</v>
      </c>
      <c r="L4749" t="s">
        <v>16</v>
      </c>
      <c r="O4749"/>
    </row>
    <row r="4750" spans="1:15" x14ac:dyDescent="0.3">
      <c r="A4750" t="s">
        <v>4774</v>
      </c>
      <c r="B4750" s="1">
        <v>45915</v>
      </c>
      <c r="C4750" t="s">
        <v>21</v>
      </c>
      <c r="D4750" t="s">
        <v>14</v>
      </c>
      <c r="E4750" s="2">
        <v>18.690000000000001</v>
      </c>
      <c r="F4750" s="3">
        <v>38.909999999999997</v>
      </c>
      <c r="G4750" s="4">
        <v>329.47</v>
      </c>
      <c r="H4750">
        <v>2</v>
      </c>
      <c r="I4750" s="4">
        <v>658.94</v>
      </c>
      <c r="J4750">
        <v>3.5</v>
      </c>
      <c r="K4750" t="s">
        <v>33</v>
      </c>
      <c r="L4750" t="s">
        <v>16</v>
      </c>
      <c r="O4750"/>
    </row>
    <row r="4751" spans="1:15" x14ac:dyDescent="0.3">
      <c r="A4751" t="s">
        <v>4775</v>
      </c>
      <c r="B4751" s="1">
        <v>45765</v>
      </c>
      <c r="C4751" t="s">
        <v>25</v>
      </c>
      <c r="D4751" t="s">
        <v>25</v>
      </c>
      <c r="E4751" s="2">
        <v>18.03</v>
      </c>
      <c r="F4751" s="3">
        <v>47.02</v>
      </c>
      <c r="G4751" s="4">
        <v>249.09</v>
      </c>
      <c r="H4751">
        <v>1.2</v>
      </c>
      <c r="I4751" s="4">
        <v>298.91000000000003</v>
      </c>
      <c r="J4751">
        <v>4.9000000000000004</v>
      </c>
      <c r="K4751" t="s">
        <v>33</v>
      </c>
      <c r="L4751" t="s">
        <v>19</v>
      </c>
      <c r="O4751"/>
    </row>
    <row r="4752" spans="1:15" x14ac:dyDescent="0.3">
      <c r="A4752" t="s">
        <v>4776</v>
      </c>
      <c r="B4752" s="1">
        <v>45826</v>
      </c>
      <c r="C4752" t="s">
        <v>14</v>
      </c>
      <c r="D4752" t="s">
        <v>14</v>
      </c>
      <c r="E4752" s="2">
        <v>21.52</v>
      </c>
      <c r="F4752" s="3">
        <v>51.68</v>
      </c>
      <c r="G4752" s="4">
        <v>249.31</v>
      </c>
      <c r="H4752">
        <v>1</v>
      </c>
      <c r="I4752" s="4">
        <v>249.31</v>
      </c>
      <c r="J4752">
        <v>3.4</v>
      </c>
      <c r="K4752" t="s">
        <v>36</v>
      </c>
      <c r="L4752" t="s">
        <v>19</v>
      </c>
      <c r="O4752"/>
    </row>
    <row r="4753" spans="1:15" x14ac:dyDescent="0.3">
      <c r="A4753" t="s">
        <v>4777</v>
      </c>
      <c r="B4753" s="1">
        <v>45885</v>
      </c>
      <c r="C4753" t="s">
        <v>25</v>
      </c>
      <c r="D4753" t="s">
        <v>25</v>
      </c>
      <c r="E4753" s="2">
        <v>16.77</v>
      </c>
      <c r="F4753" s="3">
        <v>54.37</v>
      </c>
      <c r="G4753" s="4">
        <v>303.23</v>
      </c>
      <c r="H4753">
        <v>1.5</v>
      </c>
      <c r="I4753" s="4">
        <v>454.84</v>
      </c>
      <c r="J4753">
        <v>4.4000000000000004</v>
      </c>
      <c r="K4753" t="s">
        <v>15</v>
      </c>
      <c r="L4753" t="s">
        <v>19</v>
      </c>
      <c r="O4753"/>
    </row>
    <row r="4754" spans="1:15" x14ac:dyDescent="0.3">
      <c r="A4754" t="s">
        <v>4778</v>
      </c>
      <c r="B4754" s="1">
        <v>45898</v>
      </c>
      <c r="C4754" t="s">
        <v>13</v>
      </c>
      <c r="D4754" t="s">
        <v>14</v>
      </c>
      <c r="E4754" s="2">
        <v>29</v>
      </c>
      <c r="F4754" s="3">
        <v>75.25</v>
      </c>
      <c r="G4754" s="4">
        <v>361.95</v>
      </c>
      <c r="H4754">
        <v>1</v>
      </c>
      <c r="I4754" s="4">
        <v>361.95</v>
      </c>
      <c r="J4754">
        <v>5</v>
      </c>
      <c r="K4754" t="s">
        <v>15</v>
      </c>
      <c r="L4754" t="s">
        <v>19</v>
      </c>
      <c r="O4754"/>
    </row>
    <row r="4755" spans="1:15" x14ac:dyDescent="0.3">
      <c r="A4755" t="s">
        <v>4779</v>
      </c>
      <c r="B4755" s="1">
        <v>46001</v>
      </c>
      <c r="C4755" t="s">
        <v>22</v>
      </c>
      <c r="D4755" t="s">
        <v>14</v>
      </c>
      <c r="E4755" s="2">
        <v>13.03</v>
      </c>
      <c r="F4755" s="3">
        <v>31.61</v>
      </c>
      <c r="G4755" s="4">
        <v>231.79</v>
      </c>
      <c r="H4755">
        <v>1.5</v>
      </c>
      <c r="I4755" s="4">
        <v>347.68</v>
      </c>
      <c r="J4755">
        <v>3.1</v>
      </c>
      <c r="K4755" t="s">
        <v>30</v>
      </c>
      <c r="L4755" t="s">
        <v>19</v>
      </c>
      <c r="O4755"/>
    </row>
    <row r="4756" spans="1:15" x14ac:dyDescent="0.3">
      <c r="A4756" t="s">
        <v>4780</v>
      </c>
      <c r="B4756" s="1">
        <v>45715</v>
      </c>
      <c r="C4756" t="s">
        <v>14</v>
      </c>
      <c r="D4756" t="s">
        <v>14</v>
      </c>
      <c r="E4756" s="2">
        <v>6.95</v>
      </c>
      <c r="F4756" s="3">
        <v>25.47</v>
      </c>
      <c r="G4756" s="4">
        <v>81.67</v>
      </c>
      <c r="H4756">
        <v>1.5</v>
      </c>
      <c r="I4756" s="4">
        <v>122.5</v>
      </c>
      <c r="J4756">
        <v>4.3</v>
      </c>
      <c r="K4756" t="s">
        <v>15</v>
      </c>
      <c r="L4756" t="s">
        <v>19</v>
      </c>
      <c r="O4756"/>
    </row>
    <row r="4757" spans="1:15" x14ac:dyDescent="0.3">
      <c r="A4757" t="s">
        <v>4781</v>
      </c>
      <c r="B4757" s="1">
        <v>45752</v>
      </c>
      <c r="C4757" t="s">
        <v>22</v>
      </c>
      <c r="D4757" t="s">
        <v>22</v>
      </c>
      <c r="E4757" s="2">
        <v>20.309999999999999</v>
      </c>
      <c r="F4757" s="3">
        <v>48.73</v>
      </c>
      <c r="G4757" s="4">
        <v>257.67</v>
      </c>
      <c r="H4757">
        <v>1.5</v>
      </c>
      <c r="I4757" s="4">
        <v>386.5</v>
      </c>
      <c r="J4757">
        <v>3.7</v>
      </c>
      <c r="K4757" t="s">
        <v>33</v>
      </c>
      <c r="L4757" t="s">
        <v>16</v>
      </c>
      <c r="O4757"/>
    </row>
    <row r="4758" spans="1:15" x14ac:dyDescent="0.3">
      <c r="A4758" t="s">
        <v>4782</v>
      </c>
      <c r="B4758" s="1">
        <v>45847</v>
      </c>
      <c r="C4758" t="s">
        <v>22</v>
      </c>
      <c r="D4758" t="s">
        <v>21</v>
      </c>
      <c r="E4758" s="2">
        <v>23.46</v>
      </c>
      <c r="F4758" s="3">
        <v>64.16</v>
      </c>
      <c r="G4758" s="4">
        <v>272.72000000000003</v>
      </c>
      <c r="H4758">
        <v>2</v>
      </c>
      <c r="I4758" s="4">
        <v>545.44000000000005</v>
      </c>
      <c r="J4758">
        <v>3.5</v>
      </c>
      <c r="K4758" t="s">
        <v>33</v>
      </c>
      <c r="L4758" t="s">
        <v>19</v>
      </c>
      <c r="O4758"/>
    </row>
    <row r="4759" spans="1:15" x14ac:dyDescent="0.3">
      <c r="A4759" t="s">
        <v>4783</v>
      </c>
      <c r="B4759" s="1">
        <v>45751</v>
      </c>
      <c r="C4759" t="s">
        <v>22</v>
      </c>
      <c r="D4759" t="s">
        <v>14</v>
      </c>
      <c r="E4759" s="2">
        <v>22.22</v>
      </c>
      <c r="F4759" s="3">
        <v>65.34</v>
      </c>
      <c r="G4759" s="4">
        <v>379.66</v>
      </c>
      <c r="H4759">
        <v>1</v>
      </c>
      <c r="I4759" s="4">
        <v>379.66</v>
      </c>
      <c r="J4759">
        <v>4.8</v>
      </c>
      <c r="K4759" t="s">
        <v>30</v>
      </c>
      <c r="L4759" t="s">
        <v>28</v>
      </c>
      <c r="O4759"/>
    </row>
    <row r="4760" spans="1:15" x14ac:dyDescent="0.3">
      <c r="A4760" t="s">
        <v>4784</v>
      </c>
      <c r="B4760" s="1">
        <v>45847</v>
      </c>
      <c r="C4760" t="s">
        <v>25</v>
      </c>
      <c r="D4760" t="s">
        <v>22</v>
      </c>
      <c r="E4760" s="2">
        <v>5.19</v>
      </c>
      <c r="F4760" s="3">
        <v>16.98</v>
      </c>
      <c r="G4760" s="4">
        <v>96.02</v>
      </c>
      <c r="H4760">
        <v>1.2</v>
      </c>
      <c r="I4760" s="4">
        <v>115.22</v>
      </c>
      <c r="J4760">
        <v>4.9000000000000004</v>
      </c>
      <c r="K4760" t="s">
        <v>18</v>
      </c>
      <c r="L4760" t="s">
        <v>19</v>
      </c>
      <c r="O4760"/>
    </row>
    <row r="4761" spans="1:15" x14ac:dyDescent="0.3">
      <c r="A4761" t="s">
        <v>4785</v>
      </c>
      <c r="B4761" s="1">
        <v>45667</v>
      </c>
      <c r="C4761" t="s">
        <v>14</v>
      </c>
      <c r="D4761" t="s">
        <v>13</v>
      </c>
      <c r="E4761" s="2">
        <v>22.53</v>
      </c>
      <c r="F4761" s="3">
        <v>71.260000000000005</v>
      </c>
      <c r="G4761" s="4">
        <v>334.96</v>
      </c>
      <c r="H4761">
        <v>1.5</v>
      </c>
      <c r="I4761" s="4">
        <v>502.44</v>
      </c>
      <c r="J4761">
        <v>4.0999999999999996</v>
      </c>
      <c r="K4761" t="s">
        <v>30</v>
      </c>
      <c r="L4761" t="s">
        <v>19</v>
      </c>
      <c r="O4761"/>
    </row>
    <row r="4762" spans="1:15" x14ac:dyDescent="0.3">
      <c r="A4762" t="s">
        <v>4786</v>
      </c>
      <c r="B4762" s="1">
        <v>45673</v>
      </c>
      <c r="C4762" t="s">
        <v>13</v>
      </c>
      <c r="D4762" t="s">
        <v>25</v>
      </c>
      <c r="E4762" s="2">
        <v>11.29</v>
      </c>
      <c r="F4762" s="3">
        <v>42.77</v>
      </c>
      <c r="G4762" s="4">
        <v>119.22</v>
      </c>
      <c r="H4762">
        <v>1.2</v>
      </c>
      <c r="I4762" s="4">
        <v>143.06</v>
      </c>
      <c r="J4762">
        <v>3.9</v>
      </c>
      <c r="K4762" t="s">
        <v>33</v>
      </c>
      <c r="L4762" t="s">
        <v>28</v>
      </c>
      <c r="O4762"/>
    </row>
    <row r="4763" spans="1:15" x14ac:dyDescent="0.3">
      <c r="A4763" t="s">
        <v>4787</v>
      </c>
      <c r="B4763" s="1">
        <v>45700</v>
      </c>
      <c r="C4763" t="s">
        <v>21</v>
      </c>
      <c r="D4763" t="s">
        <v>14</v>
      </c>
      <c r="E4763" s="2">
        <v>26.68</v>
      </c>
      <c r="F4763" s="3">
        <v>84.26</v>
      </c>
      <c r="G4763" s="4">
        <v>327.41000000000003</v>
      </c>
      <c r="H4763">
        <v>1.5</v>
      </c>
      <c r="I4763" s="4">
        <v>491.12</v>
      </c>
      <c r="J4763">
        <v>3.5</v>
      </c>
      <c r="K4763" t="s">
        <v>30</v>
      </c>
      <c r="L4763" t="s">
        <v>19</v>
      </c>
      <c r="O4763"/>
    </row>
    <row r="4764" spans="1:15" x14ac:dyDescent="0.3">
      <c r="A4764" t="s">
        <v>4788</v>
      </c>
      <c r="B4764" s="1">
        <v>45832</v>
      </c>
      <c r="C4764" t="s">
        <v>25</v>
      </c>
      <c r="D4764" t="s">
        <v>22</v>
      </c>
      <c r="E4764" s="2">
        <v>12.84</v>
      </c>
      <c r="F4764" s="3">
        <v>34.76</v>
      </c>
      <c r="G4764" s="4">
        <v>141.6</v>
      </c>
      <c r="H4764">
        <v>1.5</v>
      </c>
      <c r="I4764" s="4">
        <v>212.4</v>
      </c>
      <c r="J4764">
        <v>4.8</v>
      </c>
      <c r="K4764" t="s">
        <v>18</v>
      </c>
      <c r="L4764" t="s">
        <v>26</v>
      </c>
      <c r="O4764"/>
    </row>
    <row r="4765" spans="1:15" x14ac:dyDescent="0.3">
      <c r="A4765" t="s">
        <v>4789</v>
      </c>
      <c r="B4765" s="1">
        <v>45879</v>
      </c>
      <c r="C4765" t="s">
        <v>25</v>
      </c>
      <c r="D4765" t="s">
        <v>21</v>
      </c>
      <c r="E4765" s="2">
        <v>20.16</v>
      </c>
      <c r="F4765" s="3">
        <v>53.19</v>
      </c>
      <c r="G4765" s="4">
        <v>288.52</v>
      </c>
      <c r="H4765">
        <v>2</v>
      </c>
      <c r="I4765" s="4">
        <v>577.04</v>
      </c>
      <c r="J4765">
        <v>3.9</v>
      </c>
      <c r="K4765" t="s">
        <v>18</v>
      </c>
      <c r="L4765" t="s">
        <v>16</v>
      </c>
      <c r="O4765"/>
    </row>
    <row r="4766" spans="1:15" x14ac:dyDescent="0.3">
      <c r="A4766" t="s">
        <v>4790</v>
      </c>
      <c r="B4766" s="1">
        <v>45785</v>
      </c>
      <c r="C4766" t="s">
        <v>13</v>
      </c>
      <c r="D4766" t="s">
        <v>21</v>
      </c>
      <c r="E4766" s="2">
        <v>15.72</v>
      </c>
      <c r="F4766" s="3">
        <v>32.200000000000003</v>
      </c>
      <c r="G4766" s="4">
        <v>242.28</v>
      </c>
      <c r="H4766">
        <v>1</v>
      </c>
      <c r="I4766" s="4">
        <v>242.28</v>
      </c>
      <c r="J4766">
        <v>3.7</v>
      </c>
      <c r="K4766" t="s">
        <v>33</v>
      </c>
      <c r="L4766" t="s">
        <v>28</v>
      </c>
      <c r="O4766"/>
    </row>
    <row r="4767" spans="1:15" x14ac:dyDescent="0.3">
      <c r="A4767" t="s">
        <v>4791</v>
      </c>
      <c r="B4767" s="1">
        <v>45855</v>
      </c>
      <c r="C4767" t="s">
        <v>13</v>
      </c>
      <c r="D4767" t="s">
        <v>22</v>
      </c>
      <c r="E4767" s="2">
        <v>20.83</v>
      </c>
      <c r="F4767" s="3">
        <v>44.85</v>
      </c>
      <c r="G4767" s="4">
        <v>283.92</v>
      </c>
      <c r="H4767">
        <v>2</v>
      </c>
      <c r="I4767" s="4">
        <v>567.84</v>
      </c>
      <c r="J4767">
        <v>4.0999999999999996</v>
      </c>
      <c r="K4767" t="s">
        <v>30</v>
      </c>
      <c r="L4767" t="s">
        <v>16</v>
      </c>
      <c r="O4767"/>
    </row>
    <row r="4768" spans="1:15" x14ac:dyDescent="0.3">
      <c r="A4768" t="s">
        <v>4792</v>
      </c>
      <c r="B4768" s="1">
        <v>45913</v>
      </c>
      <c r="C4768" t="s">
        <v>22</v>
      </c>
      <c r="D4768" t="s">
        <v>13</v>
      </c>
      <c r="E4768" s="2">
        <v>2.77</v>
      </c>
      <c r="F4768" s="3">
        <v>6.59</v>
      </c>
      <c r="G4768" s="4">
        <v>40.06</v>
      </c>
      <c r="H4768">
        <v>2</v>
      </c>
      <c r="I4768" s="4">
        <v>80.12</v>
      </c>
      <c r="J4768">
        <v>4.3</v>
      </c>
      <c r="K4768" t="s">
        <v>33</v>
      </c>
      <c r="L4768" t="s">
        <v>26</v>
      </c>
      <c r="O4768"/>
    </row>
    <row r="4769" spans="1:15" x14ac:dyDescent="0.3">
      <c r="A4769" t="s">
        <v>4793</v>
      </c>
      <c r="B4769" s="1">
        <v>45730</v>
      </c>
      <c r="C4769" t="s">
        <v>25</v>
      </c>
      <c r="D4769" t="s">
        <v>13</v>
      </c>
      <c r="E4769" s="2">
        <v>19.86</v>
      </c>
      <c r="F4769" s="3">
        <v>53.06</v>
      </c>
      <c r="G4769" s="4">
        <v>271.54000000000002</v>
      </c>
      <c r="H4769">
        <v>2</v>
      </c>
      <c r="I4769" s="4">
        <v>543.08000000000004</v>
      </c>
      <c r="J4769">
        <v>3</v>
      </c>
      <c r="K4769" t="s">
        <v>33</v>
      </c>
      <c r="L4769" t="s">
        <v>26</v>
      </c>
      <c r="O4769"/>
    </row>
    <row r="4770" spans="1:15" x14ac:dyDescent="0.3">
      <c r="A4770" t="s">
        <v>4794</v>
      </c>
      <c r="B4770" s="1">
        <v>45731</v>
      </c>
      <c r="C4770" t="s">
        <v>22</v>
      </c>
      <c r="D4770" t="s">
        <v>14</v>
      </c>
      <c r="E4770" s="2">
        <v>27.51</v>
      </c>
      <c r="F4770" s="3">
        <v>104.62</v>
      </c>
      <c r="G4770" s="4">
        <v>417.81</v>
      </c>
      <c r="H4770">
        <v>2</v>
      </c>
      <c r="I4770" s="4">
        <v>835.62</v>
      </c>
      <c r="J4770">
        <v>4.8</v>
      </c>
      <c r="K4770" t="s">
        <v>15</v>
      </c>
      <c r="L4770" t="s">
        <v>28</v>
      </c>
      <c r="O4770"/>
    </row>
    <row r="4771" spans="1:15" x14ac:dyDescent="0.3">
      <c r="A4771" t="s">
        <v>4795</v>
      </c>
      <c r="B4771" s="1">
        <v>45841</v>
      </c>
      <c r="C4771" t="s">
        <v>25</v>
      </c>
      <c r="D4771" t="s">
        <v>25</v>
      </c>
      <c r="E4771" s="2">
        <v>1.22</v>
      </c>
      <c r="F4771" s="3">
        <v>2.66</v>
      </c>
      <c r="G4771" s="4">
        <v>20.43</v>
      </c>
      <c r="H4771">
        <v>1.5</v>
      </c>
      <c r="I4771" s="4">
        <v>30.64</v>
      </c>
      <c r="J4771">
        <v>4.3</v>
      </c>
      <c r="K4771" t="s">
        <v>18</v>
      </c>
      <c r="L4771" t="s">
        <v>16</v>
      </c>
      <c r="O4771"/>
    </row>
    <row r="4772" spans="1:15" x14ac:dyDescent="0.3">
      <c r="A4772" t="s">
        <v>4796</v>
      </c>
      <c r="B4772" s="1">
        <v>45826</v>
      </c>
      <c r="C4772" t="s">
        <v>22</v>
      </c>
      <c r="D4772" t="s">
        <v>21</v>
      </c>
      <c r="E4772" s="2">
        <v>1.35</v>
      </c>
      <c r="F4772" s="3">
        <v>4.88</v>
      </c>
      <c r="G4772" s="4">
        <v>15.33</v>
      </c>
      <c r="H4772">
        <v>1.2</v>
      </c>
      <c r="I4772" s="4">
        <v>18.399999999999999</v>
      </c>
      <c r="J4772">
        <v>3.5</v>
      </c>
      <c r="K4772" t="s">
        <v>15</v>
      </c>
      <c r="L4772" t="s">
        <v>26</v>
      </c>
      <c r="O4772"/>
    </row>
    <row r="4773" spans="1:15" x14ac:dyDescent="0.3">
      <c r="A4773" t="s">
        <v>4797</v>
      </c>
      <c r="B4773" s="1">
        <v>45895</v>
      </c>
      <c r="C4773" t="s">
        <v>22</v>
      </c>
      <c r="D4773" t="s">
        <v>21</v>
      </c>
      <c r="E4773" s="2">
        <v>2.5</v>
      </c>
      <c r="F4773" s="3">
        <v>6.75</v>
      </c>
      <c r="G4773" s="4">
        <v>27.11</v>
      </c>
      <c r="H4773">
        <v>1</v>
      </c>
      <c r="I4773" s="4">
        <v>27.11</v>
      </c>
      <c r="J4773">
        <v>5</v>
      </c>
      <c r="K4773" t="s">
        <v>30</v>
      </c>
      <c r="L4773" t="s">
        <v>19</v>
      </c>
      <c r="O4773"/>
    </row>
    <row r="4774" spans="1:15" x14ac:dyDescent="0.3">
      <c r="A4774" t="s">
        <v>4798</v>
      </c>
      <c r="B4774" s="1">
        <v>45895</v>
      </c>
      <c r="C4774" t="s">
        <v>25</v>
      </c>
      <c r="D4774" t="s">
        <v>21</v>
      </c>
      <c r="E4774" s="2">
        <v>24.21</v>
      </c>
      <c r="F4774" s="3">
        <v>73.95</v>
      </c>
      <c r="G4774" s="4">
        <v>328.7</v>
      </c>
      <c r="H4774">
        <v>1</v>
      </c>
      <c r="I4774" s="4">
        <v>328.7</v>
      </c>
      <c r="J4774">
        <v>3.1</v>
      </c>
      <c r="K4774" t="s">
        <v>36</v>
      </c>
      <c r="L4774" t="s">
        <v>26</v>
      </c>
      <c r="O4774"/>
    </row>
    <row r="4775" spans="1:15" x14ac:dyDescent="0.3">
      <c r="A4775" t="s">
        <v>4799</v>
      </c>
      <c r="B4775" s="1">
        <v>45695</v>
      </c>
      <c r="C4775" t="s">
        <v>25</v>
      </c>
      <c r="D4775" t="s">
        <v>25</v>
      </c>
      <c r="E4775" s="2">
        <v>15.92</v>
      </c>
      <c r="F4775" s="3">
        <v>52.99</v>
      </c>
      <c r="G4775" s="4">
        <v>195.65</v>
      </c>
      <c r="H4775">
        <v>1</v>
      </c>
      <c r="I4775" s="4">
        <v>195.65</v>
      </c>
      <c r="J4775">
        <v>3</v>
      </c>
      <c r="K4775" t="s">
        <v>18</v>
      </c>
      <c r="L4775" t="s">
        <v>16</v>
      </c>
      <c r="O4775"/>
    </row>
    <row r="4776" spans="1:15" x14ac:dyDescent="0.3">
      <c r="A4776" t="s">
        <v>4800</v>
      </c>
      <c r="B4776" s="1">
        <v>45778</v>
      </c>
      <c r="C4776" t="s">
        <v>25</v>
      </c>
      <c r="D4776" t="s">
        <v>25</v>
      </c>
      <c r="E4776" s="2">
        <v>6.72</v>
      </c>
      <c r="F4776" s="3">
        <v>15.18</v>
      </c>
      <c r="G4776" s="4">
        <v>89.85</v>
      </c>
      <c r="H4776">
        <v>2</v>
      </c>
      <c r="I4776" s="4">
        <v>179.7</v>
      </c>
      <c r="J4776">
        <v>4.7</v>
      </c>
      <c r="K4776" t="s">
        <v>18</v>
      </c>
      <c r="L4776" t="s">
        <v>16</v>
      </c>
      <c r="O4776"/>
    </row>
    <row r="4777" spans="1:15" x14ac:dyDescent="0.3">
      <c r="A4777" t="s">
        <v>4801</v>
      </c>
      <c r="B4777" s="1">
        <v>45778</v>
      </c>
      <c r="C4777" t="s">
        <v>21</v>
      </c>
      <c r="D4777" t="s">
        <v>14</v>
      </c>
      <c r="E4777" s="2">
        <v>24.84</v>
      </c>
      <c r="F4777" s="3">
        <v>71.459999999999994</v>
      </c>
      <c r="G4777" s="4">
        <v>405.5</v>
      </c>
      <c r="H4777">
        <v>2</v>
      </c>
      <c r="I4777" s="4">
        <v>811</v>
      </c>
      <c r="J4777">
        <v>4.4000000000000004</v>
      </c>
      <c r="K4777" t="s">
        <v>33</v>
      </c>
      <c r="L4777" t="s">
        <v>16</v>
      </c>
      <c r="O4777"/>
    </row>
    <row r="4778" spans="1:15" x14ac:dyDescent="0.3">
      <c r="A4778" t="s">
        <v>4802</v>
      </c>
      <c r="B4778" s="1">
        <v>45707</v>
      </c>
      <c r="C4778" t="s">
        <v>22</v>
      </c>
      <c r="D4778" t="s">
        <v>21</v>
      </c>
      <c r="E4778" s="2">
        <v>9.41</v>
      </c>
      <c r="F4778" s="3">
        <v>20.61</v>
      </c>
      <c r="G4778" s="4">
        <v>179.56</v>
      </c>
      <c r="H4778">
        <v>2</v>
      </c>
      <c r="I4778" s="4">
        <v>359.12</v>
      </c>
      <c r="J4778">
        <v>3.8</v>
      </c>
      <c r="K4778" t="s">
        <v>36</v>
      </c>
      <c r="L4778" t="s">
        <v>26</v>
      </c>
      <c r="O4778"/>
    </row>
    <row r="4779" spans="1:15" x14ac:dyDescent="0.3">
      <c r="A4779" t="s">
        <v>4803</v>
      </c>
      <c r="B4779" s="1">
        <v>45983</v>
      </c>
      <c r="C4779" t="s">
        <v>13</v>
      </c>
      <c r="D4779" t="s">
        <v>25</v>
      </c>
      <c r="E4779" s="2">
        <v>17.21</v>
      </c>
      <c r="F4779" s="3">
        <v>38.520000000000003</v>
      </c>
      <c r="G4779" s="4">
        <v>178.03</v>
      </c>
      <c r="H4779">
        <v>1.2</v>
      </c>
      <c r="I4779" s="4">
        <v>213.64</v>
      </c>
      <c r="J4779">
        <v>3</v>
      </c>
      <c r="K4779" t="s">
        <v>36</v>
      </c>
      <c r="L4779" t="s">
        <v>26</v>
      </c>
      <c r="O4779"/>
    </row>
    <row r="4780" spans="1:15" x14ac:dyDescent="0.3">
      <c r="A4780" t="s">
        <v>4804</v>
      </c>
      <c r="B4780" s="1">
        <v>45715</v>
      </c>
      <c r="C4780" t="s">
        <v>25</v>
      </c>
      <c r="D4780" t="s">
        <v>13</v>
      </c>
      <c r="E4780" s="2">
        <v>3.37</v>
      </c>
      <c r="F4780" s="3">
        <v>7.6</v>
      </c>
      <c r="G4780" s="4">
        <v>63.78</v>
      </c>
      <c r="H4780">
        <v>2</v>
      </c>
      <c r="I4780" s="4">
        <v>127.56</v>
      </c>
      <c r="J4780">
        <v>4.4000000000000004</v>
      </c>
      <c r="K4780" t="s">
        <v>33</v>
      </c>
      <c r="L4780" t="s">
        <v>26</v>
      </c>
      <c r="O4780"/>
    </row>
    <row r="4781" spans="1:15" x14ac:dyDescent="0.3">
      <c r="A4781" t="s">
        <v>4805</v>
      </c>
      <c r="B4781" s="1">
        <v>45746</v>
      </c>
      <c r="C4781" t="s">
        <v>22</v>
      </c>
      <c r="D4781" t="s">
        <v>25</v>
      </c>
      <c r="E4781" s="2">
        <v>8.3699999999999992</v>
      </c>
      <c r="F4781" s="3">
        <v>24.91</v>
      </c>
      <c r="G4781" s="4">
        <v>103.49</v>
      </c>
      <c r="H4781">
        <v>1.5</v>
      </c>
      <c r="I4781" s="4">
        <v>155.22999999999999</v>
      </c>
      <c r="J4781">
        <v>4.2</v>
      </c>
      <c r="K4781" t="s">
        <v>15</v>
      </c>
      <c r="L4781" t="s">
        <v>26</v>
      </c>
      <c r="O4781"/>
    </row>
    <row r="4782" spans="1:15" x14ac:dyDescent="0.3">
      <c r="A4782" t="s">
        <v>4806</v>
      </c>
      <c r="B4782" s="1">
        <v>45828</v>
      </c>
      <c r="C4782" t="s">
        <v>14</v>
      </c>
      <c r="D4782" t="s">
        <v>25</v>
      </c>
      <c r="E4782" s="2">
        <v>4.6900000000000004</v>
      </c>
      <c r="F4782" s="3">
        <v>10.050000000000001</v>
      </c>
      <c r="G4782" s="4">
        <v>79.430000000000007</v>
      </c>
      <c r="H4782">
        <v>1</v>
      </c>
      <c r="I4782" s="4">
        <v>79.430000000000007</v>
      </c>
      <c r="J4782">
        <v>4.5999999999999996</v>
      </c>
      <c r="K4782" t="s">
        <v>33</v>
      </c>
      <c r="L4782" t="s">
        <v>16</v>
      </c>
      <c r="O4782"/>
    </row>
    <row r="4783" spans="1:15" x14ac:dyDescent="0.3">
      <c r="A4783" t="s">
        <v>4807</v>
      </c>
      <c r="B4783" s="1">
        <v>45663</v>
      </c>
      <c r="C4783" t="s">
        <v>13</v>
      </c>
      <c r="D4783" t="s">
        <v>14</v>
      </c>
      <c r="E4783" s="2">
        <v>22.47</v>
      </c>
      <c r="F4783" s="3">
        <v>65.69</v>
      </c>
      <c r="G4783" s="4">
        <v>445.88</v>
      </c>
      <c r="H4783">
        <v>1.2</v>
      </c>
      <c r="I4783" s="4">
        <v>535.05999999999995</v>
      </c>
      <c r="J4783">
        <v>3.6</v>
      </c>
      <c r="K4783" t="s">
        <v>30</v>
      </c>
      <c r="L4783" t="s">
        <v>19</v>
      </c>
      <c r="O4783"/>
    </row>
    <row r="4784" spans="1:15" x14ac:dyDescent="0.3">
      <c r="A4784" t="s">
        <v>4808</v>
      </c>
      <c r="B4784" s="1">
        <v>45891</v>
      </c>
      <c r="C4784" t="s">
        <v>13</v>
      </c>
      <c r="D4784" t="s">
        <v>13</v>
      </c>
      <c r="E4784" s="2">
        <v>29.79</v>
      </c>
      <c r="F4784" s="3">
        <v>60.94</v>
      </c>
      <c r="G4784" s="4">
        <v>461.71</v>
      </c>
      <c r="H4784">
        <v>1</v>
      </c>
      <c r="I4784" s="4">
        <v>461.71</v>
      </c>
      <c r="J4784">
        <v>3.5</v>
      </c>
      <c r="K4784" t="s">
        <v>36</v>
      </c>
      <c r="L4784" t="s">
        <v>16</v>
      </c>
      <c r="O4784"/>
    </row>
    <row r="4785" spans="1:15" x14ac:dyDescent="0.3">
      <c r="A4785" t="s">
        <v>4809</v>
      </c>
      <c r="B4785" s="1">
        <v>45738</v>
      </c>
      <c r="C4785" t="s">
        <v>22</v>
      </c>
      <c r="D4785" t="s">
        <v>22</v>
      </c>
      <c r="E4785" s="2">
        <v>17.2</v>
      </c>
      <c r="F4785" s="3">
        <v>42.66</v>
      </c>
      <c r="G4785" s="4">
        <v>267.77999999999997</v>
      </c>
      <c r="H4785">
        <v>1</v>
      </c>
      <c r="I4785" s="4">
        <v>267.77999999999997</v>
      </c>
      <c r="J4785">
        <v>4.4000000000000004</v>
      </c>
      <c r="K4785" t="s">
        <v>15</v>
      </c>
      <c r="L4785" t="s">
        <v>28</v>
      </c>
      <c r="O4785"/>
    </row>
    <row r="4786" spans="1:15" x14ac:dyDescent="0.3">
      <c r="A4786" t="s">
        <v>4810</v>
      </c>
      <c r="B4786" s="1">
        <v>46002</v>
      </c>
      <c r="C4786" t="s">
        <v>21</v>
      </c>
      <c r="D4786" t="s">
        <v>25</v>
      </c>
      <c r="E4786" s="2">
        <v>12.12</v>
      </c>
      <c r="F4786" s="3">
        <v>30.74</v>
      </c>
      <c r="G4786" s="4">
        <v>220.65</v>
      </c>
      <c r="H4786">
        <v>2</v>
      </c>
      <c r="I4786" s="4">
        <v>441.3</v>
      </c>
      <c r="J4786">
        <v>4.3</v>
      </c>
      <c r="K4786" t="s">
        <v>33</v>
      </c>
      <c r="L4786" t="s">
        <v>19</v>
      </c>
      <c r="O4786"/>
    </row>
    <row r="4787" spans="1:15" x14ac:dyDescent="0.3">
      <c r="A4787" t="s">
        <v>4811</v>
      </c>
      <c r="B4787" s="1">
        <v>45888</v>
      </c>
      <c r="C4787" t="s">
        <v>25</v>
      </c>
      <c r="D4787" t="s">
        <v>13</v>
      </c>
      <c r="E4787" s="2">
        <v>3.13</v>
      </c>
      <c r="F4787" s="3">
        <v>7.01</v>
      </c>
      <c r="G4787" s="4">
        <v>36.340000000000003</v>
      </c>
      <c r="H4787">
        <v>1.2</v>
      </c>
      <c r="I4787" s="4">
        <v>43.61</v>
      </c>
      <c r="J4787">
        <v>4.0999999999999996</v>
      </c>
      <c r="K4787" t="s">
        <v>30</v>
      </c>
      <c r="L4787" t="s">
        <v>26</v>
      </c>
      <c r="O4787"/>
    </row>
    <row r="4788" spans="1:15" x14ac:dyDescent="0.3">
      <c r="A4788" t="s">
        <v>4812</v>
      </c>
      <c r="B4788" s="1">
        <v>45752</v>
      </c>
      <c r="C4788" t="s">
        <v>13</v>
      </c>
      <c r="D4788" t="s">
        <v>22</v>
      </c>
      <c r="E4788" s="2">
        <v>11.36</v>
      </c>
      <c r="F4788" s="3">
        <v>44.5</v>
      </c>
      <c r="G4788" s="4">
        <v>117.94</v>
      </c>
      <c r="H4788">
        <v>1</v>
      </c>
      <c r="I4788" s="4">
        <v>117.94</v>
      </c>
      <c r="J4788">
        <v>3.4</v>
      </c>
      <c r="K4788" t="s">
        <v>30</v>
      </c>
      <c r="L4788" t="s">
        <v>26</v>
      </c>
      <c r="O4788"/>
    </row>
    <row r="4789" spans="1:15" x14ac:dyDescent="0.3">
      <c r="A4789" t="s">
        <v>4813</v>
      </c>
      <c r="B4789" s="1">
        <v>45945</v>
      </c>
      <c r="C4789" t="s">
        <v>22</v>
      </c>
      <c r="D4789" t="s">
        <v>25</v>
      </c>
      <c r="E4789" s="2">
        <v>27.46</v>
      </c>
      <c r="F4789" s="3">
        <v>58.01</v>
      </c>
      <c r="G4789" s="4">
        <v>534.98</v>
      </c>
      <c r="H4789">
        <v>2</v>
      </c>
      <c r="I4789" s="4">
        <v>1069.96</v>
      </c>
      <c r="J4789">
        <v>4.5999999999999996</v>
      </c>
      <c r="K4789" t="s">
        <v>30</v>
      </c>
      <c r="L4789" t="s">
        <v>26</v>
      </c>
      <c r="O4789"/>
    </row>
    <row r="4790" spans="1:15" x14ac:dyDescent="0.3">
      <c r="A4790" t="s">
        <v>4814</v>
      </c>
      <c r="B4790" s="1">
        <v>45752</v>
      </c>
      <c r="C4790" t="s">
        <v>13</v>
      </c>
      <c r="D4790" t="s">
        <v>22</v>
      </c>
      <c r="E4790" s="2">
        <v>15.24</v>
      </c>
      <c r="F4790" s="3">
        <v>42.08</v>
      </c>
      <c r="G4790" s="4">
        <v>254.13</v>
      </c>
      <c r="H4790">
        <v>1.2</v>
      </c>
      <c r="I4790" s="4">
        <v>304.95999999999998</v>
      </c>
      <c r="J4790">
        <v>4.5</v>
      </c>
      <c r="K4790" t="s">
        <v>33</v>
      </c>
      <c r="L4790" t="s">
        <v>28</v>
      </c>
      <c r="O4790"/>
    </row>
    <row r="4791" spans="1:15" x14ac:dyDescent="0.3">
      <c r="A4791" t="s">
        <v>4815</v>
      </c>
      <c r="B4791" s="1">
        <v>45783</v>
      </c>
      <c r="C4791" t="s">
        <v>21</v>
      </c>
      <c r="D4791" t="s">
        <v>25</v>
      </c>
      <c r="E4791" s="2">
        <v>21.92</v>
      </c>
      <c r="F4791" s="3">
        <v>47.7</v>
      </c>
      <c r="G4791" s="4">
        <v>356.82</v>
      </c>
      <c r="H4791">
        <v>1</v>
      </c>
      <c r="I4791" s="4">
        <v>356.82</v>
      </c>
      <c r="J4791">
        <v>4.9000000000000004</v>
      </c>
      <c r="K4791" t="s">
        <v>33</v>
      </c>
      <c r="L4791" t="s">
        <v>28</v>
      </c>
      <c r="O4791"/>
    </row>
    <row r="4792" spans="1:15" x14ac:dyDescent="0.3">
      <c r="A4792" t="s">
        <v>4816</v>
      </c>
      <c r="B4792" s="1">
        <v>45906</v>
      </c>
      <c r="C4792" t="s">
        <v>25</v>
      </c>
      <c r="D4792" t="s">
        <v>25</v>
      </c>
      <c r="E4792" s="2">
        <v>12.26</v>
      </c>
      <c r="F4792" s="3">
        <v>41.18</v>
      </c>
      <c r="G4792" s="4">
        <v>150.57</v>
      </c>
      <c r="H4792">
        <v>1.5</v>
      </c>
      <c r="I4792" s="4">
        <v>225.86</v>
      </c>
      <c r="J4792">
        <v>3.3</v>
      </c>
      <c r="K4792" t="s">
        <v>15</v>
      </c>
      <c r="L4792" t="s">
        <v>16</v>
      </c>
      <c r="O4792"/>
    </row>
    <row r="4793" spans="1:15" x14ac:dyDescent="0.3">
      <c r="A4793" t="s">
        <v>4817</v>
      </c>
      <c r="B4793" s="1">
        <v>45749</v>
      </c>
      <c r="C4793" t="s">
        <v>25</v>
      </c>
      <c r="D4793" t="s">
        <v>25</v>
      </c>
      <c r="E4793" s="2">
        <v>9.82</v>
      </c>
      <c r="F4793" s="3">
        <v>24.63</v>
      </c>
      <c r="G4793" s="4">
        <v>103.08</v>
      </c>
      <c r="H4793">
        <v>1.5</v>
      </c>
      <c r="I4793" s="4">
        <v>154.62</v>
      </c>
      <c r="J4793">
        <v>4.0999999999999996</v>
      </c>
      <c r="K4793" t="s">
        <v>15</v>
      </c>
      <c r="L4793" t="s">
        <v>26</v>
      </c>
      <c r="O4793"/>
    </row>
    <row r="4794" spans="1:15" x14ac:dyDescent="0.3">
      <c r="A4794" t="s">
        <v>4818</v>
      </c>
      <c r="B4794" s="1">
        <v>45747</v>
      </c>
      <c r="C4794" t="s">
        <v>14</v>
      </c>
      <c r="D4794" t="s">
        <v>14</v>
      </c>
      <c r="E4794" s="2">
        <v>26.73</v>
      </c>
      <c r="F4794" s="3">
        <v>60.17</v>
      </c>
      <c r="G4794" s="4">
        <v>284.74</v>
      </c>
      <c r="H4794">
        <v>1.2</v>
      </c>
      <c r="I4794" s="4">
        <v>341.69</v>
      </c>
      <c r="J4794">
        <v>3.5</v>
      </c>
      <c r="K4794" t="s">
        <v>15</v>
      </c>
      <c r="L4794" t="s">
        <v>26</v>
      </c>
      <c r="O4794"/>
    </row>
    <row r="4795" spans="1:15" x14ac:dyDescent="0.3">
      <c r="A4795" t="s">
        <v>4819</v>
      </c>
      <c r="B4795" s="1">
        <v>45837</v>
      </c>
      <c r="C4795" t="s">
        <v>14</v>
      </c>
      <c r="D4795" t="s">
        <v>21</v>
      </c>
      <c r="E4795" s="2">
        <v>15.25</v>
      </c>
      <c r="F4795" s="3">
        <v>48.02</v>
      </c>
      <c r="G4795" s="4">
        <v>196.28</v>
      </c>
      <c r="H4795">
        <v>2</v>
      </c>
      <c r="I4795" s="4">
        <v>392.56</v>
      </c>
      <c r="J4795">
        <v>3.5</v>
      </c>
      <c r="K4795" t="s">
        <v>36</v>
      </c>
      <c r="L4795" t="s">
        <v>28</v>
      </c>
      <c r="O4795"/>
    </row>
    <row r="4796" spans="1:15" x14ac:dyDescent="0.3">
      <c r="A4796" t="s">
        <v>4820</v>
      </c>
      <c r="B4796" s="1">
        <v>45771</v>
      </c>
      <c r="C4796" t="s">
        <v>21</v>
      </c>
      <c r="D4796" t="s">
        <v>21</v>
      </c>
      <c r="E4796" s="2">
        <v>10.71</v>
      </c>
      <c r="F4796" s="3">
        <v>39.119999999999997</v>
      </c>
      <c r="G4796" s="4">
        <v>185.04</v>
      </c>
      <c r="H4796">
        <v>1</v>
      </c>
      <c r="I4796" s="4">
        <v>185.04</v>
      </c>
      <c r="J4796">
        <v>4.5999999999999996</v>
      </c>
      <c r="K4796" t="s">
        <v>30</v>
      </c>
      <c r="L4796" t="s">
        <v>26</v>
      </c>
      <c r="O4796"/>
    </row>
    <row r="4797" spans="1:15" x14ac:dyDescent="0.3">
      <c r="A4797" t="s">
        <v>4821</v>
      </c>
      <c r="B4797" s="1">
        <v>45784</v>
      </c>
      <c r="C4797" t="s">
        <v>21</v>
      </c>
      <c r="D4797" t="s">
        <v>13</v>
      </c>
      <c r="E4797" s="2">
        <v>27.69</v>
      </c>
      <c r="F4797" s="3">
        <v>85.11</v>
      </c>
      <c r="G4797" s="4">
        <v>336.42</v>
      </c>
      <c r="H4797">
        <v>2</v>
      </c>
      <c r="I4797" s="4">
        <v>672.84</v>
      </c>
      <c r="J4797">
        <v>4.0999999999999996</v>
      </c>
      <c r="K4797" t="s">
        <v>30</v>
      </c>
      <c r="L4797" t="s">
        <v>28</v>
      </c>
      <c r="O4797"/>
    </row>
    <row r="4798" spans="1:15" x14ac:dyDescent="0.3">
      <c r="A4798" t="s">
        <v>4822</v>
      </c>
      <c r="B4798" s="1">
        <v>45991</v>
      </c>
      <c r="C4798" t="s">
        <v>13</v>
      </c>
      <c r="D4798" t="s">
        <v>21</v>
      </c>
      <c r="E4798" s="2">
        <v>2.4</v>
      </c>
      <c r="F4798" s="3">
        <v>6.37</v>
      </c>
      <c r="G4798" s="4">
        <v>41.45</v>
      </c>
      <c r="H4798">
        <v>1</v>
      </c>
      <c r="I4798" s="4">
        <v>41.45</v>
      </c>
      <c r="J4798">
        <v>3.4</v>
      </c>
      <c r="K4798" t="s">
        <v>33</v>
      </c>
      <c r="L4798" t="s">
        <v>26</v>
      </c>
      <c r="O4798"/>
    </row>
    <row r="4799" spans="1:15" x14ac:dyDescent="0.3">
      <c r="A4799" t="s">
        <v>4823</v>
      </c>
      <c r="B4799" s="1">
        <v>45796</v>
      </c>
      <c r="C4799" t="s">
        <v>22</v>
      </c>
      <c r="D4799" t="s">
        <v>14</v>
      </c>
      <c r="E4799" s="2">
        <v>28.6</v>
      </c>
      <c r="F4799" s="3">
        <v>62.48</v>
      </c>
      <c r="G4799" s="4">
        <v>303.38</v>
      </c>
      <c r="H4799">
        <v>1.5</v>
      </c>
      <c r="I4799" s="4">
        <v>455.07</v>
      </c>
      <c r="J4799">
        <v>4.8</v>
      </c>
      <c r="K4799" t="s">
        <v>33</v>
      </c>
      <c r="L4799" t="s">
        <v>26</v>
      </c>
      <c r="O4799"/>
    </row>
    <row r="4800" spans="1:15" x14ac:dyDescent="0.3">
      <c r="A4800" t="s">
        <v>4824</v>
      </c>
      <c r="B4800" s="1">
        <v>45741</v>
      </c>
      <c r="C4800" t="s">
        <v>25</v>
      </c>
      <c r="D4800" t="s">
        <v>22</v>
      </c>
      <c r="E4800" s="2">
        <v>15.58</v>
      </c>
      <c r="F4800" s="3">
        <v>32.770000000000003</v>
      </c>
      <c r="G4800" s="4">
        <v>190.27</v>
      </c>
      <c r="H4800">
        <v>2</v>
      </c>
      <c r="I4800" s="4">
        <v>380.54</v>
      </c>
      <c r="J4800">
        <v>4.5</v>
      </c>
      <c r="K4800" t="s">
        <v>33</v>
      </c>
      <c r="L4800" t="s">
        <v>19</v>
      </c>
      <c r="O4800"/>
    </row>
    <row r="4801" spans="1:15" x14ac:dyDescent="0.3">
      <c r="A4801" t="s">
        <v>4825</v>
      </c>
      <c r="B4801" s="1">
        <v>45859</v>
      </c>
      <c r="C4801" t="s">
        <v>25</v>
      </c>
      <c r="D4801" t="s">
        <v>14</v>
      </c>
      <c r="E4801" s="2">
        <v>2.2599999999999998</v>
      </c>
      <c r="F4801" s="3">
        <v>8.61</v>
      </c>
      <c r="G4801" s="4">
        <v>34.25</v>
      </c>
      <c r="H4801">
        <v>1</v>
      </c>
      <c r="I4801" s="4">
        <v>34.25</v>
      </c>
      <c r="J4801">
        <v>4.4000000000000004</v>
      </c>
      <c r="K4801" t="s">
        <v>33</v>
      </c>
      <c r="L4801" t="s">
        <v>26</v>
      </c>
      <c r="O4801"/>
    </row>
    <row r="4802" spans="1:15" x14ac:dyDescent="0.3">
      <c r="A4802" t="s">
        <v>4826</v>
      </c>
      <c r="B4802" s="1">
        <v>45861</v>
      </c>
      <c r="C4802" t="s">
        <v>25</v>
      </c>
      <c r="D4802" t="s">
        <v>21</v>
      </c>
      <c r="E4802" s="2">
        <v>2.57</v>
      </c>
      <c r="F4802" s="3">
        <v>8.15</v>
      </c>
      <c r="G4802" s="4">
        <v>48.5</v>
      </c>
      <c r="H4802">
        <v>1.2</v>
      </c>
      <c r="I4802" s="4">
        <v>58.2</v>
      </c>
      <c r="J4802">
        <v>3.9</v>
      </c>
      <c r="K4802" t="s">
        <v>18</v>
      </c>
      <c r="L4802" t="s">
        <v>26</v>
      </c>
      <c r="O4802"/>
    </row>
    <row r="4803" spans="1:15" x14ac:dyDescent="0.3">
      <c r="A4803" t="s">
        <v>4827</v>
      </c>
      <c r="B4803" s="1">
        <v>45697</v>
      </c>
      <c r="C4803" t="s">
        <v>22</v>
      </c>
      <c r="D4803" t="s">
        <v>14</v>
      </c>
      <c r="E4803" s="2">
        <v>3.2</v>
      </c>
      <c r="F4803" s="3">
        <v>7.69</v>
      </c>
      <c r="G4803" s="4">
        <v>53.05</v>
      </c>
      <c r="H4803">
        <v>2</v>
      </c>
      <c r="I4803" s="4">
        <v>106.1</v>
      </c>
      <c r="J4803">
        <v>4.9000000000000004</v>
      </c>
      <c r="K4803" t="s">
        <v>33</v>
      </c>
      <c r="L4803" t="s">
        <v>16</v>
      </c>
      <c r="O4803"/>
    </row>
    <row r="4804" spans="1:15" x14ac:dyDescent="0.3">
      <c r="A4804" t="s">
        <v>4828</v>
      </c>
      <c r="B4804" s="1">
        <v>45699</v>
      </c>
      <c r="C4804" t="s">
        <v>22</v>
      </c>
      <c r="D4804" t="s">
        <v>25</v>
      </c>
      <c r="E4804" s="2">
        <v>13.14</v>
      </c>
      <c r="F4804" s="3">
        <v>37.979999999999997</v>
      </c>
      <c r="G4804" s="4">
        <v>251.05</v>
      </c>
      <c r="H4804">
        <v>2</v>
      </c>
      <c r="I4804" s="4">
        <v>502.1</v>
      </c>
      <c r="J4804">
        <v>4.5999999999999996</v>
      </c>
      <c r="K4804" t="s">
        <v>30</v>
      </c>
      <c r="L4804" t="s">
        <v>28</v>
      </c>
      <c r="O4804"/>
    </row>
    <row r="4805" spans="1:15" x14ac:dyDescent="0.3">
      <c r="A4805" t="s">
        <v>4829</v>
      </c>
      <c r="B4805" s="1">
        <v>45859</v>
      </c>
      <c r="C4805" t="s">
        <v>13</v>
      </c>
      <c r="D4805" t="s">
        <v>22</v>
      </c>
      <c r="E4805" s="2">
        <v>16.59</v>
      </c>
      <c r="F4805" s="3">
        <v>56.35</v>
      </c>
      <c r="G4805" s="4">
        <v>270.52</v>
      </c>
      <c r="H4805">
        <v>2</v>
      </c>
      <c r="I4805" s="4">
        <v>541.04</v>
      </c>
      <c r="J4805">
        <v>4.7</v>
      </c>
      <c r="K4805" t="s">
        <v>33</v>
      </c>
      <c r="L4805" t="s">
        <v>26</v>
      </c>
      <c r="O4805"/>
    </row>
    <row r="4806" spans="1:15" x14ac:dyDescent="0.3">
      <c r="A4806" t="s">
        <v>4830</v>
      </c>
      <c r="B4806" s="1">
        <v>45764</v>
      </c>
      <c r="C4806" t="s">
        <v>14</v>
      </c>
      <c r="D4806" t="s">
        <v>13</v>
      </c>
      <c r="E4806" s="2">
        <v>17.16</v>
      </c>
      <c r="F4806" s="3">
        <v>41.69</v>
      </c>
      <c r="G4806" s="4">
        <v>248.97</v>
      </c>
      <c r="H4806">
        <v>1.5</v>
      </c>
      <c r="I4806" s="4">
        <v>373.46</v>
      </c>
      <c r="J4806">
        <v>3.9</v>
      </c>
      <c r="K4806" t="s">
        <v>15</v>
      </c>
      <c r="L4806" t="s">
        <v>16</v>
      </c>
      <c r="O4806"/>
    </row>
    <row r="4807" spans="1:15" x14ac:dyDescent="0.3">
      <c r="A4807" t="s">
        <v>4831</v>
      </c>
      <c r="B4807" s="1">
        <v>46016</v>
      </c>
      <c r="C4807" t="s">
        <v>21</v>
      </c>
      <c r="D4807" t="s">
        <v>22</v>
      </c>
      <c r="E4807" s="2">
        <v>28.83</v>
      </c>
      <c r="F4807" s="3">
        <v>92.57</v>
      </c>
      <c r="G4807" s="4">
        <v>440.21</v>
      </c>
      <c r="H4807">
        <v>1.2</v>
      </c>
      <c r="I4807" s="4">
        <v>528.25</v>
      </c>
      <c r="J4807">
        <v>4.5</v>
      </c>
      <c r="K4807" t="s">
        <v>36</v>
      </c>
      <c r="L4807" t="s">
        <v>19</v>
      </c>
      <c r="O4807"/>
    </row>
    <row r="4808" spans="1:15" x14ac:dyDescent="0.3">
      <c r="A4808" t="s">
        <v>4832</v>
      </c>
      <c r="B4808" s="1">
        <v>45952</v>
      </c>
      <c r="C4808" t="s">
        <v>25</v>
      </c>
      <c r="D4808" t="s">
        <v>13</v>
      </c>
      <c r="E4808" s="2">
        <v>5.53</v>
      </c>
      <c r="F4808" s="3">
        <v>11.67</v>
      </c>
      <c r="G4808" s="4">
        <v>77.47</v>
      </c>
      <c r="H4808">
        <v>2</v>
      </c>
      <c r="I4808" s="4">
        <v>154.94</v>
      </c>
      <c r="J4808">
        <v>4.9000000000000004</v>
      </c>
      <c r="K4808" t="s">
        <v>15</v>
      </c>
      <c r="L4808" t="s">
        <v>28</v>
      </c>
      <c r="O4808"/>
    </row>
    <row r="4809" spans="1:15" x14ac:dyDescent="0.3">
      <c r="A4809" t="s">
        <v>4833</v>
      </c>
      <c r="B4809" s="1">
        <v>45971</v>
      </c>
      <c r="C4809" t="s">
        <v>13</v>
      </c>
      <c r="D4809" t="s">
        <v>21</v>
      </c>
      <c r="E4809" s="2">
        <v>22.92</v>
      </c>
      <c r="F4809" s="3">
        <v>58.65</v>
      </c>
      <c r="G4809" s="4">
        <v>423.12</v>
      </c>
      <c r="H4809">
        <v>2</v>
      </c>
      <c r="I4809" s="4">
        <v>846.24</v>
      </c>
      <c r="J4809">
        <v>4.9000000000000004</v>
      </c>
      <c r="K4809" t="s">
        <v>30</v>
      </c>
      <c r="L4809" t="s">
        <v>26</v>
      </c>
      <c r="O4809"/>
    </row>
    <row r="4810" spans="1:15" x14ac:dyDescent="0.3">
      <c r="A4810" t="s">
        <v>4834</v>
      </c>
      <c r="B4810" s="1">
        <v>45960</v>
      </c>
      <c r="C4810" t="s">
        <v>13</v>
      </c>
      <c r="D4810" t="s">
        <v>22</v>
      </c>
      <c r="E4810" s="2">
        <v>3.94</v>
      </c>
      <c r="F4810" s="3">
        <v>14.09</v>
      </c>
      <c r="G4810" s="4">
        <v>59.78</v>
      </c>
      <c r="H4810">
        <v>2</v>
      </c>
      <c r="I4810" s="4">
        <v>119.56</v>
      </c>
      <c r="J4810">
        <v>3.2</v>
      </c>
      <c r="K4810" t="s">
        <v>36</v>
      </c>
      <c r="L4810" t="s">
        <v>26</v>
      </c>
      <c r="O4810"/>
    </row>
    <row r="4811" spans="1:15" x14ac:dyDescent="0.3">
      <c r="A4811" t="s">
        <v>4835</v>
      </c>
      <c r="B4811" s="1">
        <v>45754</v>
      </c>
      <c r="C4811" t="s">
        <v>25</v>
      </c>
      <c r="D4811" t="s">
        <v>22</v>
      </c>
      <c r="E4811" s="2">
        <v>13.46</v>
      </c>
      <c r="F4811" s="3">
        <v>46.89</v>
      </c>
      <c r="G4811" s="4">
        <v>170.86</v>
      </c>
      <c r="H4811">
        <v>1.2</v>
      </c>
      <c r="I4811" s="4">
        <v>205.03</v>
      </c>
      <c r="J4811">
        <v>5</v>
      </c>
      <c r="K4811" t="s">
        <v>15</v>
      </c>
      <c r="L4811" t="s">
        <v>26</v>
      </c>
      <c r="O4811"/>
    </row>
    <row r="4812" spans="1:15" x14ac:dyDescent="0.3">
      <c r="A4812" t="s">
        <v>4836</v>
      </c>
      <c r="B4812" s="1">
        <v>46018</v>
      </c>
      <c r="C4812" t="s">
        <v>21</v>
      </c>
      <c r="D4812" t="s">
        <v>22</v>
      </c>
      <c r="E4812" s="2">
        <v>12.27</v>
      </c>
      <c r="F4812" s="3">
        <v>46.78</v>
      </c>
      <c r="G4812" s="4">
        <v>227.71</v>
      </c>
      <c r="H4812">
        <v>1.2</v>
      </c>
      <c r="I4812" s="4">
        <v>273.25</v>
      </c>
      <c r="J4812">
        <v>3.6</v>
      </c>
      <c r="K4812" t="s">
        <v>30</v>
      </c>
      <c r="L4812" t="s">
        <v>28</v>
      </c>
      <c r="O4812"/>
    </row>
    <row r="4813" spans="1:15" x14ac:dyDescent="0.3">
      <c r="A4813" t="s">
        <v>4837</v>
      </c>
      <c r="B4813" s="1">
        <v>45671</v>
      </c>
      <c r="C4813" t="s">
        <v>25</v>
      </c>
      <c r="D4813" t="s">
        <v>14</v>
      </c>
      <c r="E4813" s="2">
        <v>6.6</v>
      </c>
      <c r="F4813" s="3">
        <v>25.79</v>
      </c>
      <c r="G4813" s="4">
        <v>79.38</v>
      </c>
      <c r="H4813">
        <v>2</v>
      </c>
      <c r="I4813" s="4">
        <v>158.76</v>
      </c>
      <c r="J4813">
        <v>4.0999999999999996</v>
      </c>
      <c r="K4813" t="s">
        <v>30</v>
      </c>
      <c r="L4813" t="s">
        <v>28</v>
      </c>
      <c r="O4813"/>
    </row>
    <row r="4814" spans="1:15" x14ac:dyDescent="0.3">
      <c r="A4814" t="s">
        <v>4838</v>
      </c>
      <c r="B4814" s="1">
        <v>45718</v>
      </c>
      <c r="C4814" t="s">
        <v>21</v>
      </c>
      <c r="D4814" t="s">
        <v>25</v>
      </c>
      <c r="E4814" s="2">
        <v>10.28</v>
      </c>
      <c r="F4814" s="3">
        <v>21.01</v>
      </c>
      <c r="G4814" s="4">
        <v>179.87</v>
      </c>
      <c r="H4814">
        <v>1.5</v>
      </c>
      <c r="I4814" s="4">
        <v>269.8</v>
      </c>
      <c r="J4814">
        <v>4.9000000000000004</v>
      </c>
      <c r="K4814" t="s">
        <v>30</v>
      </c>
      <c r="L4814" t="s">
        <v>28</v>
      </c>
      <c r="O4814"/>
    </row>
    <row r="4815" spans="1:15" x14ac:dyDescent="0.3">
      <c r="A4815" t="s">
        <v>4839</v>
      </c>
      <c r="B4815" s="1">
        <v>45967</v>
      </c>
      <c r="C4815" t="s">
        <v>13</v>
      </c>
      <c r="D4815" t="s">
        <v>14</v>
      </c>
      <c r="E4815" s="2">
        <v>21.51</v>
      </c>
      <c r="F4815" s="3">
        <v>75.48</v>
      </c>
      <c r="G4815" s="4">
        <v>336.29</v>
      </c>
      <c r="H4815">
        <v>1.2</v>
      </c>
      <c r="I4815" s="4">
        <v>403.55</v>
      </c>
      <c r="J4815">
        <v>4.2</v>
      </c>
      <c r="K4815" t="s">
        <v>15</v>
      </c>
      <c r="L4815" t="s">
        <v>16</v>
      </c>
      <c r="O4815"/>
    </row>
    <row r="4816" spans="1:15" x14ac:dyDescent="0.3">
      <c r="A4816" t="s">
        <v>4840</v>
      </c>
      <c r="B4816" s="1">
        <v>45924</v>
      </c>
      <c r="C4816" t="s">
        <v>22</v>
      </c>
      <c r="D4816" t="s">
        <v>22</v>
      </c>
      <c r="E4816" s="2">
        <v>15.1</v>
      </c>
      <c r="F4816" s="3">
        <v>48.92</v>
      </c>
      <c r="G4816" s="4">
        <v>232.13</v>
      </c>
      <c r="H4816">
        <v>1</v>
      </c>
      <c r="I4816" s="4">
        <v>232.13</v>
      </c>
      <c r="J4816">
        <v>4.5999999999999996</v>
      </c>
      <c r="K4816" t="s">
        <v>33</v>
      </c>
      <c r="L4816" t="s">
        <v>19</v>
      </c>
      <c r="O4816"/>
    </row>
    <row r="4817" spans="1:15" x14ac:dyDescent="0.3">
      <c r="A4817" t="s">
        <v>4841</v>
      </c>
      <c r="B4817" s="1">
        <v>45840</v>
      </c>
      <c r="C4817" t="s">
        <v>25</v>
      </c>
      <c r="D4817" t="s">
        <v>25</v>
      </c>
      <c r="E4817" s="2">
        <v>11.31</v>
      </c>
      <c r="F4817" s="3">
        <v>27.33</v>
      </c>
      <c r="G4817" s="4">
        <v>164.71</v>
      </c>
      <c r="H4817">
        <v>1.5</v>
      </c>
      <c r="I4817" s="4">
        <v>247.06</v>
      </c>
      <c r="J4817">
        <v>4</v>
      </c>
      <c r="K4817" t="s">
        <v>15</v>
      </c>
      <c r="L4817" t="s">
        <v>28</v>
      </c>
      <c r="O4817"/>
    </row>
    <row r="4818" spans="1:15" x14ac:dyDescent="0.3">
      <c r="A4818" t="s">
        <v>4842</v>
      </c>
      <c r="B4818" s="1">
        <v>45937</v>
      </c>
      <c r="C4818" t="s">
        <v>22</v>
      </c>
      <c r="D4818" t="s">
        <v>13</v>
      </c>
      <c r="E4818" s="2">
        <v>27.2</v>
      </c>
      <c r="F4818" s="3">
        <v>87.99</v>
      </c>
      <c r="G4818" s="4">
        <v>504.68</v>
      </c>
      <c r="H4818">
        <v>1.5</v>
      </c>
      <c r="I4818" s="4">
        <v>757.02</v>
      </c>
      <c r="J4818">
        <v>4.3</v>
      </c>
      <c r="K4818" t="s">
        <v>33</v>
      </c>
      <c r="L4818" t="s">
        <v>16</v>
      </c>
      <c r="O4818"/>
    </row>
    <row r="4819" spans="1:15" x14ac:dyDescent="0.3">
      <c r="A4819" t="s">
        <v>4843</v>
      </c>
      <c r="B4819" s="1">
        <v>45893</v>
      </c>
      <c r="C4819" t="s">
        <v>13</v>
      </c>
      <c r="D4819" t="s">
        <v>13</v>
      </c>
      <c r="E4819" s="2">
        <v>18.45</v>
      </c>
      <c r="F4819" s="3">
        <v>38.07</v>
      </c>
      <c r="G4819" s="4">
        <v>301.31</v>
      </c>
      <c r="H4819">
        <v>1</v>
      </c>
      <c r="I4819" s="4">
        <v>301.31</v>
      </c>
      <c r="J4819">
        <v>4.8</v>
      </c>
      <c r="K4819" t="s">
        <v>18</v>
      </c>
      <c r="L4819" t="s">
        <v>28</v>
      </c>
      <c r="O4819"/>
    </row>
    <row r="4820" spans="1:15" x14ac:dyDescent="0.3">
      <c r="A4820" t="s">
        <v>4844</v>
      </c>
      <c r="B4820" s="1">
        <v>45775</v>
      </c>
      <c r="C4820" t="s">
        <v>22</v>
      </c>
      <c r="D4820" t="s">
        <v>25</v>
      </c>
      <c r="E4820" s="2">
        <v>17.89</v>
      </c>
      <c r="F4820" s="3">
        <v>68.540000000000006</v>
      </c>
      <c r="G4820" s="4">
        <v>180.63</v>
      </c>
      <c r="H4820">
        <v>1.2</v>
      </c>
      <c r="I4820" s="4">
        <v>216.76</v>
      </c>
      <c r="J4820">
        <v>4.0999999999999996</v>
      </c>
      <c r="K4820" t="s">
        <v>18</v>
      </c>
      <c r="L4820" t="s">
        <v>26</v>
      </c>
      <c r="O4820"/>
    </row>
    <row r="4821" spans="1:15" x14ac:dyDescent="0.3">
      <c r="A4821" t="s">
        <v>4845</v>
      </c>
      <c r="B4821" s="1">
        <v>45915</v>
      </c>
      <c r="C4821" t="s">
        <v>22</v>
      </c>
      <c r="D4821" t="s">
        <v>13</v>
      </c>
      <c r="E4821" s="2">
        <v>11.06</v>
      </c>
      <c r="F4821" s="3">
        <v>36</v>
      </c>
      <c r="G4821" s="4">
        <v>116.43</v>
      </c>
      <c r="H4821">
        <v>1.5</v>
      </c>
      <c r="I4821" s="4">
        <v>174.64</v>
      </c>
      <c r="J4821">
        <v>3.2</v>
      </c>
      <c r="K4821" t="s">
        <v>33</v>
      </c>
      <c r="L4821" t="s">
        <v>28</v>
      </c>
      <c r="O4821"/>
    </row>
    <row r="4822" spans="1:15" x14ac:dyDescent="0.3">
      <c r="A4822" t="s">
        <v>4846</v>
      </c>
      <c r="B4822" s="1">
        <v>45917</v>
      </c>
      <c r="C4822" t="s">
        <v>25</v>
      </c>
      <c r="D4822" t="s">
        <v>13</v>
      </c>
      <c r="E4822" s="2">
        <v>9.9</v>
      </c>
      <c r="F4822" s="3">
        <v>29.78</v>
      </c>
      <c r="G4822" s="4">
        <v>136.33000000000001</v>
      </c>
      <c r="H4822">
        <v>1.2</v>
      </c>
      <c r="I4822" s="4">
        <v>163.6</v>
      </c>
      <c r="J4822">
        <v>3.9</v>
      </c>
      <c r="K4822" t="s">
        <v>15</v>
      </c>
      <c r="L4822" t="s">
        <v>19</v>
      </c>
      <c r="O4822"/>
    </row>
    <row r="4823" spans="1:15" x14ac:dyDescent="0.3">
      <c r="A4823" t="s">
        <v>4847</v>
      </c>
      <c r="B4823" s="1">
        <v>45910</v>
      </c>
      <c r="C4823" t="s">
        <v>25</v>
      </c>
      <c r="D4823" t="s">
        <v>25</v>
      </c>
      <c r="E4823" s="2">
        <v>28.11</v>
      </c>
      <c r="F4823" s="3">
        <v>105.34</v>
      </c>
      <c r="G4823" s="4">
        <v>427.96</v>
      </c>
      <c r="H4823">
        <v>2</v>
      </c>
      <c r="I4823" s="4">
        <v>855.92</v>
      </c>
      <c r="J4823">
        <v>4.5</v>
      </c>
      <c r="K4823" t="s">
        <v>30</v>
      </c>
      <c r="L4823" t="s">
        <v>19</v>
      </c>
      <c r="O4823"/>
    </row>
    <row r="4824" spans="1:15" x14ac:dyDescent="0.3">
      <c r="A4824" t="s">
        <v>4848</v>
      </c>
      <c r="B4824" s="1">
        <v>45715</v>
      </c>
      <c r="C4824" t="s">
        <v>13</v>
      </c>
      <c r="D4824" t="s">
        <v>13</v>
      </c>
      <c r="E4824" s="2">
        <v>12.87</v>
      </c>
      <c r="F4824" s="3">
        <v>33.04</v>
      </c>
      <c r="G4824" s="4">
        <v>141.35</v>
      </c>
      <c r="H4824">
        <v>2</v>
      </c>
      <c r="I4824" s="4">
        <v>282.7</v>
      </c>
      <c r="J4824">
        <v>3.3</v>
      </c>
      <c r="K4824" t="s">
        <v>15</v>
      </c>
      <c r="L4824" t="s">
        <v>19</v>
      </c>
      <c r="O4824"/>
    </row>
    <row r="4825" spans="1:15" x14ac:dyDescent="0.3">
      <c r="A4825" t="s">
        <v>4849</v>
      </c>
      <c r="B4825" s="1">
        <v>45735</v>
      </c>
      <c r="C4825" t="s">
        <v>14</v>
      </c>
      <c r="D4825" t="s">
        <v>25</v>
      </c>
      <c r="E4825" s="2">
        <v>17.27</v>
      </c>
      <c r="F4825" s="3">
        <v>57.6</v>
      </c>
      <c r="G4825" s="4">
        <v>192.2</v>
      </c>
      <c r="H4825">
        <v>1.2</v>
      </c>
      <c r="I4825" s="4">
        <v>230.64</v>
      </c>
      <c r="J4825">
        <v>3.5</v>
      </c>
      <c r="K4825" t="s">
        <v>36</v>
      </c>
      <c r="L4825" t="s">
        <v>16</v>
      </c>
      <c r="O4825"/>
    </row>
    <row r="4826" spans="1:15" x14ac:dyDescent="0.3">
      <c r="A4826" t="s">
        <v>4850</v>
      </c>
      <c r="B4826" s="1">
        <v>45698</v>
      </c>
      <c r="C4826" t="s">
        <v>22</v>
      </c>
      <c r="D4826" t="s">
        <v>25</v>
      </c>
      <c r="E4826" s="2">
        <v>28.59</v>
      </c>
      <c r="F4826" s="3">
        <v>77.81</v>
      </c>
      <c r="G4826" s="4">
        <v>536.77</v>
      </c>
      <c r="H4826">
        <v>1.2</v>
      </c>
      <c r="I4826" s="4">
        <v>644.12</v>
      </c>
      <c r="J4826">
        <v>4.4000000000000004</v>
      </c>
      <c r="K4826" t="s">
        <v>18</v>
      </c>
      <c r="L4826" t="s">
        <v>26</v>
      </c>
      <c r="O4826"/>
    </row>
    <row r="4827" spans="1:15" x14ac:dyDescent="0.3">
      <c r="A4827" t="s">
        <v>4851</v>
      </c>
      <c r="B4827" s="1">
        <v>45821</v>
      </c>
      <c r="C4827" t="s">
        <v>14</v>
      </c>
      <c r="D4827" t="s">
        <v>25</v>
      </c>
      <c r="E4827" s="2">
        <v>18.420000000000002</v>
      </c>
      <c r="F4827" s="3">
        <v>68.52</v>
      </c>
      <c r="G4827" s="4">
        <v>184.81</v>
      </c>
      <c r="H4827">
        <v>1</v>
      </c>
      <c r="I4827" s="4">
        <v>184.81</v>
      </c>
      <c r="J4827">
        <v>4.7</v>
      </c>
      <c r="K4827" t="s">
        <v>36</v>
      </c>
      <c r="L4827" t="s">
        <v>26</v>
      </c>
      <c r="O4827"/>
    </row>
    <row r="4828" spans="1:15" x14ac:dyDescent="0.3">
      <c r="A4828" t="s">
        <v>4852</v>
      </c>
      <c r="B4828" s="1">
        <v>45723</v>
      </c>
      <c r="C4828" t="s">
        <v>22</v>
      </c>
      <c r="D4828" t="s">
        <v>21</v>
      </c>
      <c r="E4828" s="2">
        <v>1.6</v>
      </c>
      <c r="F4828" s="3">
        <v>4.33</v>
      </c>
      <c r="G4828" s="4">
        <v>26.69</v>
      </c>
      <c r="H4828">
        <v>1</v>
      </c>
      <c r="I4828" s="4">
        <v>26.69</v>
      </c>
      <c r="J4828">
        <v>4.0999999999999996</v>
      </c>
      <c r="K4828" t="s">
        <v>18</v>
      </c>
      <c r="L4828" t="s">
        <v>16</v>
      </c>
      <c r="O4828"/>
    </row>
    <row r="4829" spans="1:15" x14ac:dyDescent="0.3">
      <c r="A4829" t="s">
        <v>4853</v>
      </c>
      <c r="B4829" s="1">
        <v>45751</v>
      </c>
      <c r="C4829" t="s">
        <v>14</v>
      </c>
      <c r="D4829" t="s">
        <v>21</v>
      </c>
      <c r="E4829" s="2">
        <v>1.49</v>
      </c>
      <c r="F4829" s="3">
        <v>4.28</v>
      </c>
      <c r="G4829" s="4">
        <v>24.87</v>
      </c>
      <c r="H4829">
        <v>1</v>
      </c>
      <c r="I4829" s="4">
        <v>24.87</v>
      </c>
      <c r="J4829">
        <v>4.5</v>
      </c>
      <c r="K4829" t="s">
        <v>30</v>
      </c>
      <c r="L4829" t="s">
        <v>26</v>
      </c>
      <c r="O4829"/>
    </row>
    <row r="4830" spans="1:15" x14ac:dyDescent="0.3">
      <c r="A4830" t="s">
        <v>4854</v>
      </c>
      <c r="B4830" s="1">
        <v>45715</v>
      </c>
      <c r="C4830" t="s">
        <v>14</v>
      </c>
      <c r="D4830" t="s">
        <v>25</v>
      </c>
      <c r="E4830" s="2">
        <v>27.92</v>
      </c>
      <c r="F4830" s="3">
        <v>93.11</v>
      </c>
      <c r="G4830" s="4">
        <v>394.82</v>
      </c>
      <c r="H4830">
        <v>1.2</v>
      </c>
      <c r="I4830" s="4">
        <v>473.78</v>
      </c>
      <c r="J4830">
        <v>3.1</v>
      </c>
      <c r="K4830" t="s">
        <v>18</v>
      </c>
      <c r="L4830" t="s">
        <v>28</v>
      </c>
      <c r="O4830"/>
    </row>
    <row r="4831" spans="1:15" x14ac:dyDescent="0.3">
      <c r="A4831" t="s">
        <v>4855</v>
      </c>
      <c r="B4831" s="1">
        <v>45738</v>
      </c>
      <c r="C4831" t="s">
        <v>25</v>
      </c>
      <c r="D4831" t="s">
        <v>21</v>
      </c>
      <c r="E4831" s="2">
        <v>4.3099999999999996</v>
      </c>
      <c r="F4831" s="3">
        <v>14.82</v>
      </c>
      <c r="G4831" s="4">
        <v>78.62</v>
      </c>
      <c r="H4831">
        <v>2</v>
      </c>
      <c r="I4831" s="4">
        <v>157.24</v>
      </c>
      <c r="J4831">
        <v>3.4</v>
      </c>
      <c r="K4831" t="s">
        <v>18</v>
      </c>
      <c r="L4831" t="s">
        <v>19</v>
      </c>
      <c r="O4831"/>
    </row>
    <row r="4832" spans="1:15" x14ac:dyDescent="0.3">
      <c r="A4832" t="s">
        <v>4856</v>
      </c>
      <c r="B4832" s="1">
        <v>45744</v>
      </c>
      <c r="C4832" t="s">
        <v>22</v>
      </c>
      <c r="D4832" t="s">
        <v>25</v>
      </c>
      <c r="E4832" s="2">
        <v>1.99</v>
      </c>
      <c r="F4832" s="3">
        <v>7.53</v>
      </c>
      <c r="G4832" s="4">
        <v>34.880000000000003</v>
      </c>
      <c r="H4832">
        <v>1.5</v>
      </c>
      <c r="I4832" s="4">
        <v>52.32</v>
      </c>
      <c r="J4832">
        <v>3.1</v>
      </c>
      <c r="K4832" t="s">
        <v>30</v>
      </c>
      <c r="L4832" t="s">
        <v>16</v>
      </c>
      <c r="O4832"/>
    </row>
    <row r="4833" spans="1:15" x14ac:dyDescent="0.3">
      <c r="A4833" t="s">
        <v>4857</v>
      </c>
      <c r="B4833" s="1">
        <v>45839</v>
      </c>
      <c r="C4833" t="s">
        <v>13</v>
      </c>
      <c r="D4833" t="s">
        <v>25</v>
      </c>
      <c r="E4833" s="2">
        <v>17.68</v>
      </c>
      <c r="F4833" s="3">
        <v>39.950000000000003</v>
      </c>
      <c r="G4833" s="4">
        <v>208.07</v>
      </c>
      <c r="H4833">
        <v>2</v>
      </c>
      <c r="I4833" s="4">
        <v>416.14</v>
      </c>
      <c r="J4833">
        <v>4.5999999999999996</v>
      </c>
      <c r="K4833" t="s">
        <v>15</v>
      </c>
      <c r="L4833" t="s">
        <v>16</v>
      </c>
      <c r="O4833"/>
    </row>
    <row r="4834" spans="1:15" x14ac:dyDescent="0.3">
      <c r="A4834" t="s">
        <v>4858</v>
      </c>
      <c r="B4834" s="1">
        <v>45748</v>
      </c>
      <c r="C4834" t="s">
        <v>22</v>
      </c>
      <c r="D4834" t="s">
        <v>13</v>
      </c>
      <c r="E4834" s="2">
        <v>12.01</v>
      </c>
      <c r="F4834" s="3">
        <v>43.16</v>
      </c>
      <c r="G4834" s="4">
        <v>143.07</v>
      </c>
      <c r="H4834">
        <v>2</v>
      </c>
      <c r="I4834" s="4">
        <v>286.14</v>
      </c>
      <c r="J4834">
        <v>4.5999999999999996</v>
      </c>
      <c r="K4834" t="s">
        <v>33</v>
      </c>
      <c r="L4834" t="s">
        <v>26</v>
      </c>
      <c r="O4834"/>
    </row>
    <row r="4835" spans="1:15" x14ac:dyDescent="0.3">
      <c r="A4835" t="s">
        <v>4859</v>
      </c>
      <c r="B4835" s="1">
        <v>45768</v>
      </c>
      <c r="C4835" t="s">
        <v>14</v>
      </c>
      <c r="D4835" t="s">
        <v>22</v>
      </c>
      <c r="E4835" s="2">
        <v>12.21</v>
      </c>
      <c r="F4835" s="3">
        <v>37.270000000000003</v>
      </c>
      <c r="G4835" s="4">
        <v>204.62</v>
      </c>
      <c r="H4835">
        <v>1.5</v>
      </c>
      <c r="I4835" s="4">
        <v>306.93</v>
      </c>
      <c r="J4835">
        <v>3.2</v>
      </c>
      <c r="K4835" t="s">
        <v>33</v>
      </c>
      <c r="L4835" t="s">
        <v>28</v>
      </c>
      <c r="O4835"/>
    </row>
    <row r="4836" spans="1:15" x14ac:dyDescent="0.3">
      <c r="A4836" t="s">
        <v>4860</v>
      </c>
      <c r="B4836" s="1">
        <v>45954</v>
      </c>
      <c r="C4836" t="s">
        <v>21</v>
      </c>
      <c r="D4836" t="s">
        <v>13</v>
      </c>
      <c r="E4836" s="2">
        <v>17.57</v>
      </c>
      <c r="F4836" s="3">
        <v>67.11</v>
      </c>
      <c r="G4836" s="4">
        <v>347.24</v>
      </c>
      <c r="H4836">
        <v>1.5</v>
      </c>
      <c r="I4836" s="4">
        <v>520.86</v>
      </c>
      <c r="J4836">
        <v>4</v>
      </c>
      <c r="K4836" t="s">
        <v>30</v>
      </c>
      <c r="L4836" t="s">
        <v>28</v>
      </c>
      <c r="O4836"/>
    </row>
    <row r="4837" spans="1:15" x14ac:dyDescent="0.3">
      <c r="A4837" t="s">
        <v>4861</v>
      </c>
      <c r="B4837" s="1">
        <v>45922</v>
      </c>
      <c r="C4837" t="s">
        <v>22</v>
      </c>
      <c r="D4837" t="s">
        <v>13</v>
      </c>
      <c r="E4837" s="2">
        <v>9.3800000000000008</v>
      </c>
      <c r="F4837" s="3">
        <v>37.4</v>
      </c>
      <c r="G4837" s="4">
        <v>115.31</v>
      </c>
      <c r="H4837">
        <v>1</v>
      </c>
      <c r="I4837" s="4">
        <v>115.31</v>
      </c>
      <c r="J4837">
        <v>4.5999999999999996</v>
      </c>
      <c r="K4837" t="s">
        <v>15</v>
      </c>
      <c r="L4837" t="s">
        <v>28</v>
      </c>
      <c r="O4837"/>
    </row>
    <row r="4838" spans="1:15" x14ac:dyDescent="0.3">
      <c r="A4838" t="s">
        <v>4862</v>
      </c>
      <c r="B4838" s="1">
        <v>45782</v>
      </c>
      <c r="C4838" t="s">
        <v>13</v>
      </c>
      <c r="D4838" t="s">
        <v>13</v>
      </c>
      <c r="E4838" s="2">
        <v>14.7</v>
      </c>
      <c r="F4838" s="3">
        <v>46.44</v>
      </c>
      <c r="G4838" s="4">
        <v>179.25</v>
      </c>
      <c r="H4838">
        <v>1</v>
      </c>
      <c r="I4838" s="4">
        <v>179.25</v>
      </c>
      <c r="J4838">
        <v>3.3</v>
      </c>
      <c r="K4838" t="s">
        <v>33</v>
      </c>
      <c r="L4838" t="s">
        <v>28</v>
      </c>
      <c r="O4838"/>
    </row>
    <row r="4839" spans="1:15" x14ac:dyDescent="0.3">
      <c r="A4839" t="s">
        <v>4863</v>
      </c>
      <c r="B4839" s="1">
        <v>45922</v>
      </c>
      <c r="C4839" t="s">
        <v>25</v>
      </c>
      <c r="D4839" t="s">
        <v>14</v>
      </c>
      <c r="E4839" s="2">
        <v>14.79</v>
      </c>
      <c r="F4839" s="3">
        <v>39.520000000000003</v>
      </c>
      <c r="G4839" s="4">
        <v>247.71</v>
      </c>
      <c r="H4839">
        <v>1</v>
      </c>
      <c r="I4839" s="4">
        <v>247.71</v>
      </c>
      <c r="J4839">
        <v>4.5</v>
      </c>
      <c r="K4839" t="s">
        <v>30</v>
      </c>
      <c r="L4839" t="s">
        <v>28</v>
      </c>
      <c r="O4839"/>
    </row>
    <row r="4840" spans="1:15" x14ac:dyDescent="0.3">
      <c r="A4840" t="s">
        <v>4864</v>
      </c>
      <c r="B4840" s="1">
        <v>45895</v>
      </c>
      <c r="C4840" t="s">
        <v>13</v>
      </c>
      <c r="D4840" t="s">
        <v>13</v>
      </c>
      <c r="E4840" s="2">
        <v>1.21</v>
      </c>
      <c r="F4840" s="3">
        <v>3.03</v>
      </c>
      <c r="G4840" s="4">
        <v>19.760000000000002</v>
      </c>
      <c r="H4840">
        <v>2</v>
      </c>
      <c r="I4840" s="4">
        <v>39.520000000000003</v>
      </c>
      <c r="J4840">
        <v>4.3</v>
      </c>
      <c r="K4840" t="s">
        <v>15</v>
      </c>
      <c r="L4840" t="s">
        <v>26</v>
      </c>
      <c r="O4840"/>
    </row>
    <row r="4841" spans="1:15" x14ac:dyDescent="0.3">
      <c r="A4841" t="s">
        <v>4865</v>
      </c>
      <c r="B4841" s="1">
        <v>45867</v>
      </c>
      <c r="C4841" t="s">
        <v>22</v>
      </c>
      <c r="D4841" t="s">
        <v>25</v>
      </c>
      <c r="E4841" s="2">
        <v>19.760000000000002</v>
      </c>
      <c r="F4841" s="3">
        <v>69.39</v>
      </c>
      <c r="G4841" s="4">
        <v>261.14</v>
      </c>
      <c r="H4841">
        <v>1.2</v>
      </c>
      <c r="I4841" s="4">
        <v>313.37</v>
      </c>
      <c r="J4841">
        <v>3.6</v>
      </c>
      <c r="K4841" t="s">
        <v>33</v>
      </c>
      <c r="L4841" t="s">
        <v>19</v>
      </c>
      <c r="O4841"/>
    </row>
    <row r="4842" spans="1:15" x14ac:dyDescent="0.3">
      <c r="A4842" t="s">
        <v>4866</v>
      </c>
      <c r="B4842" s="1">
        <v>45695</v>
      </c>
      <c r="C4842" t="s">
        <v>14</v>
      </c>
      <c r="D4842" t="s">
        <v>21</v>
      </c>
      <c r="E4842" s="2">
        <v>28.42</v>
      </c>
      <c r="F4842" s="3">
        <v>74.319999999999993</v>
      </c>
      <c r="G4842" s="4">
        <v>514.4</v>
      </c>
      <c r="H4842">
        <v>1.2</v>
      </c>
      <c r="I4842" s="4">
        <v>617.28</v>
      </c>
      <c r="J4842">
        <v>3.7</v>
      </c>
      <c r="K4842" t="s">
        <v>36</v>
      </c>
      <c r="L4842" t="s">
        <v>19</v>
      </c>
      <c r="O4842"/>
    </row>
    <row r="4843" spans="1:15" x14ac:dyDescent="0.3">
      <c r="A4843" t="s">
        <v>4867</v>
      </c>
      <c r="B4843" s="1">
        <v>45736</v>
      </c>
      <c r="C4843" t="s">
        <v>14</v>
      </c>
      <c r="D4843" t="s">
        <v>21</v>
      </c>
      <c r="E4843" s="2">
        <v>14.85</v>
      </c>
      <c r="F4843" s="3">
        <v>52.71</v>
      </c>
      <c r="G4843" s="4">
        <v>262.57</v>
      </c>
      <c r="H4843">
        <v>1.2</v>
      </c>
      <c r="I4843" s="4">
        <v>315.08</v>
      </c>
      <c r="J4843">
        <v>3.7</v>
      </c>
      <c r="K4843" t="s">
        <v>18</v>
      </c>
      <c r="L4843" t="s">
        <v>26</v>
      </c>
      <c r="O4843"/>
    </row>
    <row r="4844" spans="1:15" x14ac:dyDescent="0.3">
      <c r="A4844" t="s">
        <v>4868</v>
      </c>
      <c r="B4844" s="1">
        <v>45745</v>
      </c>
      <c r="C4844" t="s">
        <v>25</v>
      </c>
      <c r="D4844" t="s">
        <v>13</v>
      </c>
      <c r="E4844" s="2">
        <v>8.57</v>
      </c>
      <c r="F4844" s="3">
        <v>19.239999999999998</v>
      </c>
      <c r="G4844" s="4">
        <v>122.14</v>
      </c>
      <c r="H4844">
        <v>1</v>
      </c>
      <c r="I4844" s="4">
        <v>122.14</v>
      </c>
      <c r="J4844">
        <v>4.5999999999999996</v>
      </c>
      <c r="K4844" t="s">
        <v>33</v>
      </c>
      <c r="L4844" t="s">
        <v>28</v>
      </c>
      <c r="O4844"/>
    </row>
    <row r="4845" spans="1:15" x14ac:dyDescent="0.3">
      <c r="A4845" t="s">
        <v>4869</v>
      </c>
      <c r="B4845" s="1">
        <v>45867</v>
      </c>
      <c r="C4845" t="s">
        <v>22</v>
      </c>
      <c r="D4845" t="s">
        <v>22</v>
      </c>
      <c r="E4845" s="2">
        <v>19.420000000000002</v>
      </c>
      <c r="F4845" s="3">
        <v>63.08</v>
      </c>
      <c r="G4845" s="4">
        <v>219.95</v>
      </c>
      <c r="H4845">
        <v>1</v>
      </c>
      <c r="I4845" s="4">
        <v>219.95</v>
      </c>
      <c r="J4845">
        <v>4.5999999999999996</v>
      </c>
      <c r="K4845" t="s">
        <v>30</v>
      </c>
      <c r="L4845" t="s">
        <v>28</v>
      </c>
      <c r="O4845"/>
    </row>
    <row r="4846" spans="1:15" x14ac:dyDescent="0.3">
      <c r="A4846" t="s">
        <v>4870</v>
      </c>
      <c r="B4846" s="1">
        <v>45735</v>
      </c>
      <c r="C4846" t="s">
        <v>21</v>
      </c>
      <c r="D4846" t="s">
        <v>14</v>
      </c>
      <c r="E4846" s="2">
        <v>29.19</v>
      </c>
      <c r="F4846" s="3">
        <v>68.19</v>
      </c>
      <c r="G4846" s="4">
        <v>411.71</v>
      </c>
      <c r="H4846">
        <v>1.2</v>
      </c>
      <c r="I4846" s="4">
        <v>494.05</v>
      </c>
      <c r="J4846">
        <v>4.5</v>
      </c>
      <c r="K4846" t="s">
        <v>15</v>
      </c>
      <c r="L4846" t="s">
        <v>26</v>
      </c>
      <c r="O4846"/>
    </row>
    <row r="4847" spans="1:15" x14ac:dyDescent="0.3">
      <c r="A4847" t="s">
        <v>4871</v>
      </c>
      <c r="B4847" s="1">
        <v>45882</v>
      </c>
      <c r="C4847" t="s">
        <v>25</v>
      </c>
      <c r="D4847" t="s">
        <v>22</v>
      </c>
      <c r="E4847" s="2">
        <v>11.93</v>
      </c>
      <c r="F4847" s="3">
        <v>36.76</v>
      </c>
      <c r="G4847" s="4">
        <v>146.81</v>
      </c>
      <c r="H4847">
        <v>2</v>
      </c>
      <c r="I4847" s="4">
        <v>293.62</v>
      </c>
      <c r="J4847">
        <v>3.7</v>
      </c>
      <c r="K4847" t="s">
        <v>18</v>
      </c>
      <c r="L4847" t="s">
        <v>26</v>
      </c>
      <c r="O4847"/>
    </row>
    <row r="4848" spans="1:15" x14ac:dyDescent="0.3">
      <c r="A4848" t="s">
        <v>4872</v>
      </c>
      <c r="B4848" s="1">
        <v>46005</v>
      </c>
      <c r="C4848" t="s">
        <v>25</v>
      </c>
      <c r="D4848" t="s">
        <v>22</v>
      </c>
      <c r="E4848" s="2">
        <v>28.92</v>
      </c>
      <c r="F4848" s="3">
        <v>76.56</v>
      </c>
      <c r="G4848" s="4">
        <v>488.17</v>
      </c>
      <c r="H4848">
        <v>1.5</v>
      </c>
      <c r="I4848" s="4">
        <v>732.26</v>
      </c>
      <c r="J4848">
        <v>3.3</v>
      </c>
      <c r="K4848" t="s">
        <v>15</v>
      </c>
      <c r="L4848" t="s">
        <v>19</v>
      </c>
      <c r="O4848"/>
    </row>
    <row r="4849" spans="1:15" x14ac:dyDescent="0.3">
      <c r="A4849" t="s">
        <v>4873</v>
      </c>
      <c r="B4849" s="1">
        <v>45669</v>
      </c>
      <c r="C4849" t="s">
        <v>14</v>
      </c>
      <c r="D4849" t="s">
        <v>22</v>
      </c>
      <c r="E4849" s="2">
        <v>20.51</v>
      </c>
      <c r="F4849" s="3">
        <v>73.95</v>
      </c>
      <c r="G4849" s="4">
        <v>215.22</v>
      </c>
      <c r="H4849">
        <v>1.5</v>
      </c>
      <c r="I4849" s="4">
        <v>322.83</v>
      </c>
      <c r="J4849">
        <v>3.5</v>
      </c>
      <c r="K4849" t="s">
        <v>33</v>
      </c>
      <c r="L4849" t="s">
        <v>19</v>
      </c>
      <c r="O4849"/>
    </row>
    <row r="4850" spans="1:15" x14ac:dyDescent="0.3">
      <c r="A4850" t="s">
        <v>4874</v>
      </c>
      <c r="B4850" s="1">
        <v>45797</v>
      </c>
      <c r="C4850" t="s">
        <v>21</v>
      </c>
      <c r="D4850" t="s">
        <v>25</v>
      </c>
      <c r="E4850" s="2">
        <v>9.5</v>
      </c>
      <c r="F4850" s="3">
        <v>23.99</v>
      </c>
      <c r="G4850" s="4">
        <v>150.1</v>
      </c>
      <c r="H4850">
        <v>1.2</v>
      </c>
      <c r="I4850" s="4">
        <v>180.12</v>
      </c>
      <c r="J4850">
        <v>4.5999999999999996</v>
      </c>
      <c r="K4850" t="s">
        <v>18</v>
      </c>
      <c r="L4850" t="s">
        <v>19</v>
      </c>
      <c r="O4850"/>
    </row>
    <row r="4851" spans="1:15" x14ac:dyDescent="0.3">
      <c r="A4851" t="s">
        <v>4875</v>
      </c>
      <c r="B4851" s="1">
        <v>45818</v>
      </c>
      <c r="C4851" t="s">
        <v>25</v>
      </c>
      <c r="D4851" t="s">
        <v>25</v>
      </c>
      <c r="E4851" s="2">
        <v>17.45</v>
      </c>
      <c r="F4851" s="3">
        <v>40.85</v>
      </c>
      <c r="G4851" s="4">
        <v>198.99</v>
      </c>
      <c r="H4851">
        <v>1</v>
      </c>
      <c r="I4851" s="4">
        <v>198.99</v>
      </c>
      <c r="J4851">
        <v>4.9000000000000004</v>
      </c>
      <c r="K4851" t="s">
        <v>30</v>
      </c>
      <c r="L4851" t="s">
        <v>19</v>
      </c>
      <c r="O4851"/>
    </row>
    <row r="4852" spans="1:15" x14ac:dyDescent="0.3">
      <c r="A4852" t="s">
        <v>4876</v>
      </c>
      <c r="B4852" s="1">
        <v>45940</v>
      </c>
      <c r="C4852" t="s">
        <v>13</v>
      </c>
      <c r="D4852" t="s">
        <v>21</v>
      </c>
      <c r="E4852" s="2">
        <v>13.79</v>
      </c>
      <c r="F4852" s="3">
        <v>37.51</v>
      </c>
      <c r="G4852" s="4">
        <v>227.31</v>
      </c>
      <c r="H4852">
        <v>1</v>
      </c>
      <c r="I4852" s="4">
        <v>227.31</v>
      </c>
      <c r="J4852">
        <v>4.8</v>
      </c>
      <c r="K4852" t="s">
        <v>15</v>
      </c>
      <c r="L4852" t="s">
        <v>28</v>
      </c>
      <c r="O4852"/>
    </row>
    <row r="4853" spans="1:15" x14ac:dyDescent="0.3">
      <c r="A4853" t="s">
        <v>4877</v>
      </c>
      <c r="B4853" s="1">
        <v>45791</v>
      </c>
      <c r="C4853" t="s">
        <v>22</v>
      </c>
      <c r="D4853" t="s">
        <v>14</v>
      </c>
      <c r="E4853" s="2">
        <v>11.22</v>
      </c>
      <c r="F4853" s="3">
        <v>39.049999999999997</v>
      </c>
      <c r="G4853" s="4">
        <v>141.07</v>
      </c>
      <c r="H4853">
        <v>1.2</v>
      </c>
      <c r="I4853" s="4">
        <v>169.28</v>
      </c>
      <c r="J4853">
        <v>3.4</v>
      </c>
      <c r="K4853" t="s">
        <v>18</v>
      </c>
      <c r="L4853" t="s">
        <v>26</v>
      </c>
      <c r="O4853"/>
    </row>
    <row r="4854" spans="1:15" x14ac:dyDescent="0.3">
      <c r="A4854" t="s">
        <v>4878</v>
      </c>
      <c r="B4854" s="1">
        <v>45791</v>
      </c>
      <c r="C4854" t="s">
        <v>14</v>
      </c>
      <c r="D4854" t="s">
        <v>14</v>
      </c>
      <c r="E4854" s="2">
        <v>10.54</v>
      </c>
      <c r="F4854" s="3">
        <v>31.03</v>
      </c>
      <c r="G4854" s="4">
        <v>134.84</v>
      </c>
      <c r="H4854">
        <v>1</v>
      </c>
      <c r="I4854" s="4">
        <v>134.84</v>
      </c>
      <c r="J4854">
        <v>3.6</v>
      </c>
      <c r="K4854" t="s">
        <v>36</v>
      </c>
      <c r="L4854" t="s">
        <v>28</v>
      </c>
      <c r="O4854"/>
    </row>
    <row r="4855" spans="1:15" x14ac:dyDescent="0.3">
      <c r="A4855" t="s">
        <v>4879</v>
      </c>
      <c r="B4855" s="1">
        <v>45807</v>
      </c>
      <c r="C4855" t="s">
        <v>25</v>
      </c>
      <c r="D4855" t="s">
        <v>13</v>
      </c>
      <c r="E4855" s="2">
        <v>23.36</v>
      </c>
      <c r="F4855" s="3">
        <v>59.81</v>
      </c>
      <c r="G4855" s="4">
        <v>328.92</v>
      </c>
      <c r="H4855">
        <v>2</v>
      </c>
      <c r="I4855" s="4">
        <v>657.84</v>
      </c>
      <c r="J4855">
        <v>3</v>
      </c>
      <c r="K4855" t="s">
        <v>15</v>
      </c>
      <c r="L4855" t="s">
        <v>26</v>
      </c>
      <c r="O4855"/>
    </row>
    <row r="4856" spans="1:15" x14ac:dyDescent="0.3">
      <c r="A4856" t="s">
        <v>4880</v>
      </c>
      <c r="B4856" s="1">
        <v>45690</v>
      </c>
      <c r="C4856" t="s">
        <v>25</v>
      </c>
      <c r="D4856" t="s">
        <v>25</v>
      </c>
      <c r="E4856" s="2">
        <v>25.01</v>
      </c>
      <c r="F4856" s="3">
        <v>69.739999999999995</v>
      </c>
      <c r="G4856" s="4">
        <v>486.72</v>
      </c>
      <c r="H4856">
        <v>1.2</v>
      </c>
      <c r="I4856" s="4">
        <v>584.05999999999995</v>
      </c>
      <c r="J4856">
        <v>4.5999999999999996</v>
      </c>
      <c r="K4856" t="s">
        <v>18</v>
      </c>
      <c r="L4856" t="s">
        <v>28</v>
      </c>
      <c r="O4856"/>
    </row>
    <row r="4857" spans="1:15" x14ac:dyDescent="0.3">
      <c r="A4857" t="s">
        <v>4881</v>
      </c>
      <c r="B4857" s="1">
        <v>45869</v>
      </c>
      <c r="C4857" t="s">
        <v>14</v>
      </c>
      <c r="D4857" t="s">
        <v>13</v>
      </c>
      <c r="E4857" s="2">
        <v>20.72</v>
      </c>
      <c r="F4857" s="3">
        <v>72.8</v>
      </c>
      <c r="G4857" s="4">
        <v>242.62</v>
      </c>
      <c r="H4857">
        <v>1.5</v>
      </c>
      <c r="I4857" s="4">
        <v>363.93</v>
      </c>
      <c r="J4857">
        <v>3.9</v>
      </c>
      <c r="K4857" t="s">
        <v>36</v>
      </c>
      <c r="L4857" t="s">
        <v>19</v>
      </c>
      <c r="O4857"/>
    </row>
    <row r="4858" spans="1:15" x14ac:dyDescent="0.3">
      <c r="A4858" t="s">
        <v>4882</v>
      </c>
      <c r="B4858" s="1">
        <v>45832</v>
      </c>
      <c r="C4858" t="s">
        <v>14</v>
      </c>
      <c r="D4858" t="s">
        <v>13</v>
      </c>
      <c r="E4858" s="2">
        <v>1.57</v>
      </c>
      <c r="F4858" s="3">
        <v>3.53</v>
      </c>
      <c r="G4858" s="4">
        <v>19.559999999999999</v>
      </c>
      <c r="H4858">
        <v>1.5</v>
      </c>
      <c r="I4858" s="4">
        <v>29.34</v>
      </c>
      <c r="J4858">
        <v>4.2</v>
      </c>
      <c r="K4858" t="s">
        <v>15</v>
      </c>
      <c r="L4858" t="s">
        <v>19</v>
      </c>
      <c r="O4858"/>
    </row>
    <row r="4859" spans="1:15" x14ac:dyDescent="0.3">
      <c r="A4859" t="s">
        <v>4883</v>
      </c>
      <c r="B4859" s="1">
        <v>45966</v>
      </c>
      <c r="C4859" t="s">
        <v>22</v>
      </c>
      <c r="D4859" t="s">
        <v>22</v>
      </c>
      <c r="E4859" s="2">
        <v>9.5299999999999994</v>
      </c>
      <c r="F4859" s="3">
        <v>22.07</v>
      </c>
      <c r="G4859" s="4">
        <v>181.63</v>
      </c>
      <c r="H4859">
        <v>1.2</v>
      </c>
      <c r="I4859" s="4">
        <v>217.96</v>
      </c>
      <c r="J4859">
        <v>4.4000000000000004</v>
      </c>
      <c r="K4859" t="s">
        <v>33</v>
      </c>
      <c r="L4859" t="s">
        <v>28</v>
      </c>
      <c r="O4859"/>
    </row>
    <row r="4860" spans="1:15" x14ac:dyDescent="0.3">
      <c r="A4860" t="s">
        <v>4884</v>
      </c>
      <c r="B4860" s="1">
        <v>45924</v>
      </c>
      <c r="C4860" t="s">
        <v>14</v>
      </c>
      <c r="D4860" t="s">
        <v>22</v>
      </c>
      <c r="E4860" s="2">
        <v>17.71</v>
      </c>
      <c r="F4860" s="3">
        <v>42.01</v>
      </c>
      <c r="G4860" s="4">
        <v>199.58</v>
      </c>
      <c r="H4860">
        <v>1</v>
      </c>
      <c r="I4860" s="4">
        <v>199.58</v>
      </c>
      <c r="J4860">
        <v>4.9000000000000004</v>
      </c>
      <c r="K4860" t="s">
        <v>15</v>
      </c>
      <c r="L4860" t="s">
        <v>16</v>
      </c>
      <c r="O4860"/>
    </row>
    <row r="4861" spans="1:15" x14ac:dyDescent="0.3">
      <c r="A4861" t="s">
        <v>4885</v>
      </c>
      <c r="B4861" s="1">
        <v>45903</v>
      </c>
      <c r="C4861" t="s">
        <v>22</v>
      </c>
      <c r="D4861" t="s">
        <v>14</v>
      </c>
      <c r="E4861" s="2">
        <v>15.89</v>
      </c>
      <c r="F4861" s="3">
        <v>34</v>
      </c>
      <c r="G4861" s="4">
        <v>194.4</v>
      </c>
      <c r="H4861">
        <v>1</v>
      </c>
      <c r="I4861" s="4">
        <v>194.4</v>
      </c>
      <c r="J4861">
        <v>3.6</v>
      </c>
      <c r="K4861" t="s">
        <v>33</v>
      </c>
      <c r="L4861" t="s">
        <v>28</v>
      </c>
      <c r="O4861"/>
    </row>
    <row r="4862" spans="1:15" x14ac:dyDescent="0.3">
      <c r="A4862" t="s">
        <v>4886</v>
      </c>
      <c r="B4862" s="1">
        <v>45904</v>
      </c>
      <c r="C4862" t="s">
        <v>14</v>
      </c>
      <c r="D4862" t="s">
        <v>14</v>
      </c>
      <c r="E4862" s="2">
        <v>17.399999999999999</v>
      </c>
      <c r="F4862" s="3">
        <v>59.36</v>
      </c>
      <c r="G4862" s="4">
        <v>182.22</v>
      </c>
      <c r="H4862">
        <v>1</v>
      </c>
      <c r="I4862" s="4">
        <v>182.22</v>
      </c>
      <c r="J4862">
        <v>3.1</v>
      </c>
      <c r="K4862" t="s">
        <v>30</v>
      </c>
      <c r="L4862" t="s">
        <v>16</v>
      </c>
      <c r="O4862"/>
    </row>
    <row r="4863" spans="1:15" x14ac:dyDescent="0.3">
      <c r="A4863" t="s">
        <v>4887</v>
      </c>
      <c r="B4863" s="1">
        <v>45720</v>
      </c>
      <c r="C4863" t="s">
        <v>25</v>
      </c>
      <c r="D4863" t="s">
        <v>21</v>
      </c>
      <c r="E4863" s="2">
        <v>28.38</v>
      </c>
      <c r="F4863" s="3">
        <v>61.51</v>
      </c>
      <c r="G4863" s="4">
        <v>436.33</v>
      </c>
      <c r="H4863">
        <v>2</v>
      </c>
      <c r="I4863" s="4">
        <v>872.66</v>
      </c>
      <c r="J4863">
        <v>4.9000000000000004</v>
      </c>
      <c r="K4863" t="s">
        <v>36</v>
      </c>
      <c r="L4863" t="s">
        <v>28</v>
      </c>
      <c r="O4863"/>
    </row>
    <row r="4864" spans="1:15" x14ac:dyDescent="0.3">
      <c r="A4864" t="s">
        <v>4888</v>
      </c>
      <c r="B4864" s="1">
        <v>45872</v>
      </c>
      <c r="C4864" t="s">
        <v>25</v>
      </c>
      <c r="D4864" t="s">
        <v>13</v>
      </c>
      <c r="E4864" s="2">
        <v>27.09</v>
      </c>
      <c r="F4864" s="3">
        <v>78.06</v>
      </c>
      <c r="G4864" s="4">
        <v>526.13</v>
      </c>
      <c r="H4864">
        <v>1.2</v>
      </c>
      <c r="I4864" s="4">
        <v>631.36</v>
      </c>
      <c r="J4864">
        <v>4.2</v>
      </c>
      <c r="K4864" t="s">
        <v>18</v>
      </c>
      <c r="L4864" t="s">
        <v>16</v>
      </c>
      <c r="O4864"/>
    </row>
    <row r="4865" spans="1:15" x14ac:dyDescent="0.3">
      <c r="A4865" t="s">
        <v>4889</v>
      </c>
      <c r="B4865" s="1">
        <v>45732</v>
      </c>
      <c r="C4865" t="s">
        <v>14</v>
      </c>
      <c r="D4865" t="s">
        <v>13</v>
      </c>
      <c r="E4865" s="2">
        <v>8.5299999999999994</v>
      </c>
      <c r="F4865" s="3">
        <v>27.92</v>
      </c>
      <c r="G4865" s="4">
        <v>131.21</v>
      </c>
      <c r="H4865">
        <v>1.5</v>
      </c>
      <c r="I4865" s="4">
        <v>196.82</v>
      </c>
      <c r="J4865">
        <v>4.7</v>
      </c>
      <c r="K4865" t="s">
        <v>30</v>
      </c>
      <c r="L4865" t="s">
        <v>28</v>
      </c>
      <c r="O4865"/>
    </row>
    <row r="4866" spans="1:15" x14ac:dyDescent="0.3">
      <c r="A4866" t="s">
        <v>4890</v>
      </c>
      <c r="B4866" s="1">
        <v>45934</v>
      </c>
      <c r="C4866" t="s">
        <v>13</v>
      </c>
      <c r="D4866" t="s">
        <v>21</v>
      </c>
      <c r="E4866" s="2">
        <v>9.39</v>
      </c>
      <c r="F4866" s="3">
        <v>31.51</v>
      </c>
      <c r="G4866" s="4">
        <v>113.87</v>
      </c>
      <c r="H4866">
        <v>1.5</v>
      </c>
      <c r="I4866" s="4">
        <v>170.8</v>
      </c>
      <c r="J4866">
        <v>3.7</v>
      </c>
      <c r="K4866" t="s">
        <v>33</v>
      </c>
      <c r="L4866" t="s">
        <v>16</v>
      </c>
      <c r="O4866"/>
    </row>
    <row r="4867" spans="1:15" x14ac:dyDescent="0.3">
      <c r="A4867" t="s">
        <v>4891</v>
      </c>
      <c r="B4867" s="1">
        <v>45882</v>
      </c>
      <c r="C4867" t="s">
        <v>25</v>
      </c>
      <c r="D4867" t="s">
        <v>13</v>
      </c>
      <c r="E4867" s="2">
        <v>20.69</v>
      </c>
      <c r="F4867" s="3">
        <v>78.180000000000007</v>
      </c>
      <c r="G4867" s="4">
        <v>346.47</v>
      </c>
      <c r="H4867">
        <v>1</v>
      </c>
      <c r="I4867" s="4">
        <v>346.47</v>
      </c>
      <c r="J4867">
        <v>3.2</v>
      </c>
      <c r="K4867" t="s">
        <v>18</v>
      </c>
      <c r="L4867" t="s">
        <v>16</v>
      </c>
      <c r="O4867"/>
    </row>
    <row r="4868" spans="1:15" x14ac:dyDescent="0.3">
      <c r="A4868" t="s">
        <v>4892</v>
      </c>
      <c r="B4868" s="1">
        <v>45848</v>
      </c>
      <c r="C4868" t="s">
        <v>22</v>
      </c>
      <c r="D4868" t="s">
        <v>21</v>
      </c>
      <c r="E4868" s="2">
        <v>3</v>
      </c>
      <c r="F4868" s="3">
        <v>6.6</v>
      </c>
      <c r="G4868" s="4">
        <v>46.63</v>
      </c>
      <c r="H4868">
        <v>1.5</v>
      </c>
      <c r="I4868" s="4">
        <v>69.95</v>
      </c>
      <c r="J4868">
        <v>3.5</v>
      </c>
      <c r="K4868" t="s">
        <v>15</v>
      </c>
      <c r="L4868" t="s">
        <v>26</v>
      </c>
      <c r="O4868"/>
    </row>
    <row r="4869" spans="1:15" x14ac:dyDescent="0.3">
      <c r="A4869" t="s">
        <v>4893</v>
      </c>
      <c r="B4869" s="1">
        <v>45961</v>
      </c>
      <c r="C4869" t="s">
        <v>21</v>
      </c>
      <c r="D4869" t="s">
        <v>25</v>
      </c>
      <c r="E4869" s="2">
        <v>13.96</v>
      </c>
      <c r="F4869" s="3">
        <v>35.840000000000003</v>
      </c>
      <c r="G4869" s="4">
        <v>212.67</v>
      </c>
      <c r="H4869">
        <v>1</v>
      </c>
      <c r="I4869" s="4">
        <v>212.67</v>
      </c>
      <c r="J4869">
        <v>4.5</v>
      </c>
      <c r="K4869" t="s">
        <v>33</v>
      </c>
      <c r="L4869" t="s">
        <v>26</v>
      </c>
      <c r="O4869"/>
    </row>
    <row r="4870" spans="1:15" x14ac:dyDescent="0.3">
      <c r="A4870" t="s">
        <v>4894</v>
      </c>
      <c r="B4870" s="1">
        <v>45792</v>
      </c>
      <c r="C4870" t="s">
        <v>14</v>
      </c>
      <c r="D4870" t="s">
        <v>22</v>
      </c>
      <c r="E4870" s="2">
        <v>29.57</v>
      </c>
      <c r="F4870" s="3">
        <v>76.599999999999994</v>
      </c>
      <c r="G4870" s="4">
        <v>486.35</v>
      </c>
      <c r="H4870">
        <v>1.2</v>
      </c>
      <c r="I4870" s="4">
        <v>583.62</v>
      </c>
      <c r="J4870">
        <v>3.3</v>
      </c>
      <c r="K4870" t="s">
        <v>15</v>
      </c>
      <c r="L4870" t="s">
        <v>16</v>
      </c>
      <c r="O4870"/>
    </row>
    <row r="4871" spans="1:15" x14ac:dyDescent="0.3">
      <c r="A4871" t="s">
        <v>4895</v>
      </c>
      <c r="B4871" s="1">
        <v>45816</v>
      </c>
      <c r="C4871" t="s">
        <v>21</v>
      </c>
      <c r="D4871" t="s">
        <v>14</v>
      </c>
      <c r="E4871" s="2">
        <v>10.55</v>
      </c>
      <c r="F4871" s="3">
        <v>36.880000000000003</v>
      </c>
      <c r="G4871" s="4">
        <v>191.74</v>
      </c>
      <c r="H4871">
        <v>1</v>
      </c>
      <c r="I4871" s="4">
        <v>191.74</v>
      </c>
      <c r="J4871">
        <v>5</v>
      </c>
      <c r="K4871" t="s">
        <v>30</v>
      </c>
      <c r="L4871" t="s">
        <v>16</v>
      </c>
      <c r="O4871"/>
    </row>
    <row r="4872" spans="1:15" x14ac:dyDescent="0.3">
      <c r="A4872" t="s">
        <v>4896</v>
      </c>
      <c r="B4872" s="1">
        <v>45853</v>
      </c>
      <c r="C4872" t="s">
        <v>25</v>
      </c>
      <c r="D4872" t="s">
        <v>21</v>
      </c>
      <c r="E4872" s="2">
        <v>28.2</v>
      </c>
      <c r="F4872" s="3">
        <v>93.63</v>
      </c>
      <c r="G4872" s="4">
        <v>444.36</v>
      </c>
      <c r="H4872">
        <v>1.2</v>
      </c>
      <c r="I4872" s="4">
        <v>533.23</v>
      </c>
      <c r="J4872">
        <v>3.1</v>
      </c>
      <c r="K4872" t="s">
        <v>33</v>
      </c>
      <c r="L4872" t="s">
        <v>28</v>
      </c>
      <c r="O4872"/>
    </row>
    <row r="4873" spans="1:15" x14ac:dyDescent="0.3">
      <c r="A4873" t="s">
        <v>4897</v>
      </c>
      <c r="B4873" s="1">
        <v>45822</v>
      </c>
      <c r="C4873" t="s">
        <v>14</v>
      </c>
      <c r="D4873" t="s">
        <v>21</v>
      </c>
      <c r="E4873" s="2">
        <v>12.32</v>
      </c>
      <c r="F4873" s="3">
        <v>46.35</v>
      </c>
      <c r="G4873" s="4">
        <v>143.05000000000001</v>
      </c>
      <c r="H4873">
        <v>1.2</v>
      </c>
      <c r="I4873" s="4">
        <v>171.66</v>
      </c>
      <c r="J4873">
        <v>3.8</v>
      </c>
      <c r="K4873" t="s">
        <v>15</v>
      </c>
      <c r="L4873" t="s">
        <v>19</v>
      </c>
      <c r="O4873"/>
    </row>
    <row r="4874" spans="1:15" x14ac:dyDescent="0.3">
      <c r="A4874" t="s">
        <v>4898</v>
      </c>
      <c r="B4874" s="1">
        <v>45950</v>
      </c>
      <c r="C4874" t="s">
        <v>14</v>
      </c>
      <c r="D4874" t="s">
        <v>21</v>
      </c>
      <c r="E4874" s="2">
        <v>11.33</v>
      </c>
      <c r="F4874" s="3">
        <v>35.4</v>
      </c>
      <c r="G4874" s="4">
        <v>226.17</v>
      </c>
      <c r="H4874">
        <v>2</v>
      </c>
      <c r="I4874" s="4">
        <v>452.34</v>
      </c>
      <c r="J4874">
        <v>3.4</v>
      </c>
      <c r="K4874" t="s">
        <v>33</v>
      </c>
      <c r="L4874" t="s">
        <v>28</v>
      </c>
      <c r="O4874"/>
    </row>
    <row r="4875" spans="1:15" x14ac:dyDescent="0.3">
      <c r="A4875" t="s">
        <v>4899</v>
      </c>
      <c r="B4875" s="1">
        <v>45803</v>
      </c>
      <c r="C4875" t="s">
        <v>25</v>
      </c>
      <c r="D4875" t="s">
        <v>14</v>
      </c>
      <c r="E4875" s="2">
        <v>22.98</v>
      </c>
      <c r="F4875" s="3">
        <v>72.819999999999993</v>
      </c>
      <c r="G4875" s="4">
        <v>252.2</v>
      </c>
      <c r="H4875">
        <v>1</v>
      </c>
      <c r="I4875" s="4">
        <v>252.2</v>
      </c>
      <c r="J4875">
        <v>3.8</v>
      </c>
      <c r="K4875" t="s">
        <v>36</v>
      </c>
      <c r="L4875" t="s">
        <v>26</v>
      </c>
      <c r="O4875"/>
    </row>
    <row r="4876" spans="1:15" x14ac:dyDescent="0.3">
      <c r="A4876" t="s">
        <v>4900</v>
      </c>
      <c r="B4876" s="1">
        <v>45907</v>
      </c>
      <c r="C4876" t="s">
        <v>14</v>
      </c>
      <c r="D4876" t="s">
        <v>21</v>
      </c>
      <c r="E4876" s="2">
        <v>13.16</v>
      </c>
      <c r="F4876" s="3">
        <v>51.36</v>
      </c>
      <c r="G4876" s="4">
        <v>249.31</v>
      </c>
      <c r="H4876">
        <v>1.5</v>
      </c>
      <c r="I4876" s="4">
        <v>373.96</v>
      </c>
      <c r="J4876">
        <v>4.4000000000000004</v>
      </c>
      <c r="K4876" t="s">
        <v>36</v>
      </c>
      <c r="L4876" t="s">
        <v>16</v>
      </c>
      <c r="O4876"/>
    </row>
    <row r="4877" spans="1:15" x14ac:dyDescent="0.3">
      <c r="A4877" t="s">
        <v>4901</v>
      </c>
      <c r="B4877" s="1">
        <v>45791</v>
      </c>
      <c r="C4877" t="s">
        <v>22</v>
      </c>
      <c r="D4877" t="s">
        <v>13</v>
      </c>
      <c r="E4877" s="2">
        <v>2.68</v>
      </c>
      <c r="F4877" s="3">
        <v>9.09</v>
      </c>
      <c r="G4877" s="4">
        <v>45.75</v>
      </c>
      <c r="H4877">
        <v>1.2</v>
      </c>
      <c r="I4877" s="4">
        <v>54.9</v>
      </c>
      <c r="J4877">
        <v>3.7</v>
      </c>
      <c r="K4877" t="s">
        <v>30</v>
      </c>
      <c r="L4877" t="s">
        <v>16</v>
      </c>
      <c r="O4877"/>
    </row>
    <row r="4878" spans="1:15" x14ac:dyDescent="0.3">
      <c r="A4878" t="s">
        <v>4902</v>
      </c>
      <c r="B4878" s="1">
        <v>45976</v>
      </c>
      <c r="C4878" t="s">
        <v>21</v>
      </c>
      <c r="D4878" t="s">
        <v>21</v>
      </c>
      <c r="E4878" s="2">
        <v>27.54</v>
      </c>
      <c r="F4878" s="3">
        <v>78.58</v>
      </c>
      <c r="G4878" s="4">
        <v>455.43</v>
      </c>
      <c r="H4878">
        <v>1.2</v>
      </c>
      <c r="I4878" s="4">
        <v>546.52</v>
      </c>
      <c r="J4878">
        <v>3.3</v>
      </c>
      <c r="K4878" t="s">
        <v>36</v>
      </c>
      <c r="L4878" t="s">
        <v>26</v>
      </c>
      <c r="O4878"/>
    </row>
    <row r="4879" spans="1:15" x14ac:dyDescent="0.3">
      <c r="A4879" t="s">
        <v>4903</v>
      </c>
      <c r="B4879" s="1">
        <v>45787</v>
      </c>
      <c r="C4879" t="s">
        <v>22</v>
      </c>
      <c r="D4879" t="s">
        <v>13</v>
      </c>
      <c r="E4879" s="2">
        <v>24.7</v>
      </c>
      <c r="F4879" s="3">
        <v>68.55</v>
      </c>
      <c r="G4879" s="4">
        <v>395.98</v>
      </c>
      <c r="H4879">
        <v>2</v>
      </c>
      <c r="I4879" s="4">
        <v>791.96</v>
      </c>
      <c r="J4879">
        <v>4.5</v>
      </c>
      <c r="K4879" t="s">
        <v>15</v>
      </c>
      <c r="L4879" t="s">
        <v>19</v>
      </c>
      <c r="O4879"/>
    </row>
    <row r="4880" spans="1:15" x14ac:dyDescent="0.3">
      <c r="A4880" t="s">
        <v>4904</v>
      </c>
      <c r="B4880" s="1">
        <v>45751</v>
      </c>
      <c r="C4880" t="s">
        <v>21</v>
      </c>
      <c r="D4880" t="s">
        <v>13</v>
      </c>
      <c r="E4880" s="2">
        <v>27.8</v>
      </c>
      <c r="F4880" s="3">
        <v>103.78</v>
      </c>
      <c r="G4880" s="4">
        <v>347.83</v>
      </c>
      <c r="H4880">
        <v>1.5</v>
      </c>
      <c r="I4880" s="4">
        <v>521.74</v>
      </c>
      <c r="J4880">
        <v>4.9000000000000004</v>
      </c>
      <c r="K4880" t="s">
        <v>36</v>
      </c>
      <c r="L4880" t="s">
        <v>16</v>
      </c>
      <c r="O4880"/>
    </row>
    <row r="4881" spans="1:15" x14ac:dyDescent="0.3">
      <c r="A4881" t="s">
        <v>4905</v>
      </c>
      <c r="B4881" s="1">
        <v>46005</v>
      </c>
      <c r="C4881" t="s">
        <v>13</v>
      </c>
      <c r="D4881" t="s">
        <v>22</v>
      </c>
      <c r="E4881" s="2">
        <v>9.3000000000000007</v>
      </c>
      <c r="F4881" s="3">
        <v>31.27</v>
      </c>
      <c r="G4881" s="4">
        <v>154.96</v>
      </c>
      <c r="H4881">
        <v>1</v>
      </c>
      <c r="I4881" s="4">
        <v>154.96</v>
      </c>
      <c r="J4881">
        <v>3.1</v>
      </c>
      <c r="K4881" t="s">
        <v>18</v>
      </c>
      <c r="L4881" t="s">
        <v>28</v>
      </c>
      <c r="O4881"/>
    </row>
    <row r="4882" spans="1:15" x14ac:dyDescent="0.3">
      <c r="A4882" t="s">
        <v>4906</v>
      </c>
      <c r="B4882" s="1">
        <v>45726</v>
      </c>
      <c r="C4882" t="s">
        <v>13</v>
      </c>
      <c r="D4882" t="s">
        <v>13</v>
      </c>
      <c r="E4882" s="2">
        <v>11.12</v>
      </c>
      <c r="F4882" s="3">
        <v>36.049999999999997</v>
      </c>
      <c r="G4882" s="4">
        <v>155.94</v>
      </c>
      <c r="H4882">
        <v>1.2</v>
      </c>
      <c r="I4882" s="4">
        <v>187.13</v>
      </c>
      <c r="J4882">
        <v>3.1</v>
      </c>
      <c r="K4882" t="s">
        <v>33</v>
      </c>
      <c r="L4882" t="s">
        <v>19</v>
      </c>
      <c r="O4882"/>
    </row>
    <row r="4883" spans="1:15" x14ac:dyDescent="0.3">
      <c r="A4883" t="s">
        <v>4907</v>
      </c>
      <c r="B4883" s="1">
        <v>45890</v>
      </c>
      <c r="C4883" t="s">
        <v>14</v>
      </c>
      <c r="D4883" t="s">
        <v>21</v>
      </c>
      <c r="E4883" s="2">
        <v>13.82</v>
      </c>
      <c r="F4883" s="3">
        <v>48.56</v>
      </c>
      <c r="G4883" s="4">
        <v>176.84</v>
      </c>
      <c r="H4883">
        <v>1.5</v>
      </c>
      <c r="I4883" s="4">
        <v>265.26</v>
      </c>
      <c r="J4883">
        <v>4.8</v>
      </c>
      <c r="K4883" t="s">
        <v>33</v>
      </c>
      <c r="L4883" t="s">
        <v>19</v>
      </c>
      <c r="O4883"/>
    </row>
    <row r="4884" spans="1:15" x14ac:dyDescent="0.3">
      <c r="A4884" t="s">
        <v>4908</v>
      </c>
      <c r="B4884" s="1">
        <v>45817</v>
      </c>
      <c r="C4884" t="s">
        <v>22</v>
      </c>
      <c r="D4884" t="s">
        <v>25</v>
      </c>
      <c r="E4884" s="2">
        <v>27</v>
      </c>
      <c r="F4884" s="3">
        <v>54.04</v>
      </c>
      <c r="G4884" s="4">
        <v>364.9</v>
      </c>
      <c r="H4884">
        <v>1.2</v>
      </c>
      <c r="I4884" s="4">
        <v>437.88</v>
      </c>
      <c r="J4884">
        <v>3.7</v>
      </c>
      <c r="K4884" t="s">
        <v>33</v>
      </c>
      <c r="L4884" t="s">
        <v>16</v>
      </c>
      <c r="O4884"/>
    </row>
    <row r="4885" spans="1:15" x14ac:dyDescent="0.3">
      <c r="A4885" t="s">
        <v>4909</v>
      </c>
      <c r="B4885" s="1">
        <v>45727</v>
      </c>
      <c r="C4885" t="s">
        <v>14</v>
      </c>
      <c r="D4885" t="s">
        <v>22</v>
      </c>
      <c r="E4885" s="2">
        <v>27.91</v>
      </c>
      <c r="F4885" s="3">
        <v>70.11</v>
      </c>
      <c r="G4885" s="4">
        <v>381.62</v>
      </c>
      <c r="H4885">
        <v>2</v>
      </c>
      <c r="I4885" s="4">
        <v>763.24</v>
      </c>
      <c r="J4885">
        <v>4.4000000000000004</v>
      </c>
      <c r="K4885" t="s">
        <v>15</v>
      </c>
      <c r="L4885" t="s">
        <v>26</v>
      </c>
      <c r="O4885"/>
    </row>
    <row r="4886" spans="1:15" x14ac:dyDescent="0.3">
      <c r="A4886" t="s">
        <v>4910</v>
      </c>
      <c r="B4886" s="1">
        <v>45953</v>
      </c>
      <c r="C4886" t="s">
        <v>22</v>
      </c>
      <c r="D4886" t="s">
        <v>14</v>
      </c>
      <c r="E4886" s="2">
        <v>15.41</v>
      </c>
      <c r="F4886" s="3">
        <v>46.24</v>
      </c>
      <c r="G4886" s="4">
        <v>261.38</v>
      </c>
      <c r="H4886">
        <v>1.2</v>
      </c>
      <c r="I4886" s="4">
        <v>313.66000000000003</v>
      </c>
      <c r="J4886">
        <v>3.8</v>
      </c>
      <c r="K4886" t="s">
        <v>18</v>
      </c>
      <c r="L4886" t="s">
        <v>26</v>
      </c>
      <c r="O4886"/>
    </row>
    <row r="4887" spans="1:15" x14ac:dyDescent="0.3">
      <c r="A4887" t="s">
        <v>4911</v>
      </c>
      <c r="B4887" s="1">
        <v>45700</v>
      </c>
      <c r="C4887" t="s">
        <v>22</v>
      </c>
      <c r="D4887" t="s">
        <v>13</v>
      </c>
      <c r="E4887" s="2">
        <v>6.01</v>
      </c>
      <c r="F4887" s="3">
        <v>14.24</v>
      </c>
      <c r="G4887" s="4">
        <v>61.32</v>
      </c>
      <c r="H4887">
        <v>1.2</v>
      </c>
      <c r="I4887" s="4">
        <v>73.58</v>
      </c>
      <c r="J4887">
        <v>4.8</v>
      </c>
      <c r="K4887" t="s">
        <v>18</v>
      </c>
      <c r="L4887" t="s">
        <v>16</v>
      </c>
      <c r="O4887"/>
    </row>
    <row r="4888" spans="1:15" x14ac:dyDescent="0.3">
      <c r="A4888" t="s">
        <v>4912</v>
      </c>
      <c r="B4888" s="1">
        <v>45908</v>
      </c>
      <c r="C4888" t="s">
        <v>25</v>
      </c>
      <c r="D4888" t="s">
        <v>21</v>
      </c>
      <c r="E4888" s="2">
        <v>21.68</v>
      </c>
      <c r="F4888" s="3">
        <v>86.41</v>
      </c>
      <c r="G4888" s="4">
        <v>413.99</v>
      </c>
      <c r="H4888">
        <v>1.2</v>
      </c>
      <c r="I4888" s="4">
        <v>496.79</v>
      </c>
      <c r="J4888">
        <v>3.8</v>
      </c>
      <c r="K4888" t="s">
        <v>33</v>
      </c>
      <c r="L4888" t="s">
        <v>26</v>
      </c>
      <c r="O4888"/>
    </row>
    <row r="4889" spans="1:15" x14ac:dyDescent="0.3">
      <c r="A4889" t="s">
        <v>4913</v>
      </c>
      <c r="B4889" s="1">
        <v>45913</v>
      </c>
      <c r="C4889" t="s">
        <v>22</v>
      </c>
      <c r="D4889" t="s">
        <v>22</v>
      </c>
      <c r="E4889" s="2">
        <v>19.22</v>
      </c>
      <c r="F4889" s="3">
        <v>42.7</v>
      </c>
      <c r="G4889" s="4">
        <v>309</v>
      </c>
      <c r="H4889">
        <v>1.2</v>
      </c>
      <c r="I4889" s="4">
        <v>370.8</v>
      </c>
      <c r="J4889">
        <v>4.0999999999999996</v>
      </c>
      <c r="K4889" t="s">
        <v>36</v>
      </c>
      <c r="L4889" t="s">
        <v>19</v>
      </c>
      <c r="O4889"/>
    </row>
    <row r="4890" spans="1:15" x14ac:dyDescent="0.3">
      <c r="A4890" t="s">
        <v>4914</v>
      </c>
      <c r="B4890" s="1">
        <v>45914</v>
      </c>
      <c r="C4890" t="s">
        <v>13</v>
      </c>
      <c r="D4890" t="s">
        <v>13</v>
      </c>
      <c r="E4890" s="2">
        <v>17.39</v>
      </c>
      <c r="F4890" s="3">
        <v>45.58</v>
      </c>
      <c r="G4890" s="4">
        <v>279.58999999999997</v>
      </c>
      <c r="H4890">
        <v>1.5</v>
      </c>
      <c r="I4890" s="4">
        <v>419.38</v>
      </c>
      <c r="J4890">
        <v>4.7</v>
      </c>
      <c r="K4890" t="s">
        <v>30</v>
      </c>
      <c r="L4890" t="s">
        <v>16</v>
      </c>
      <c r="O4890"/>
    </row>
    <row r="4891" spans="1:15" x14ac:dyDescent="0.3">
      <c r="A4891" t="s">
        <v>4915</v>
      </c>
      <c r="B4891" s="1">
        <v>45901</v>
      </c>
      <c r="C4891" t="s">
        <v>21</v>
      </c>
      <c r="D4891" t="s">
        <v>22</v>
      </c>
      <c r="E4891" s="2">
        <v>20.58</v>
      </c>
      <c r="F4891" s="3">
        <v>53.77</v>
      </c>
      <c r="G4891" s="4">
        <v>388.76</v>
      </c>
      <c r="H4891">
        <v>2</v>
      </c>
      <c r="I4891" s="4">
        <v>777.52</v>
      </c>
      <c r="J4891">
        <v>4.7</v>
      </c>
      <c r="K4891" t="s">
        <v>36</v>
      </c>
      <c r="L4891" t="s">
        <v>26</v>
      </c>
      <c r="O4891"/>
    </row>
    <row r="4892" spans="1:15" x14ac:dyDescent="0.3">
      <c r="A4892" t="s">
        <v>4916</v>
      </c>
      <c r="B4892" s="1">
        <v>45981</v>
      </c>
      <c r="C4892" t="s">
        <v>21</v>
      </c>
      <c r="D4892" t="s">
        <v>21</v>
      </c>
      <c r="E4892" s="2">
        <v>1.04</v>
      </c>
      <c r="F4892" s="3">
        <v>2.57</v>
      </c>
      <c r="G4892" s="4">
        <v>11.33</v>
      </c>
      <c r="H4892">
        <v>2</v>
      </c>
      <c r="I4892" s="4">
        <v>22.66</v>
      </c>
      <c r="J4892">
        <v>3.6</v>
      </c>
      <c r="K4892" t="s">
        <v>36</v>
      </c>
      <c r="L4892" t="s">
        <v>28</v>
      </c>
      <c r="O4892"/>
    </row>
    <row r="4893" spans="1:15" x14ac:dyDescent="0.3">
      <c r="A4893" t="s">
        <v>4917</v>
      </c>
      <c r="B4893" s="1">
        <v>45963</v>
      </c>
      <c r="C4893" t="s">
        <v>22</v>
      </c>
      <c r="D4893" t="s">
        <v>22</v>
      </c>
      <c r="E4893" s="2">
        <v>18.84</v>
      </c>
      <c r="F4893" s="3">
        <v>46.12</v>
      </c>
      <c r="G4893" s="4">
        <v>316.79000000000002</v>
      </c>
      <c r="H4893">
        <v>1</v>
      </c>
      <c r="I4893" s="4">
        <v>316.79000000000002</v>
      </c>
      <c r="J4893">
        <v>3.9</v>
      </c>
      <c r="K4893" t="s">
        <v>36</v>
      </c>
      <c r="L4893" t="s">
        <v>19</v>
      </c>
      <c r="O4893"/>
    </row>
    <row r="4894" spans="1:15" x14ac:dyDescent="0.3">
      <c r="A4894" t="s">
        <v>4918</v>
      </c>
      <c r="B4894" s="1">
        <v>45770</v>
      </c>
      <c r="C4894" t="s">
        <v>25</v>
      </c>
      <c r="D4894" t="s">
        <v>14</v>
      </c>
      <c r="E4894" s="2">
        <v>13.69</v>
      </c>
      <c r="F4894" s="3">
        <v>39.56</v>
      </c>
      <c r="G4894" s="4">
        <v>223.49</v>
      </c>
      <c r="H4894">
        <v>1.5</v>
      </c>
      <c r="I4894" s="4">
        <v>335.24</v>
      </c>
      <c r="J4894">
        <v>3.9</v>
      </c>
      <c r="K4894" t="s">
        <v>18</v>
      </c>
      <c r="L4894" t="s">
        <v>26</v>
      </c>
      <c r="O4894"/>
    </row>
    <row r="4895" spans="1:15" x14ac:dyDescent="0.3">
      <c r="A4895" t="s">
        <v>4919</v>
      </c>
      <c r="B4895" s="1">
        <v>45862</v>
      </c>
      <c r="C4895" t="s">
        <v>25</v>
      </c>
      <c r="D4895" t="s">
        <v>21</v>
      </c>
      <c r="E4895" s="2">
        <v>1.35</v>
      </c>
      <c r="F4895" s="3">
        <v>3.03</v>
      </c>
      <c r="G4895" s="4">
        <v>21.19</v>
      </c>
      <c r="H4895">
        <v>1.5</v>
      </c>
      <c r="I4895" s="4">
        <v>31.79</v>
      </c>
      <c r="J4895">
        <v>4.5999999999999996</v>
      </c>
      <c r="K4895" t="s">
        <v>18</v>
      </c>
      <c r="L4895" t="s">
        <v>28</v>
      </c>
      <c r="O4895"/>
    </row>
    <row r="4896" spans="1:15" x14ac:dyDescent="0.3">
      <c r="A4896" t="s">
        <v>4920</v>
      </c>
      <c r="B4896" s="1">
        <v>45668</v>
      </c>
      <c r="C4896" t="s">
        <v>13</v>
      </c>
      <c r="D4896" t="s">
        <v>13</v>
      </c>
      <c r="E4896" s="2">
        <v>10.41</v>
      </c>
      <c r="F4896" s="3">
        <v>24.22</v>
      </c>
      <c r="G4896" s="4">
        <v>110.31</v>
      </c>
      <c r="H4896">
        <v>1.5</v>
      </c>
      <c r="I4896" s="4">
        <v>165.46</v>
      </c>
      <c r="J4896">
        <v>3.5</v>
      </c>
      <c r="K4896" t="s">
        <v>33</v>
      </c>
      <c r="L4896" t="s">
        <v>19</v>
      </c>
      <c r="O4896"/>
    </row>
    <row r="4897" spans="1:15" x14ac:dyDescent="0.3">
      <c r="A4897" t="s">
        <v>4921</v>
      </c>
      <c r="B4897" s="1">
        <v>45918</v>
      </c>
      <c r="C4897" t="s">
        <v>22</v>
      </c>
      <c r="D4897" t="s">
        <v>25</v>
      </c>
      <c r="E4897" s="2">
        <v>9.9600000000000009</v>
      </c>
      <c r="F4897" s="3">
        <v>34.76</v>
      </c>
      <c r="G4897" s="4">
        <v>104.36</v>
      </c>
      <c r="H4897">
        <v>2</v>
      </c>
      <c r="I4897" s="4">
        <v>208.72</v>
      </c>
      <c r="J4897">
        <v>4.4000000000000004</v>
      </c>
      <c r="K4897" t="s">
        <v>36</v>
      </c>
      <c r="L4897" t="s">
        <v>28</v>
      </c>
      <c r="O4897"/>
    </row>
    <row r="4898" spans="1:15" x14ac:dyDescent="0.3">
      <c r="A4898" t="s">
        <v>4922</v>
      </c>
      <c r="B4898" s="1">
        <v>45664</v>
      </c>
      <c r="C4898" t="s">
        <v>14</v>
      </c>
      <c r="D4898" t="s">
        <v>22</v>
      </c>
      <c r="E4898" s="2">
        <v>13.59</v>
      </c>
      <c r="F4898" s="3">
        <v>36.450000000000003</v>
      </c>
      <c r="G4898" s="4">
        <v>218.46</v>
      </c>
      <c r="H4898">
        <v>2</v>
      </c>
      <c r="I4898" s="4">
        <v>436.92</v>
      </c>
      <c r="J4898">
        <v>3.4</v>
      </c>
      <c r="K4898" t="s">
        <v>30</v>
      </c>
      <c r="L4898" t="s">
        <v>16</v>
      </c>
      <c r="O4898"/>
    </row>
    <row r="4899" spans="1:15" x14ac:dyDescent="0.3">
      <c r="A4899" t="s">
        <v>4923</v>
      </c>
      <c r="B4899" s="1">
        <v>45850</v>
      </c>
      <c r="C4899" t="s">
        <v>25</v>
      </c>
      <c r="D4899" t="s">
        <v>21</v>
      </c>
      <c r="E4899" s="2">
        <v>28.79</v>
      </c>
      <c r="F4899" s="3">
        <v>91.53</v>
      </c>
      <c r="G4899" s="4">
        <v>400.21</v>
      </c>
      <c r="H4899">
        <v>1.2</v>
      </c>
      <c r="I4899" s="4">
        <v>480.25</v>
      </c>
      <c r="J4899">
        <v>3.8</v>
      </c>
      <c r="K4899" t="s">
        <v>33</v>
      </c>
      <c r="L4899" t="s">
        <v>16</v>
      </c>
      <c r="O4899"/>
    </row>
    <row r="4900" spans="1:15" x14ac:dyDescent="0.3">
      <c r="A4900" t="s">
        <v>4924</v>
      </c>
      <c r="B4900" s="1">
        <v>45870</v>
      </c>
      <c r="C4900" t="s">
        <v>13</v>
      </c>
      <c r="D4900" t="s">
        <v>21</v>
      </c>
      <c r="E4900" s="2">
        <v>8.01</v>
      </c>
      <c r="F4900" s="3">
        <v>19.329999999999998</v>
      </c>
      <c r="G4900" s="4">
        <v>111.89</v>
      </c>
      <c r="H4900">
        <v>2</v>
      </c>
      <c r="I4900" s="4">
        <v>223.78</v>
      </c>
      <c r="J4900">
        <v>4.4000000000000004</v>
      </c>
      <c r="K4900" t="s">
        <v>15</v>
      </c>
      <c r="L4900" t="s">
        <v>16</v>
      </c>
      <c r="O4900"/>
    </row>
    <row r="4901" spans="1:15" x14ac:dyDescent="0.3">
      <c r="A4901" t="s">
        <v>4925</v>
      </c>
      <c r="B4901" s="1">
        <v>45977</v>
      </c>
      <c r="C4901" t="s">
        <v>13</v>
      </c>
      <c r="D4901" t="s">
        <v>14</v>
      </c>
      <c r="E4901" s="2">
        <v>7.34</v>
      </c>
      <c r="F4901" s="3">
        <v>27.79</v>
      </c>
      <c r="G4901" s="4">
        <v>82.34</v>
      </c>
      <c r="H4901">
        <v>1.5</v>
      </c>
      <c r="I4901" s="4">
        <v>123.51</v>
      </c>
      <c r="J4901">
        <v>3.8</v>
      </c>
      <c r="K4901" t="s">
        <v>33</v>
      </c>
      <c r="L4901" t="s">
        <v>28</v>
      </c>
      <c r="O4901"/>
    </row>
    <row r="4902" spans="1:15" x14ac:dyDescent="0.3">
      <c r="A4902" t="s">
        <v>4926</v>
      </c>
      <c r="B4902" s="1">
        <v>45852</v>
      </c>
      <c r="C4902" t="s">
        <v>22</v>
      </c>
      <c r="D4902" t="s">
        <v>13</v>
      </c>
      <c r="E4902" s="2">
        <v>18.57</v>
      </c>
      <c r="F4902" s="3">
        <v>51.37</v>
      </c>
      <c r="G4902" s="4">
        <v>204.58</v>
      </c>
      <c r="H4902">
        <v>2</v>
      </c>
      <c r="I4902" s="4">
        <v>409.16</v>
      </c>
      <c r="J4902">
        <v>3.4</v>
      </c>
      <c r="K4902" t="s">
        <v>36</v>
      </c>
      <c r="L4902" t="s">
        <v>28</v>
      </c>
      <c r="O4902"/>
    </row>
    <row r="4903" spans="1:15" x14ac:dyDescent="0.3">
      <c r="A4903" t="s">
        <v>4927</v>
      </c>
      <c r="B4903" s="1">
        <v>45910</v>
      </c>
      <c r="C4903" t="s">
        <v>13</v>
      </c>
      <c r="D4903" t="s">
        <v>14</v>
      </c>
      <c r="E4903" s="2">
        <v>20.73</v>
      </c>
      <c r="F4903" s="3">
        <v>67.87</v>
      </c>
      <c r="G4903" s="4">
        <v>311</v>
      </c>
      <c r="H4903">
        <v>1.2</v>
      </c>
      <c r="I4903" s="4">
        <v>373.2</v>
      </c>
      <c r="J4903">
        <v>3.8</v>
      </c>
      <c r="K4903" t="s">
        <v>36</v>
      </c>
      <c r="L4903" t="s">
        <v>26</v>
      </c>
      <c r="O4903"/>
    </row>
    <row r="4904" spans="1:15" x14ac:dyDescent="0.3">
      <c r="A4904" t="s">
        <v>4928</v>
      </c>
      <c r="B4904" s="1">
        <v>45661</v>
      </c>
      <c r="C4904" t="s">
        <v>22</v>
      </c>
      <c r="D4904" t="s">
        <v>14</v>
      </c>
      <c r="E4904" s="2">
        <v>21.02</v>
      </c>
      <c r="F4904" s="3">
        <v>69.569999999999993</v>
      </c>
      <c r="G4904" s="4">
        <v>333.58</v>
      </c>
      <c r="H4904">
        <v>1</v>
      </c>
      <c r="I4904" s="4">
        <v>333.58</v>
      </c>
      <c r="J4904">
        <v>3.9</v>
      </c>
      <c r="K4904" t="s">
        <v>33</v>
      </c>
      <c r="L4904" t="s">
        <v>28</v>
      </c>
      <c r="O4904"/>
    </row>
    <row r="4905" spans="1:15" x14ac:dyDescent="0.3">
      <c r="A4905" t="s">
        <v>4929</v>
      </c>
      <c r="B4905" s="1">
        <v>45685</v>
      </c>
      <c r="C4905" t="s">
        <v>21</v>
      </c>
      <c r="D4905" t="s">
        <v>21</v>
      </c>
      <c r="E4905" s="2">
        <v>8.5500000000000007</v>
      </c>
      <c r="F4905" s="3">
        <v>32.83</v>
      </c>
      <c r="G4905" s="4">
        <v>150.43</v>
      </c>
      <c r="H4905">
        <v>1.2</v>
      </c>
      <c r="I4905" s="4">
        <v>180.52</v>
      </c>
      <c r="J4905">
        <v>3.8</v>
      </c>
      <c r="K4905" t="s">
        <v>30</v>
      </c>
      <c r="L4905" t="s">
        <v>26</v>
      </c>
      <c r="O4905"/>
    </row>
    <row r="4906" spans="1:15" x14ac:dyDescent="0.3">
      <c r="A4906" t="s">
        <v>4930</v>
      </c>
      <c r="B4906" s="1">
        <v>45813</v>
      </c>
      <c r="C4906" t="s">
        <v>13</v>
      </c>
      <c r="D4906" t="s">
        <v>14</v>
      </c>
      <c r="E4906" s="2">
        <v>4.22</v>
      </c>
      <c r="F4906" s="3">
        <v>16.03</v>
      </c>
      <c r="G4906" s="4">
        <v>79.87</v>
      </c>
      <c r="H4906">
        <v>1</v>
      </c>
      <c r="I4906" s="4">
        <v>79.87</v>
      </c>
      <c r="J4906">
        <v>3.7</v>
      </c>
      <c r="K4906" t="s">
        <v>18</v>
      </c>
      <c r="L4906" t="s">
        <v>16</v>
      </c>
      <c r="O4906"/>
    </row>
    <row r="4907" spans="1:15" x14ac:dyDescent="0.3">
      <c r="A4907" t="s">
        <v>4931</v>
      </c>
      <c r="B4907" s="1">
        <v>45832</v>
      </c>
      <c r="C4907" t="s">
        <v>13</v>
      </c>
      <c r="D4907" t="s">
        <v>21</v>
      </c>
      <c r="E4907" s="2">
        <v>13.95</v>
      </c>
      <c r="F4907" s="3">
        <v>36.94</v>
      </c>
      <c r="G4907" s="4">
        <v>242.61</v>
      </c>
      <c r="H4907">
        <v>2</v>
      </c>
      <c r="I4907" s="4">
        <v>485.22</v>
      </c>
      <c r="J4907">
        <v>3.5</v>
      </c>
      <c r="K4907" t="s">
        <v>36</v>
      </c>
      <c r="L4907" t="s">
        <v>26</v>
      </c>
      <c r="O4907"/>
    </row>
    <row r="4908" spans="1:15" x14ac:dyDescent="0.3">
      <c r="A4908" t="s">
        <v>4932</v>
      </c>
      <c r="B4908" s="1">
        <v>45915</v>
      </c>
      <c r="C4908" t="s">
        <v>21</v>
      </c>
      <c r="D4908" t="s">
        <v>22</v>
      </c>
      <c r="E4908" s="2">
        <v>3.16</v>
      </c>
      <c r="F4908" s="3">
        <v>8.33</v>
      </c>
      <c r="G4908" s="4">
        <v>41.69</v>
      </c>
      <c r="H4908">
        <v>1.2</v>
      </c>
      <c r="I4908" s="4">
        <v>50.03</v>
      </c>
      <c r="J4908">
        <v>4.7</v>
      </c>
      <c r="K4908" t="s">
        <v>18</v>
      </c>
      <c r="L4908" t="s">
        <v>28</v>
      </c>
      <c r="O4908"/>
    </row>
    <row r="4909" spans="1:15" x14ac:dyDescent="0.3">
      <c r="A4909" t="s">
        <v>4933</v>
      </c>
      <c r="B4909" s="1">
        <v>45727</v>
      </c>
      <c r="C4909" t="s">
        <v>13</v>
      </c>
      <c r="D4909" t="s">
        <v>25</v>
      </c>
      <c r="E4909" s="2">
        <v>9.2100000000000009</v>
      </c>
      <c r="F4909" s="3">
        <v>26.61</v>
      </c>
      <c r="G4909" s="4">
        <v>125.97</v>
      </c>
      <c r="H4909">
        <v>2</v>
      </c>
      <c r="I4909" s="4">
        <v>251.94</v>
      </c>
      <c r="J4909">
        <v>4.9000000000000004</v>
      </c>
      <c r="K4909" t="s">
        <v>30</v>
      </c>
      <c r="L4909" t="s">
        <v>19</v>
      </c>
      <c r="O4909"/>
    </row>
    <row r="4910" spans="1:15" x14ac:dyDescent="0.3">
      <c r="A4910" t="s">
        <v>4934</v>
      </c>
      <c r="B4910" s="1">
        <v>45876</v>
      </c>
      <c r="C4910" t="s">
        <v>14</v>
      </c>
      <c r="D4910" t="s">
        <v>14</v>
      </c>
      <c r="E4910" s="2">
        <v>19.96</v>
      </c>
      <c r="F4910" s="3">
        <v>48.33</v>
      </c>
      <c r="G4910" s="4">
        <v>264.57</v>
      </c>
      <c r="H4910">
        <v>1.5</v>
      </c>
      <c r="I4910" s="4">
        <v>396.86</v>
      </c>
      <c r="J4910">
        <v>3.6</v>
      </c>
      <c r="K4910" t="s">
        <v>33</v>
      </c>
      <c r="L4910" t="s">
        <v>19</v>
      </c>
      <c r="O4910"/>
    </row>
    <row r="4911" spans="1:15" x14ac:dyDescent="0.3">
      <c r="A4911" t="s">
        <v>4935</v>
      </c>
      <c r="B4911" s="1">
        <v>45993</v>
      </c>
      <c r="C4911" t="s">
        <v>21</v>
      </c>
      <c r="D4911" t="s">
        <v>13</v>
      </c>
      <c r="E4911" s="2">
        <v>8.69</v>
      </c>
      <c r="F4911" s="3">
        <v>18.52</v>
      </c>
      <c r="G4911" s="4">
        <v>139.27000000000001</v>
      </c>
      <c r="H4911">
        <v>1.2</v>
      </c>
      <c r="I4911" s="4">
        <v>167.12</v>
      </c>
      <c r="J4911">
        <v>3.8</v>
      </c>
      <c r="K4911" t="s">
        <v>30</v>
      </c>
      <c r="L4911" t="s">
        <v>19</v>
      </c>
      <c r="O4911"/>
    </row>
    <row r="4912" spans="1:15" x14ac:dyDescent="0.3">
      <c r="A4912" t="s">
        <v>4936</v>
      </c>
      <c r="B4912" s="1">
        <v>45760</v>
      </c>
      <c r="C4912" t="s">
        <v>25</v>
      </c>
      <c r="D4912" t="s">
        <v>25</v>
      </c>
      <c r="E4912" s="2">
        <v>24.82</v>
      </c>
      <c r="F4912" s="3">
        <v>55.54</v>
      </c>
      <c r="G4912" s="4">
        <v>414.47</v>
      </c>
      <c r="H4912">
        <v>1.2</v>
      </c>
      <c r="I4912" s="4">
        <v>497.36</v>
      </c>
      <c r="J4912">
        <v>3.5</v>
      </c>
      <c r="K4912" t="s">
        <v>33</v>
      </c>
      <c r="L4912" t="s">
        <v>19</v>
      </c>
      <c r="O4912"/>
    </row>
    <row r="4913" spans="1:15" x14ac:dyDescent="0.3">
      <c r="A4913" t="s">
        <v>4937</v>
      </c>
      <c r="B4913" s="1">
        <v>45882</v>
      </c>
      <c r="C4913" t="s">
        <v>13</v>
      </c>
      <c r="D4913" t="s">
        <v>21</v>
      </c>
      <c r="E4913" s="2">
        <v>4.3</v>
      </c>
      <c r="F4913" s="3">
        <v>11.31</v>
      </c>
      <c r="G4913" s="4">
        <v>46.9</v>
      </c>
      <c r="H4913">
        <v>1.5</v>
      </c>
      <c r="I4913" s="4">
        <v>70.349999999999994</v>
      </c>
      <c r="J4913">
        <v>3.8</v>
      </c>
      <c r="K4913" t="s">
        <v>33</v>
      </c>
      <c r="L4913" t="s">
        <v>16</v>
      </c>
      <c r="O4913"/>
    </row>
    <row r="4914" spans="1:15" x14ac:dyDescent="0.3">
      <c r="A4914" t="s">
        <v>4938</v>
      </c>
      <c r="B4914" s="1">
        <v>45735</v>
      </c>
      <c r="C4914" t="s">
        <v>13</v>
      </c>
      <c r="D4914" t="s">
        <v>13</v>
      </c>
      <c r="E4914" s="2">
        <v>23.66</v>
      </c>
      <c r="F4914" s="3">
        <v>81.53</v>
      </c>
      <c r="G4914" s="4">
        <v>362.71</v>
      </c>
      <c r="H4914">
        <v>1.5</v>
      </c>
      <c r="I4914" s="4">
        <v>544.05999999999995</v>
      </c>
      <c r="J4914">
        <v>3.1</v>
      </c>
      <c r="K4914" t="s">
        <v>33</v>
      </c>
      <c r="L4914" t="s">
        <v>28</v>
      </c>
      <c r="O4914"/>
    </row>
    <row r="4915" spans="1:15" x14ac:dyDescent="0.3">
      <c r="A4915" t="s">
        <v>4939</v>
      </c>
      <c r="B4915" s="1">
        <v>45718</v>
      </c>
      <c r="C4915" t="s">
        <v>13</v>
      </c>
      <c r="D4915" t="s">
        <v>14</v>
      </c>
      <c r="E4915" s="2">
        <v>5.34</v>
      </c>
      <c r="F4915" s="3">
        <v>19.63</v>
      </c>
      <c r="G4915" s="4">
        <v>68.33</v>
      </c>
      <c r="H4915">
        <v>1</v>
      </c>
      <c r="I4915" s="4">
        <v>68.33</v>
      </c>
      <c r="J4915">
        <v>3</v>
      </c>
      <c r="K4915" t="s">
        <v>30</v>
      </c>
      <c r="L4915" t="s">
        <v>28</v>
      </c>
      <c r="O4915"/>
    </row>
    <row r="4916" spans="1:15" x14ac:dyDescent="0.3">
      <c r="A4916" t="s">
        <v>4940</v>
      </c>
      <c r="B4916" s="1">
        <v>45701</v>
      </c>
      <c r="C4916" t="s">
        <v>13</v>
      </c>
      <c r="D4916" t="s">
        <v>25</v>
      </c>
      <c r="E4916" s="2">
        <v>18.66</v>
      </c>
      <c r="F4916" s="3">
        <v>59.98</v>
      </c>
      <c r="G4916" s="4">
        <v>235.15</v>
      </c>
      <c r="H4916">
        <v>2</v>
      </c>
      <c r="I4916" s="4">
        <v>470.3</v>
      </c>
      <c r="J4916">
        <v>3.6</v>
      </c>
      <c r="K4916" t="s">
        <v>30</v>
      </c>
      <c r="L4916" t="s">
        <v>19</v>
      </c>
      <c r="O4916"/>
    </row>
    <row r="4917" spans="1:15" x14ac:dyDescent="0.3">
      <c r="A4917" t="s">
        <v>4941</v>
      </c>
      <c r="B4917" s="1">
        <v>45963</v>
      </c>
      <c r="C4917" t="s">
        <v>21</v>
      </c>
      <c r="D4917" t="s">
        <v>25</v>
      </c>
      <c r="E4917" s="2">
        <v>17.96</v>
      </c>
      <c r="F4917" s="3">
        <v>63.92</v>
      </c>
      <c r="G4917" s="4">
        <v>314.86</v>
      </c>
      <c r="H4917">
        <v>2</v>
      </c>
      <c r="I4917" s="4">
        <v>629.72</v>
      </c>
      <c r="J4917">
        <v>4.5</v>
      </c>
      <c r="K4917" t="s">
        <v>15</v>
      </c>
      <c r="L4917" t="s">
        <v>19</v>
      </c>
      <c r="O4917"/>
    </row>
    <row r="4918" spans="1:15" x14ac:dyDescent="0.3">
      <c r="A4918" t="s">
        <v>4942</v>
      </c>
      <c r="B4918" s="1">
        <v>45806</v>
      </c>
      <c r="C4918" t="s">
        <v>25</v>
      </c>
      <c r="D4918" t="s">
        <v>21</v>
      </c>
      <c r="E4918" s="2">
        <v>14.88</v>
      </c>
      <c r="F4918" s="3">
        <v>30.33</v>
      </c>
      <c r="G4918" s="4">
        <v>193.05</v>
      </c>
      <c r="H4918">
        <v>1</v>
      </c>
      <c r="I4918" s="4">
        <v>193.05</v>
      </c>
      <c r="J4918">
        <v>4.2</v>
      </c>
      <c r="K4918" t="s">
        <v>33</v>
      </c>
      <c r="L4918" t="s">
        <v>28</v>
      </c>
      <c r="O4918"/>
    </row>
    <row r="4919" spans="1:15" x14ac:dyDescent="0.3">
      <c r="A4919" t="s">
        <v>4943</v>
      </c>
      <c r="B4919" s="1">
        <v>45909</v>
      </c>
      <c r="C4919" t="s">
        <v>25</v>
      </c>
      <c r="D4919" t="s">
        <v>13</v>
      </c>
      <c r="E4919" s="2">
        <v>14.43</v>
      </c>
      <c r="F4919" s="3">
        <v>49.96</v>
      </c>
      <c r="G4919" s="4">
        <v>264.61</v>
      </c>
      <c r="H4919">
        <v>1.2</v>
      </c>
      <c r="I4919" s="4">
        <v>317.52999999999997</v>
      </c>
      <c r="J4919">
        <v>3.2</v>
      </c>
      <c r="K4919" t="s">
        <v>30</v>
      </c>
      <c r="L4919" t="s">
        <v>26</v>
      </c>
      <c r="O4919"/>
    </row>
    <row r="4920" spans="1:15" x14ac:dyDescent="0.3">
      <c r="A4920" t="s">
        <v>4944</v>
      </c>
      <c r="B4920" s="1">
        <v>46021</v>
      </c>
      <c r="C4920" t="s">
        <v>22</v>
      </c>
      <c r="D4920" t="s">
        <v>21</v>
      </c>
      <c r="E4920" s="2">
        <v>12.14</v>
      </c>
      <c r="F4920" s="3">
        <v>28.96</v>
      </c>
      <c r="G4920" s="4">
        <v>139.19</v>
      </c>
      <c r="H4920">
        <v>1.5</v>
      </c>
      <c r="I4920" s="4">
        <v>208.78</v>
      </c>
      <c r="J4920">
        <v>4.0999999999999996</v>
      </c>
      <c r="K4920" t="s">
        <v>18</v>
      </c>
      <c r="L4920" t="s">
        <v>16</v>
      </c>
      <c r="O4920"/>
    </row>
    <row r="4921" spans="1:15" x14ac:dyDescent="0.3">
      <c r="A4921" t="s">
        <v>4945</v>
      </c>
      <c r="B4921" s="1">
        <v>46010</v>
      </c>
      <c r="C4921" t="s">
        <v>25</v>
      </c>
      <c r="D4921" t="s">
        <v>22</v>
      </c>
      <c r="E4921" s="2">
        <v>23.92</v>
      </c>
      <c r="F4921" s="3">
        <v>81.52</v>
      </c>
      <c r="G4921" s="4">
        <v>285.58</v>
      </c>
      <c r="H4921">
        <v>1.5</v>
      </c>
      <c r="I4921" s="4">
        <v>428.37</v>
      </c>
      <c r="J4921">
        <v>4.2</v>
      </c>
      <c r="K4921" t="s">
        <v>30</v>
      </c>
      <c r="L4921" t="s">
        <v>28</v>
      </c>
      <c r="O4921"/>
    </row>
    <row r="4922" spans="1:15" x14ac:dyDescent="0.3">
      <c r="A4922" t="s">
        <v>4946</v>
      </c>
      <c r="B4922" s="1">
        <v>45688</v>
      </c>
      <c r="C4922" t="s">
        <v>21</v>
      </c>
      <c r="D4922" t="s">
        <v>21</v>
      </c>
      <c r="E4922" s="2">
        <v>13.29</v>
      </c>
      <c r="F4922" s="3">
        <v>41</v>
      </c>
      <c r="G4922" s="4">
        <v>263.42</v>
      </c>
      <c r="H4922">
        <v>1.5</v>
      </c>
      <c r="I4922" s="4">
        <v>395.13</v>
      </c>
      <c r="J4922">
        <v>3.6</v>
      </c>
      <c r="K4922" t="s">
        <v>15</v>
      </c>
      <c r="L4922" t="s">
        <v>16</v>
      </c>
      <c r="O4922"/>
    </row>
    <row r="4923" spans="1:15" x14ac:dyDescent="0.3">
      <c r="A4923" t="s">
        <v>4947</v>
      </c>
      <c r="B4923" s="1">
        <v>45757</v>
      </c>
      <c r="C4923" t="s">
        <v>22</v>
      </c>
      <c r="D4923" t="s">
        <v>14</v>
      </c>
      <c r="E4923" s="2">
        <v>1.86</v>
      </c>
      <c r="F4923" s="3">
        <v>4.24</v>
      </c>
      <c r="G4923" s="4">
        <v>20.18</v>
      </c>
      <c r="H4923">
        <v>2</v>
      </c>
      <c r="I4923" s="4">
        <v>40.36</v>
      </c>
      <c r="J4923">
        <v>3.9</v>
      </c>
      <c r="K4923" t="s">
        <v>18</v>
      </c>
      <c r="L4923" t="s">
        <v>28</v>
      </c>
      <c r="O4923"/>
    </row>
    <row r="4924" spans="1:15" x14ac:dyDescent="0.3">
      <c r="A4924" t="s">
        <v>4948</v>
      </c>
      <c r="B4924" s="1">
        <v>45664</v>
      </c>
      <c r="C4924" t="s">
        <v>22</v>
      </c>
      <c r="D4924" t="s">
        <v>13</v>
      </c>
      <c r="E4924" s="2">
        <v>5.51</v>
      </c>
      <c r="F4924" s="3">
        <v>18.43</v>
      </c>
      <c r="G4924" s="4">
        <v>56.52</v>
      </c>
      <c r="H4924">
        <v>1</v>
      </c>
      <c r="I4924" s="4">
        <v>56.52</v>
      </c>
      <c r="J4924">
        <v>3.3</v>
      </c>
      <c r="K4924" t="s">
        <v>30</v>
      </c>
      <c r="L4924" t="s">
        <v>26</v>
      </c>
      <c r="O4924"/>
    </row>
    <row r="4925" spans="1:15" x14ac:dyDescent="0.3">
      <c r="A4925" t="s">
        <v>4949</v>
      </c>
      <c r="B4925" s="1">
        <v>45727</v>
      </c>
      <c r="C4925" t="s">
        <v>21</v>
      </c>
      <c r="D4925" t="s">
        <v>14</v>
      </c>
      <c r="E4925" s="2">
        <v>10.85</v>
      </c>
      <c r="F4925" s="3">
        <v>37.97</v>
      </c>
      <c r="G4925" s="4">
        <v>181.81</v>
      </c>
      <c r="H4925">
        <v>1.5</v>
      </c>
      <c r="I4925" s="4">
        <v>272.72000000000003</v>
      </c>
      <c r="J4925">
        <v>3.2</v>
      </c>
      <c r="K4925" t="s">
        <v>15</v>
      </c>
      <c r="L4925" t="s">
        <v>19</v>
      </c>
      <c r="O4925"/>
    </row>
    <row r="4926" spans="1:15" x14ac:dyDescent="0.3">
      <c r="A4926" t="s">
        <v>4950</v>
      </c>
      <c r="B4926" s="1">
        <v>45702</v>
      </c>
      <c r="C4926" t="s">
        <v>21</v>
      </c>
      <c r="D4926" t="s">
        <v>21</v>
      </c>
      <c r="E4926" s="2">
        <v>20.46</v>
      </c>
      <c r="F4926" s="3">
        <v>76.739999999999995</v>
      </c>
      <c r="G4926" s="4">
        <v>408.07</v>
      </c>
      <c r="H4926">
        <v>1.2</v>
      </c>
      <c r="I4926" s="4">
        <v>489.68</v>
      </c>
      <c r="J4926">
        <v>4.4000000000000004</v>
      </c>
      <c r="K4926" t="s">
        <v>33</v>
      </c>
      <c r="L4926" t="s">
        <v>28</v>
      </c>
      <c r="O4926"/>
    </row>
    <row r="4927" spans="1:15" x14ac:dyDescent="0.3">
      <c r="A4927" t="s">
        <v>4951</v>
      </c>
      <c r="B4927" s="1">
        <v>45928</v>
      </c>
      <c r="C4927" t="s">
        <v>25</v>
      </c>
      <c r="D4927" t="s">
        <v>22</v>
      </c>
      <c r="E4927" s="2">
        <v>5.83</v>
      </c>
      <c r="F4927" s="3">
        <v>15.43</v>
      </c>
      <c r="G4927" s="4">
        <v>64.34</v>
      </c>
      <c r="H4927">
        <v>1.2</v>
      </c>
      <c r="I4927" s="4">
        <v>77.209999999999994</v>
      </c>
      <c r="J4927">
        <v>3.9</v>
      </c>
      <c r="K4927" t="s">
        <v>15</v>
      </c>
      <c r="L4927" t="s">
        <v>28</v>
      </c>
      <c r="O4927"/>
    </row>
    <row r="4928" spans="1:15" x14ac:dyDescent="0.3">
      <c r="A4928" t="s">
        <v>4952</v>
      </c>
      <c r="B4928" s="1">
        <v>45697</v>
      </c>
      <c r="C4928" t="s">
        <v>13</v>
      </c>
      <c r="D4928" t="s">
        <v>21</v>
      </c>
      <c r="E4928" s="2">
        <v>29.3</v>
      </c>
      <c r="F4928" s="3">
        <v>99.77</v>
      </c>
      <c r="G4928" s="4">
        <v>343.82</v>
      </c>
      <c r="H4928">
        <v>1</v>
      </c>
      <c r="I4928" s="4">
        <v>343.82</v>
      </c>
      <c r="J4928">
        <v>4</v>
      </c>
      <c r="K4928" t="s">
        <v>33</v>
      </c>
      <c r="L4928" t="s">
        <v>19</v>
      </c>
      <c r="O4928"/>
    </row>
    <row r="4929" spans="1:15" x14ac:dyDescent="0.3">
      <c r="A4929" t="s">
        <v>4953</v>
      </c>
      <c r="B4929" s="1">
        <v>45827</v>
      </c>
      <c r="C4929" t="s">
        <v>13</v>
      </c>
      <c r="D4929" t="s">
        <v>21</v>
      </c>
      <c r="E4929" s="2">
        <v>15.28</v>
      </c>
      <c r="F4929" s="3">
        <v>46.93</v>
      </c>
      <c r="G4929" s="4">
        <v>157.56</v>
      </c>
      <c r="H4929">
        <v>1.2</v>
      </c>
      <c r="I4929" s="4">
        <v>189.07</v>
      </c>
      <c r="J4929">
        <v>4.5999999999999996</v>
      </c>
      <c r="K4929" t="s">
        <v>33</v>
      </c>
      <c r="L4929" t="s">
        <v>28</v>
      </c>
      <c r="O4929"/>
    </row>
    <row r="4930" spans="1:15" x14ac:dyDescent="0.3">
      <c r="A4930" t="s">
        <v>4954</v>
      </c>
      <c r="B4930" s="1">
        <v>45993</v>
      </c>
      <c r="C4930" t="s">
        <v>14</v>
      </c>
      <c r="D4930" t="s">
        <v>13</v>
      </c>
      <c r="E4930" s="2">
        <v>23.12</v>
      </c>
      <c r="F4930" s="3">
        <v>57.74</v>
      </c>
      <c r="G4930" s="4">
        <v>300.08</v>
      </c>
      <c r="H4930">
        <v>1.5</v>
      </c>
      <c r="I4930" s="4">
        <v>450.12</v>
      </c>
      <c r="J4930">
        <v>4.4000000000000004</v>
      </c>
      <c r="K4930" t="s">
        <v>30</v>
      </c>
      <c r="L4930" t="s">
        <v>26</v>
      </c>
      <c r="O4930"/>
    </row>
    <row r="4931" spans="1:15" x14ac:dyDescent="0.3">
      <c r="A4931" t="s">
        <v>4955</v>
      </c>
      <c r="B4931" s="1">
        <v>46014</v>
      </c>
      <c r="C4931" t="s">
        <v>22</v>
      </c>
      <c r="D4931" t="s">
        <v>13</v>
      </c>
      <c r="E4931" s="2">
        <v>29.73</v>
      </c>
      <c r="F4931" s="3">
        <v>68.489999999999995</v>
      </c>
      <c r="G4931" s="4">
        <v>435.05</v>
      </c>
      <c r="H4931">
        <v>1.2</v>
      </c>
      <c r="I4931" s="4">
        <v>522.05999999999995</v>
      </c>
      <c r="J4931">
        <v>3.6</v>
      </c>
      <c r="K4931" t="s">
        <v>36</v>
      </c>
      <c r="L4931" t="s">
        <v>16</v>
      </c>
      <c r="O4931"/>
    </row>
    <row r="4932" spans="1:15" x14ac:dyDescent="0.3">
      <c r="A4932" t="s">
        <v>4956</v>
      </c>
      <c r="B4932" s="1">
        <v>45960</v>
      </c>
      <c r="C4932" t="s">
        <v>13</v>
      </c>
      <c r="D4932" t="s">
        <v>14</v>
      </c>
      <c r="E4932" s="2">
        <v>5.4</v>
      </c>
      <c r="F4932" s="3">
        <v>11.02</v>
      </c>
      <c r="G4932" s="4">
        <v>107.62</v>
      </c>
      <c r="H4932">
        <v>1.5</v>
      </c>
      <c r="I4932" s="4">
        <v>161.43</v>
      </c>
      <c r="J4932">
        <v>3.1</v>
      </c>
      <c r="K4932" t="s">
        <v>18</v>
      </c>
      <c r="L4932" t="s">
        <v>28</v>
      </c>
      <c r="O4932"/>
    </row>
    <row r="4933" spans="1:15" x14ac:dyDescent="0.3">
      <c r="A4933" t="s">
        <v>4957</v>
      </c>
      <c r="B4933" s="1">
        <v>45667</v>
      </c>
      <c r="C4933" t="s">
        <v>14</v>
      </c>
      <c r="D4933" t="s">
        <v>25</v>
      </c>
      <c r="E4933" s="2">
        <v>25.81</v>
      </c>
      <c r="F4933" s="3">
        <v>77.34</v>
      </c>
      <c r="G4933" s="4">
        <v>507.11</v>
      </c>
      <c r="H4933">
        <v>1</v>
      </c>
      <c r="I4933" s="4">
        <v>507.11</v>
      </c>
      <c r="J4933">
        <v>4.3</v>
      </c>
      <c r="K4933" t="s">
        <v>15</v>
      </c>
      <c r="L4933" t="s">
        <v>28</v>
      </c>
      <c r="O4933"/>
    </row>
    <row r="4934" spans="1:15" x14ac:dyDescent="0.3">
      <c r="A4934" t="s">
        <v>4958</v>
      </c>
      <c r="B4934" s="1">
        <v>45988</v>
      </c>
      <c r="C4934" t="s">
        <v>13</v>
      </c>
      <c r="D4934" t="s">
        <v>21</v>
      </c>
      <c r="E4934" s="2">
        <v>6.61</v>
      </c>
      <c r="F4934" s="3">
        <v>22.4</v>
      </c>
      <c r="G4934" s="4">
        <v>101.55</v>
      </c>
      <c r="H4934">
        <v>1.5</v>
      </c>
      <c r="I4934" s="4">
        <v>152.32</v>
      </c>
      <c r="J4934">
        <v>4.9000000000000004</v>
      </c>
      <c r="K4934" t="s">
        <v>15</v>
      </c>
      <c r="L4934" t="s">
        <v>16</v>
      </c>
      <c r="O4934"/>
    </row>
    <row r="4935" spans="1:15" x14ac:dyDescent="0.3">
      <c r="A4935" t="s">
        <v>4959</v>
      </c>
      <c r="B4935" s="1">
        <v>45670</v>
      </c>
      <c r="C4935" t="s">
        <v>25</v>
      </c>
      <c r="D4935" t="s">
        <v>13</v>
      </c>
      <c r="E4935" s="2">
        <v>22.05</v>
      </c>
      <c r="F4935" s="3">
        <v>46.01</v>
      </c>
      <c r="G4935" s="4">
        <v>397.47</v>
      </c>
      <c r="H4935">
        <v>1</v>
      </c>
      <c r="I4935" s="4">
        <v>397.47</v>
      </c>
      <c r="J4935">
        <v>4.0999999999999996</v>
      </c>
      <c r="K4935" t="s">
        <v>15</v>
      </c>
      <c r="L4935" t="s">
        <v>16</v>
      </c>
      <c r="O4935"/>
    </row>
    <row r="4936" spans="1:15" x14ac:dyDescent="0.3">
      <c r="A4936" t="s">
        <v>4960</v>
      </c>
      <c r="B4936" s="1">
        <v>46008</v>
      </c>
      <c r="C4936" t="s">
        <v>14</v>
      </c>
      <c r="D4936" t="s">
        <v>21</v>
      </c>
      <c r="E4936" s="2">
        <v>16.59</v>
      </c>
      <c r="F4936" s="3">
        <v>53.5</v>
      </c>
      <c r="G4936" s="4">
        <v>190.7</v>
      </c>
      <c r="H4936">
        <v>1.5</v>
      </c>
      <c r="I4936" s="4">
        <v>286.05</v>
      </c>
      <c r="J4936">
        <v>5</v>
      </c>
      <c r="K4936" t="s">
        <v>36</v>
      </c>
      <c r="L4936" t="s">
        <v>28</v>
      </c>
      <c r="O4936"/>
    </row>
    <row r="4937" spans="1:15" x14ac:dyDescent="0.3">
      <c r="A4937" t="s">
        <v>4961</v>
      </c>
      <c r="B4937" s="1">
        <v>45874</v>
      </c>
      <c r="C4937" t="s">
        <v>25</v>
      </c>
      <c r="D4937" t="s">
        <v>14</v>
      </c>
      <c r="E4937" s="2">
        <v>11.16</v>
      </c>
      <c r="F4937" s="3">
        <v>24.36</v>
      </c>
      <c r="G4937" s="4">
        <v>129.44</v>
      </c>
      <c r="H4937">
        <v>1.5</v>
      </c>
      <c r="I4937" s="4">
        <v>194.16</v>
      </c>
      <c r="J4937">
        <v>3.9</v>
      </c>
      <c r="K4937" t="s">
        <v>30</v>
      </c>
      <c r="L4937" t="s">
        <v>19</v>
      </c>
      <c r="O4937"/>
    </row>
    <row r="4938" spans="1:15" x14ac:dyDescent="0.3">
      <c r="A4938" t="s">
        <v>4962</v>
      </c>
      <c r="B4938" s="1">
        <v>45940</v>
      </c>
      <c r="C4938" t="s">
        <v>13</v>
      </c>
      <c r="D4938" t="s">
        <v>13</v>
      </c>
      <c r="E4938" s="2">
        <v>26.94</v>
      </c>
      <c r="F4938" s="3">
        <v>64.98</v>
      </c>
      <c r="G4938" s="4">
        <v>381.52</v>
      </c>
      <c r="H4938">
        <v>1.2</v>
      </c>
      <c r="I4938" s="4">
        <v>457.82</v>
      </c>
      <c r="J4938">
        <v>4.5</v>
      </c>
      <c r="K4938" t="s">
        <v>30</v>
      </c>
      <c r="L4938" t="s">
        <v>26</v>
      </c>
      <c r="O4938"/>
    </row>
    <row r="4939" spans="1:15" x14ac:dyDescent="0.3">
      <c r="A4939" t="s">
        <v>4963</v>
      </c>
      <c r="B4939" s="1">
        <v>45829</v>
      </c>
      <c r="C4939" t="s">
        <v>25</v>
      </c>
      <c r="D4939" t="s">
        <v>21</v>
      </c>
      <c r="E4939" s="2">
        <v>2.4500000000000002</v>
      </c>
      <c r="F4939" s="3">
        <v>5.86</v>
      </c>
      <c r="G4939" s="4">
        <v>29.66</v>
      </c>
      <c r="H4939">
        <v>2</v>
      </c>
      <c r="I4939" s="4">
        <v>59.32</v>
      </c>
      <c r="J4939">
        <v>3.1</v>
      </c>
      <c r="K4939" t="s">
        <v>33</v>
      </c>
      <c r="L4939" t="s">
        <v>19</v>
      </c>
      <c r="O4939"/>
    </row>
    <row r="4940" spans="1:15" x14ac:dyDescent="0.3">
      <c r="A4940" t="s">
        <v>4964</v>
      </c>
      <c r="B4940" s="1">
        <v>45833</v>
      </c>
      <c r="C4940" t="s">
        <v>25</v>
      </c>
      <c r="D4940" t="s">
        <v>25</v>
      </c>
      <c r="E4940" s="2">
        <v>5.03</v>
      </c>
      <c r="F4940" s="3">
        <v>12.8</v>
      </c>
      <c r="G4940" s="4">
        <v>58.74</v>
      </c>
      <c r="H4940">
        <v>1.5</v>
      </c>
      <c r="I4940" s="4">
        <v>88.11</v>
      </c>
      <c r="J4940">
        <v>3.5</v>
      </c>
      <c r="K4940" t="s">
        <v>18</v>
      </c>
      <c r="L4940" t="s">
        <v>19</v>
      </c>
      <c r="O4940"/>
    </row>
    <row r="4941" spans="1:15" x14ac:dyDescent="0.3">
      <c r="A4941" t="s">
        <v>4965</v>
      </c>
      <c r="B4941" s="1">
        <v>45832</v>
      </c>
      <c r="C4941" t="s">
        <v>14</v>
      </c>
      <c r="D4941" t="s">
        <v>25</v>
      </c>
      <c r="E4941" s="2">
        <v>15.38</v>
      </c>
      <c r="F4941" s="3">
        <v>50.18</v>
      </c>
      <c r="G4941" s="4">
        <v>204.75</v>
      </c>
      <c r="H4941">
        <v>1</v>
      </c>
      <c r="I4941" s="4">
        <v>204.75</v>
      </c>
      <c r="J4941">
        <v>3.9</v>
      </c>
      <c r="K4941" t="s">
        <v>30</v>
      </c>
      <c r="L4941" t="s">
        <v>26</v>
      </c>
      <c r="O4941"/>
    </row>
    <row r="4942" spans="1:15" x14ac:dyDescent="0.3">
      <c r="A4942" t="s">
        <v>4966</v>
      </c>
      <c r="B4942" s="1">
        <v>45900</v>
      </c>
      <c r="C4942" t="s">
        <v>13</v>
      </c>
      <c r="D4942" t="s">
        <v>13</v>
      </c>
      <c r="E4942" s="2">
        <v>9.93</v>
      </c>
      <c r="F4942" s="3">
        <v>32.81</v>
      </c>
      <c r="G4942" s="4">
        <v>114.23</v>
      </c>
      <c r="H4942">
        <v>1.5</v>
      </c>
      <c r="I4942" s="4">
        <v>171.34</v>
      </c>
      <c r="J4942">
        <v>4.2</v>
      </c>
      <c r="K4942" t="s">
        <v>36</v>
      </c>
      <c r="L4942" t="s">
        <v>19</v>
      </c>
      <c r="O4942"/>
    </row>
    <row r="4943" spans="1:15" x14ac:dyDescent="0.3">
      <c r="A4943" t="s">
        <v>4967</v>
      </c>
      <c r="B4943" s="1">
        <v>45782</v>
      </c>
      <c r="C4943" t="s">
        <v>13</v>
      </c>
      <c r="D4943" t="s">
        <v>22</v>
      </c>
      <c r="E4943" s="2">
        <v>24.68</v>
      </c>
      <c r="F4943" s="3">
        <v>51.63</v>
      </c>
      <c r="G4943" s="4">
        <v>421.81</v>
      </c>
      <c r="H4943">
        <v>1.2</v>
      </c>
      <c r="I4943" s="4">
        <v>506.17</v>
      </c>
      <c r="J4943">
        <v>4.2</v>
      </c>
      <c r="K4943" t="s">
        <v>33</v>
      </c>
      <c r="L4943" t="s">
        <v>28</v>
      </c>
      <c r="O4943"/>
    </row>
    <row r="4944" spans="1:15" x14ac:dyDescent="0.3">
      <c r="A4944" t="s">
        <v>4968</v>
      </c>
      <c r="B4944" s="1">
        <v>45733</v>
      </c>
      <c r="C4944" t="s">
        <v>14</v>
      </c>
      <c r="D4944" t="s">
        <v>21</v>
      </c>
      <c r="E4944" s="2">
        <v>4.2699999999999996</v>
      </c>
      <c r="F4944" s="3">
        <v>14.94</v>
      </c>
      <c r="G4944" s="4">
        <v>53.35</v>
      </c>
      <c r="H4944">
        <v>1</v>
      </c>
      <c r="I4944" s="4">
        <v>53.35</v>
      </c>
      <c r="J4944">
        <v>3.4</v>
      </c>
      <c r="K4944" t="s">
        <v>15</v>
      </c>
      <c r="L4944" t="s">
        <v>16</v>
      </c>
      <c r="O4944"/>
    </row>
    <row r="4945" spans="1:15" x14ac:dyDescent="0.3">
      <c r="A4945" t="s">
        <v>4969</v>
      </c>
      <c r="B4945" s="1">
        <v>45827</v>
      </c>
      <c r="C4945" t="s">
        <v>21</v>
      </c>
      <c r="D4945" t="s">
        <v>21</v>
      </c>
      <c r="E4945" s="2">
        <v>17.149999999999999</v>
      </c>
      <c r="F4945" s="3">
        <v>66.400000000000006</v>
      </c>
      <c r="G4945" s="4">
        <v>201.7</v>
      </c>
      <c r="H4945">
        <v>1.2</v>
      </c>
      <c r="I4945" s="4">
        <v>242.04</v>
      </c>
      <c r="J4945">
        <v>4.8</v>
      </c>
      <c r="K4945" t="s">
        <v>36</v>
      </c>
      <c r="L4945" t="s">
        <v>16</v>
      </c>
      <c r="O4945"/>
    </row>
    <row r="4946" spans="1:15" x14ac:dyDescent="0.3">
      <c r="A4946" t="s">
        <v>4970</v>
      </c>
      <c r="B4946" s="1">
        <v>45825</v>
      </c>
      <c r="C4946" t="s">
        <v>25</v>
      </c>
      <c r="D4946" t="s">
        <v>21</v>
      </c>
      <c r="E4946" s="2">
        <v>20.55</v>
      </c>
      <c r="F4946" s="3">
        <v>56.32</v>
      </c>
      <c r="G4946" s="4">
        <v>244.64</v>
      </c>
      <c r="H4946">
        <v>1</v>
      </c>
      <c r="I4946" s="4">
        <v>244.64</v>
      </c>
      <c r="J4946">
        <v>3.7</v>
      </c>
      <c r="K4946" t="s">
        <v>33</v>
      </c>
      <c r="L4946" t="s">
        <v>28</v>
      </c>
      <c r="O4946"/>
    </row>
    <row r="4947" spans="1:15" x14ac:dyDescent="0.3">
      <c r="A4947" t="s">
        <v>4971</v>
      </c>
      <c r="B4947" s="1">
        <v>45816</v>
      </c>
      <c r="C4947" t="s">
        <v>14</v>
      </c>
      <c r="D4947" t="s">
        <v>22</v>
      </c>
      <c r="E4947" s="2">
        <v>27.62</v>
      </c>
      <c r="F4947" s="3">
        <v>55.79</v>
      </c>
      <c r="G4947" s="4">
        <v>384.78</v>
      </c>
      <c r="H4947">
        <v>2</v>
      </c>
      <c r="I4947" s="4">
        <v>769.56</v>
      </c>
      <c r="J4947">
        <v>3.2</v>
      </c>
      <c r="K4947" t="s">
        <v>36</v>
      </c>
      <c r="L4947" t="s">
        <v>26</v>
      </c>
      <c r="O4947"/>
    </row>
    <row r="4948" spans="1:15" x14ac:dyDescent="0.3">
      <c r="A4948" t="s">
        <v>4972</v>
      </c>
      <c r="B4948" s="1">
        <v>45707</v>
      </c>
      <c r="C4948" t="s">
        <v>25</v>
      </c>
      <c r="D4948" t="s">
        <v>21</v>
      </c>
      <c r="E4948" s="2">
        <v>12.23</v>
      </c>
      <c r="F4948" s="3">
        <v>32.979999999999997</v>
      </c>
      <c r="G4948" s="4">
        <v>147.30000000000001</v>
      </c>
      <c r="H4948">
        <v>1</v>
      </c>
      <c r="I4948" s="4">
        <v>147.30000000000001</v>
      </c>
      <c r="J4948">
        <v>4.0999999999999996</v>
      </c>
      <c r="K4948" t="s">
        <v>36</v>
      </c>
      <c r="L4948" t="s">
        <v>26</v>
      </c>
      <c r="O4948"/>
    </row>
    <row r="4949" spans="1:15" x14ac:dyDescent="0.3">
      <c r="A4949" t="s">
        <v>4973</v>
      </c>
      <c r="B4949" s="1">
        <v>45709</v>
      </c>
      <c r="C4949" t="s">
        <v>21</v>
      </c>
      <c r="D4949" t="s">
        <v>13</v>
      </c>
      <c r="E4949" s="2">
        <v>19.46</v>
      </c>
      <c r="F4949" s="3">
        <v>73.2</v>
      </c>
      <c r="G4949" s="4">
        <v>201.39</v>
      </c>
      <c r="H4949">
        <v>1.5</v>
      </c>
      <c r="I4949" s="4">
        <v>302.08</v>
      </c>
      <c r="J4949">
        <v>4.3</v>
      </c>
      <c r="K4949" t="s">
        <v>36</v>
      </c>
      <c r="L4949" t="s">
        <v>28</v>
      </c>
      <c r="O4949"/>
    </row>
    <row r="4950" spans="1:15" x14ac:dyDescent="0.3">
      <c r="A4950" t="s">
        <v>4974</v>
      </c>
      <c r="B4950" s="1">
        <v>45911</v>
      </c>
      <c r="C4950" t="s">
        <v>13</v>
      </c>
      <c r="D4950" t="s">
        <v>13</v>
      </c>
      <c r="E4950" s="2">
        <v>20.079999999999998</v>
      </c>
      <c r="F4950" s="3">
        <v>55.12</v>
      </c>
      <c r="G4950" s="4">
        <v>340.46</v>
      </c>
      <c r="H4950">
        <v>1</v>
      </c>
      <c r="I4950" s="4">
        <v>340.46</v>
      </c>
      <c r="J4950">
        <v>4.3</v>
      </c>
      <c r="K4950" t="s">
        <v>33</v>
      </c>
      <c r="L4950" t="s">
        <v>28</v>
      </c>
      <c r="O4950"/>
    </row>
    <row r="4951" spans="1:15" x14ac:dyDescent="0.3">
      <c r="A4951" t="s">
        <v>4975</v>
      </c>
      <c r="B4951" s="1">
        <v>45710</v>
      </c>
      <c r="C4951" t="s">
        <v>25</v>
      </c>
      <c r="D4951" t="s">
        <v>25</v>
      </c>
      <c r="E4951" s="2">
        <v>1.47</v>
      </c>
      <c r="F4951" s="3">
        <v>5.36</v>
      </c>
      <c r="G4951" s="4">
        <v>17.190000000000001</v>
      </c>
      <c r="H4951">
        <v>1.2</v>
      </c>
      <c r="I4951" s="4">
        <v>20.63</v>
      </c>
      <c r="J4951">
        <v>4.9000000000000004</v>
      </c>
      <c r="K4951" t="s">
        <v>33</v>
      </c>
      <c r="L4951" t="s">
        <v>26</v>
      </c>
      <c r="O4951"/>
    </row>
    <row r="4952" spans="1:15" x14ac:dyDescent="0.3">
      <c r="A4952" t="s">
        <v>4976</v>
      </c>
      <c r="B4952" s="1">
        <v>46007</v>
      </c>
      <c r="C4952" t="s">
        <v>25</v>
      </c>
      <c r="D4952" t="s">
        <v>25</v>
      </c>
      <c r="E4952" s="2">
        <v>6.97</v>
      </c>
      <c r="F4952" s="3">
        <v>26.01</v>
      </c>
      <c r="G4952" s="4">
        <v>104.39</v>
      </c>
      <c r="H4952">
        <v>1.5</v>
      </c>
      <c r="I4952" s="4">
        <v>156.58000000000001</v>
      </c>
      <c r="J4952">
        <v>4.7</v>
      </c>
      <c r="K4952" t="s">
        <v>33</v>
      </c>
      <c r="L4952" t="s">
        <v>19</v>
      </c>
      <c r="O4952"/>
    </row>
    <row r="4953" spans="1:15" x14ac:dyDescent="0.3">
      <c r="A4953" t="s">
        <v>4977</v>
      </c>
      <c r="B4953" s="1">
        <v>45982</v>
      </c>
      <c r="C4953" t="s">
        <v>13</v>
      </c>
      <c r="D4953" t="s">
        <v>25</v>
      </c>
      <c r="E4953" s="2">
        <v>10.9</v>
      </c>
      <c r="F4953" s="3">
        <v>29.37</v>
      </c>
      <c r="G4953" s="4">
        <v>188.95</v>
      </c>
      <c r="H4953">
        <v>1.5</v>
      </c>
      <c r="I4953" s="4">
        <v>283.42</v>
      </c>
      <c r="J4953">
        <v>3.5</v>
      </c>
      <c r="K4953" t="s">
        <v>18</v>
      </c>
      <c r="L4953" t="s">
        <v>28</v>
      </c>
      <c r="O4953"/>
    </row>
    <row r="4954" spans="1:15" x14ac:dyDescent="0.3">
      <c r="A4954" t="s">
        <v>4978</v>
      </c>
      <c r="B4954" s="1">
        <v>45758</v>
      </c>
      <c r="C4954" t="s">
        <v>13</v>
      </c>
      <c r="D4954" t="s">
        <v>14</v>
      </c>
      <c r="E4954" s="2">
        <v>24.42</v>
      </c>
      <c r="F4954" s="3">
        <v>88.17</v>
      </c>
      <c r="G4954" s="4">
        <v>365.71</v>
      </c>
      <c r="H4954">
        <v>1.2</v>
      </c>
      <c r="I4954" s="4">
        <v>438.85</v>
      </c>
      <c r="J4954">
        <v>3.5</v>
      </c>
      <c r="K4954" t="s">
        <v>30</v>
      </c>
      <c r="L4954" t="s">
        <v>28</v>
      </c>
      <c r="O4954"/>
    </row>
    <row r="4955" spans="1:15" x14ac:dyDescent="0.3">
      <c r="A4955" t="s">
        <v>4979</v>
      </c>
      <c r="B4955" s="1">
        <v>45897</v>
      </c>
      <c r="C4955" t="s">
        <v>14</v>
      </c>
      <c r="D4955" t="s">
        <v>25</v>
      </c>
      <c r="E4955" s="2">
        <v>15.77</v>
      </c>
      <c r="F4955" s="3">
        <v>44.69</v>
      </c>
      <c r="G4955" s="4">
        <v>314.58999999999997</v>
      </c>
      <c r="H4955">
        <v>2</v>
      </c>
      <c r="I4955" s="4">
        <v>629.17999999999995</v>
      </c>
      <c r="J4955">
        <v>4.5999999999999996</v>
      </c>
      <c r="K4955" t="s">
        <v>18</v>
      </c>
      <c r="L4955" t="s">
        <v>26</v>
      </c>
      <c r="O4955"/>
    </row>
    <row r="4956" spans="1:15" x14ac:dyDescent="0.3">
      <c r="A4956" t="s">
        <v>4980</v>
      </c>
      <c r="B4956" s="1">
        <v>45981</v>
      </c>
      <c r="C4956" t="s">
        <v>13</v>
      </c>
      <c r="D4956" t="s">
        <v>22</v>
      </c>
      <c r="E4956" s="2">
        <v>20.69</v>
      </c>
      <c r="F4956" s="3">
        <v>61.03</v>
      </c>
      <c r="G4956" s="4">
        <v>361.22</v>
      </c>
      <c r="H4956">
        <v>1.2</v>
      </c>
      <c r="I4956" s="4">
        <v>433.46</v>
      </c>
      <c r="J4956">
        <v>3.5</v>
      </c>
      <c r="K4956" t="s">
        <v>36</v>
      </c>
      <c r="L4956" t="s">
        <v>26</v>
      </c>
      <c r="O4956"/>
    </row>
    <row r="4957" spans="1:15" x14ac:dyDescent="0.3">
      <c r="A4957" t="s">
        <v>4981</v>
      </c>
      <c r="B4957" s="1">
        <v>45827</v>
      </c>
      <c r="C4957" t="s">
        <v>21</v>
      </c>
      <c r="D4957" t="s">
        <v>21</v>
      </c>
      <c r="E4957" s="2">
        <v>20.69</v>
      </c>
      <c r="F4957" s="3">
        <v>82.23</v>
      </c>
      <c r="G4957" s="4">
        <v>207.42</v>
      </c>
      <c r="H4957">
        <v>1.2</v>
      </c>
      <c r="I4957" s="4">
        <v>248.9</v>
      </c>
      <c r="J4957">
        <v>4.5</v>
      </c>
      <c r="K4957" t="s">
        <v>15</v>
      </c>
      <c r="L4957" t="s">
        <v>19</v>
      </c>
      <c r="O4957"/>
    </row>
    <row r="4958" spans="1:15" x14ac:dyDescent="0.3">
      <c r="A4958" t="s">
        <v>4982</v>
      </c>
      <c r="B4958" s="1">
        <v>45756</v>
      </c>
      <c r="C4958" t="s">
        <v>13</v>
      </c>
      <c r="D4958" t="s">
        <v>22</v>
      </c>
      <c r="E4958" s="2">
        <v>26.04</v>
      </c>
      <c r="F4958" s="3">
        <v>53.28</v>
      </c>
      <c r="G4958" s="4">
        <v>398.3</v>
      </c>
      <c r="H4958">
        <v>1</v>
      </c>
      <c r="I4958" s="4">
        <v>398.3</v>
      </c>
      <c r="J4958">
        <v>3</v>
      </c>
      <c r="K4958" t="s">
        <v>30</v>
      </c>
      <c r="L4958" t="s">
        <v>19</v>
      </c>
      <c r="O4958"/>
    </row>
    <row r="4959" spans="1:15" x14ac:dyDescent="0.3">
      <c r="A4959" t="s">
        <v>4983</v>
      </c>
      <c r="B4959" s="1">
        <v>45807</v>
      </c>
      <c r="C4959" t="s">
        <v>21</v>
      </c>
      <c r="D4959" t="s">
        <v>14</v>
      </c>
      <c r="E4959" s="2">
        <v>9.9600000000000009</v>
      </c>
      <c r="F4959" s="3">
        <v>35.17</v>
      </c>
      <c r="G4959" s="4">
        <v>193.7</v>
      </c>
      <c r="H4959">
        <v>1.2</v>
      </c>
      <c r="I4959" s="4">
        <v>232.44</v>
      </c>
      <c r="J4959">
        <v>3.6</v>
      </c>
      <c r="K4959" t="s">
        <v>33</v>
      </c>
      <c r="L4959" t="s">
        <v>16</v>
      </c>
      <c r="O4959"/>
    </row>
    <row r="4960" spans="1:15" x14ac:dyDescent="0.3">
      <c r="A4960" t="s">
        <v>4984</v>
      </c>
      <c r="B4960" s="1">
        <v>45868</v>
      </c>
      <c r="C4960" t="s">
        <v>25</v>
      </c>
      <c r="D4960" t="s">
        <v>14</v>
      </c>
      <c r="E4960" s="2">
        <v>14.67</v>
      </c>
      <c r="F4960" s="3">
        <v>49.18</v>
      </c>
      <c r="G4960" s="4">
        <v>282.95999999999998</v>
      </c>
      <c r="H4960">
        <v>1.2</v>
      </c>
      <c r="I4960" s="4">
        <v>339.55</v>
      </c>
      <c r="J4960">
        <v>3</v>
      </c>
      <c r="K4960" t="s">
        <v>15</v>
      </c>
      <c r="L4960" t="s">
        <v>26</v>
      </c>
      <c r="O4960"/>
    </row>
    <row r="4961" spans="1:15" x14ac:dyDescent="0.3">
      <c r="A4961" t="s">
        <v>4985</v>
      </c>
      <c r="B4961" s="1">
        <v>45765</v>
      </c>
      <c r="C4961" t="s">
        <v>13</v>
      </c>
      <c r="D4961" t="s">
        <v>22</v>
      </c>
      <c r="E4961" s="2">
        <v>2.94</v>
      </c>
      <c r="F4961" s="3">
        <v>10.34</v>
      </c>
      <c r="G4961" s="4">
        <v>42.56</v>
      </c>
      <c r="H4961">
        <v>1.2</v>
      </c>
      <c r="I4961" s="4">
        <v>51.07</v>
      </c>
      <c r="J4961">
        <v>3.8</v>
      </c>
      <c r="K4961" t="s">
        <v>36</v>
      </c>
      <c r="L4961" t="s">
        <v>16</v>
      </c>
      <c r="O4961"/>
    </row>
    <row r="4962" spans="1:15" x14ac:dyDescent="0.3">
      <c r="A4962" t="s">
        <v>4986</v>
      </c>
      <c r="B4962" s="1">
        <v>45835</v>
      </c>
      <c r="C4962" t="s">
        <v>25</v>
      </c>
      <c r="D4962" t="s">
        <v>25</v>
      </c>
      <c r="E4962" s="2">
        <v>25.73</v>
      </c>
      <c r="F4962" s="3">
        <v>78.84</v>
      </c>
      <c r="G4962" s="4">
        <v>506.42</v>
      </c>
      <c r="H4962">
        <v>1.5</v>
      </c>
      <c r="I4962" s="4">
        <v>759.63</v>
      </c>
      <c r="J4962">
        <v>4</v>
      </c>
      <c r="K4962" t="s">
        <v>18</v>
      </c>
      <c r="L4962" t="s">
        <v>16</v>
      </c>
      <c r="O4962"/>
    </row>
    <row r="4963" spans="1:15" x14ac:dyDescent="0.3">
      <c r="A4963" t="s">
        <v>4987</v>
      </c>
      <c r="B4963" s="1">
        <v>45977</v>
      </c>
      <c r="C4963" t="s">
        <v>13</v>
      </c>
      <c r="D4963" t="s">
        <v>25</v>
      </c>
      <c r="E4963" s="2">
        <v>22.21</v>
      </c>
      <c r="F4963" s="3">
        <v>83.4</v>
      </c>
      <c r="G4963" s="4">
        <v>406.67</v>
      </c>
      <c r="H4963">
        <v>1</v>
      </c>
      <c r="I4963" s="4">
        <v>406.67</v>
      </c>
      <c r="J4963">
        <v>3.6</v>
      </c>
      <c r="K4963" t="s">
        <v>18</v>
      </c>
      <c r="L4963" t="s">
        <v>26</v>
      </c>
      <c r="O4963"/>
    </row>
    <row r="4964" spans="1:15" x14ac:dyDescent="0.3">
      <c r="A4964" t="s">
        <v>4988</v>
      </c>
      <c r="B4964" s="1">
        <v>45814</v>
      </c>
      <c r="C4964" t="s">
        <v>22</v>
      </c>
      <c r="D4964" t="s">
        <v>25</v>
      </c>
      <c r="E4964" s="2">
        <v>26.07</v>
      </c>
      <c r="F4964" s="3">
        <v>56.56</v>
      </c>
      <c r="G4964" s="4">
        <v>367.21</v>
      </c>
      <c r="H4964">
        <v>1.2</v>
      </c>
      <c r="I4964" s="4">
        <v>440.65</v>
      </c>
      <c r="J4964">
        <v>3.8</v>
      </c>
      <c r="K4964" t="s">
        <v>36</v>
      </c>
      <c r="L4964" t="s">
        <v>26</v>
      </c>
      <c r="O4964"/>
    </row>
    <row r="4965" spans="1:15" x14ac:dyDescent="0.3">
      <c r="A4965" t="s">
        <v>4989</v>
      </c>
      <c r="B4965" s="1">
        <v>45731</v>
      </c>
      <c r="C4965" t="s">
        <v>25</v>
      </c>
      <c r="D4965" t="s">
        <v>22</v>
      </c>
      <c r="E4965" s="2">
        <v>5.0199999999999996</v>
      </c>
      <c r="F4965" s="3">
        <v>14.94</v>
      </c>
      <c r="G4965" s="4">
        <v>74.290000000000006</v>
      </c>
      <c r="H4965">
        <v>1.2</v>
      </c>
      <c r="I4965" s="4">
        <v>89.15</v>
      </c>
      <c r="J4965">
        <v>4.7</v>
      </c>
      <c r="K4965" t="s">
        <v>36</v>
      </c>
      <c r="L4965" t="s">
        <v>16</v>
      </c>
      <c r="O4965"/>
    </row>
    <row r="4966" spans="1:15" x14ac:dyDescent="0.3">
      <c r="A4966" t="s">
        <v>4990</v>
      </c>
      <c r="B4966" s="1">
        <v>46006</v>
      </c>
      <c r="C4966" t="s">
        <v>13</v>
      </c>
      <c r="D4966" t="s">
        <v>13</v>
      </c>
      <c r="E4966" s="2">
        <v>1.01</v>
      </c>
      <c r="F4966" s="3">
        <v>3.84</v>
      </c>
      <c r="G4966" s="4">
        <v>11.36</v>
      </c>
      <c r="H4966">
        <v>1.5</v>
      </c>
      <c r="I4966" s="4">
        <v>17.04</v>
      </c>
      <c r="J4966">
        <v>4.7</v>
      </c>
      <c r="K4966" t="s">
        <v>33</v>
      </c>
      <c r="L4966" t="s">
        <v>26</v>
      </c>
      <c r="O4966"/>
    </row>
    <row r="4967" spans="1:15" x14ac:dyDescent="0.3">
      <c r="A4967" t="s">
        <v>4991</v>
      </c>
      <c r="B4967" s="1">
        <v>45850</v>
      </c>
      <c r="C4967" t="s">
        <v>13</v>
      </c>
      <c r="D4967" t="s">
        <v>21</v>
      </c>
      <c r="E4967" s="2">
        <v>6.21</v>
      </c>
      <c r="F4967" s="3">
        <v>22.39</v>
      </c>
      <c r="G4967" s="4">
        <v>98.09</v>
      </c>
      <c r="H4967">
        <v>1.2</v>
      </c>
      <c r="I4967" s="4">
        <v>117.71</v>
      </c>
      <c r="J4967">
        <v>4.0999999999999996</v>
      </c>
      <c r="K4967" t="s">
        <v>15</v>
      </c>
      <c r="L4967" t="s">
        <v>16</v>
      </c>
      <c r="O4967"/>
    </row>
    <row r="4968" spans="1:15" x14ac:dyDescent="0.3">
      <c r="A4968" t="s">
        <v>4992</v>
      </c>
      <c r="B4968" s="1">
        <v>45965</v>
      </c>
      <c r="C4968" t="s">
        <v>21</v>
      </c>
      <c r="D4968" t="s">
        <v>22</v>
      </c>
      <c r="E4968" s="2">
        <v>15.08</v>
      </c>
      <c r="F4968" s="3">
        <v>59.64</v>
      </c>
      <c r="G4968" s="4">
        <v>275.43</v>
      </c>
      <c r="H4968">
        <v>1.5</v>
      </c>
      <c r="I4968" s="4">
        <v>413.14</v>
      </c>
      <c r="J4968">
        <v>3.1</v>
      </c>
      <c r="K4968" t="s">
        <v>36</v>
      </c>
      <c r="L4968" t="s">
        <v>16</v>
      </c>
      <c r="O4968"/>
    </row>
    <row r="4969" spans="1:15" x14ac:dyDescent="0.3">
      <c r="A4969" t="s">
        <v>4993</v>
      </c>
      <c r="B4969" s="1">
        <v>45816</v>
      </c>
      <c r="C4969" t="s">
        <v>21</v>
      </c>
      <c r="D4969" t="s">
        <v>25</v>
      </c>
      <c r="E4969" s="2">
        <v>24.81</v>
      </c>
      <c r="F4969" s="3">
        <v>53.93</v>
      </c>
      <c r="G4969" s="4">
        <v>481.76</v>
      </c>
      <c r="H4969">
        <v>1.5</v>
      </c>
      <c r="I4969" s="4">
        <v>722.64</v>
      </c>
      <c r="J4969">
        <v>4.2</v>
      </c>
      <c r="K4969" t="s">
        <v>15</v>
      </c>
      <c r="L4969" t="s">
        <v>19</v>
      </c>
      <c r="O4969"/>
    </row>
    <row r="4970" spans="1:15" x14ac:dyDescent="0.3">
      <c r="A4970" t="s">
        <v>4994</v>
      </c>
      <c r="B4970" s="1">
        <v>45972</v>
      </c>
      <c r="C4970" t="s">
        <v>14</v>
      </c>
      <c r="D4970" t="s">
        <v>13</v>
      </c>
      <c r="E4970" s="2">
        <v>22.43</v>
      </c>
      <c r="F4970" s="3">
        <v>66.72</v>
      </c>
      <c r="G4970" s="4">
        <v>242.79</v>
      </c>
      <c r="H4970">
        <v>1</v>
      </c>
      <c r="I4970" s="4">
        <v>242.79</v>
      </c>
      <c r="J4970">
        <v>4.3</v>
      </c>
      <c r="K4970" t="s">
        <v>15</v>
      </c>
      <c r="L4970" t="s">
        <v>26</v>
      </c>
      <c r="O4970"/>
    </row>
    <row r="4971" spans="1:15" x14ac:dyDescent="0.3">
      <c r="A4971" t="s">
        <v>4995</v>
      </c>
      <c r="B4971" s="1">
        <v>45712</v>
      </c>
      <c r="C4971" t="s">
        <v>13</v>
      </c>
      <c r="D4971" t="s">
        <v>14</v>
      </c>
      <c r="E4971" s="2">
        <v>17.54</v>
      </c>
      <c r="F4971" s="3">
        <v>45.37</v>
      </c>
      <c r="G4971" s="4">
        <v>217.87</v>
      </c>
      <c r="H4971">
        <v>1</v>
      </c>
      <c r="I4971" s="4">
        <v>217.87</v>
      </c>
      <c r="J4971">
        <v>5</v>
      </c>
      <c r="K4971" t="s">
        <v>36</v>
      </c>
      <c r="L4971" t="s">
        <v>28</v>
      </c>
      <c r="O4971"/>
    </row>
    <row r="4972" spans="1:15" x14ac:dyDescent="0.3">
      <c r="A4972" t="s">
        <v>4996</v>
      </c>
      <c r="B4972" s="1">
        <v>45808</v>
      </c>
      <c r="C4972" t="s">
        <v>22</v>
      </c>
      <c r="D4972" t="s">
        <v>22</v>
      </c>
      <c r="E4972" s="2">
        <v>13.37</v>
      </c>
      <c r="F4972" s="3">
        <v>35.08</v>
      </c>
      <c r="G4972" s="4">
        <v>191.59</v>
      </c>
      <c r="H4972">
        <v>1.2</v>
      </c>
      <c r="I4972" s="4">
        <v>229.91</v>
      </c>
      <c r="J4972">
        <v>4.8</v>
      </c>
      <c r="K4972" t="s">
        <v>36</v>
      </c>
      <c r="L4972" t="s">
        <v>19</v>
      </c>
      <c r="O4972"/>
    </row>
    <row r="4973" spans="1:15" x14ac:dyDescent="0.3">
      <c r="A4973" t="s">
        <v>4997</v>
      </c>
      <c r="B4973" s="1">
        <v>45863</v>
      </c>
      <c r="C4973" t="s">
        <v>21</v>
      </c>
      <c r="D4973" t="s">
        <v>22</v>
      </c>
      <c r="E4973" s="2">
        <v>26.2</v>
      </c>
      <c r="F4973" s="3">
        <v>54.44</v>
      </c>
      <c r="G4973" s="4">
        <v>300.16000000000003</v>
      </c>
      <c r="H4973">
        <v>1</v>
      </c>
      <c r="I4973" s="4">
        <v>300.16000000000003</v>
      </c>
      <c r="J4973">
        <v>4.2</v>
      </c>
      <c r="K4973" t="s">
        <v>18</v>
      </c>
      <c r="L4973" t="s">
        <v>16</v>
      </c>
      <c r="O4973"/>
    </row>
    <row r="4974" spans="1:15" x14ac:dyDescent="0.3">
      <c r="A4974" t="s">
        <v>4998</v>
      </c>
      <c r="B4974" s="1">
        <v>45831</v>
      </c>
      <c r="C4974" t="s">
        <v>22</v>
      </c>
      <c r="D4974" t="s">
        <v>14</v>
      </c>
      <c r="E4974" s="2">
        <v>25.59</v>
      </c>
      <c r="F4974" s="3">
        <v>51.75</v>
      </c>
      <c r="G4974" s="4">
        <v>419.96</v>
      </c>
      <c r="H4974">
        <v>1.5</v>
      </c>
      <c r="I4974" s="4">
        <v>629.94000000000005</v>
      </c>
      <c r="J4974">
        <v>4.7</v>
      </c>
      <c r="K4974" t="s">
        <v>36</v>
      </c>
      <c r="L4974" t="s">
        <v>16</v>
      </c>
      <c r="O4974"/>
    </row>
    <row r="4975" spans="1:15" x14ac:dyDescent="0.3">
      <c r="A4975" t="s">
        <v>4999</v>
      </c>
      <c r="B4975" s="1">
        <v>45982</v>
      </c>
      <c r="C4975" t="s">
        <v>22</v>
      </c>
      <c r="D4975" t="s">
        <v>13</v>
      </c>
      <c r="E4975" s="2">
        <v>23.58</v>
      </c>
      <c r="F4975" s="3">
        <v>70.739999999999995</v>
      </c>
      <c r="G4975" s="4">
        <v>285.95</v>
      </c>
      <c r="H4975">
        <v>1.5</v>
      </c>
      <c r="I4975" s="4">
        <v>428.92</v>
      </c>
      <c r="J4975">
        <v>4.5999999999999996</v>
      </c>
      <c r="K4975" t="s">
        <v>18</v>
      </c>
      <c r="L4975" t="s">
        <v>28</v>
      </c>
      <c r="O4975"/>
    </row>
    <row r="4976" spans="1:15" x14ac:dyDescent="0.3">
      <c r="A4976" t="s">
        <v>5000</v>
      </c>
      <c r="B4976" s="1">
        <v>45869</v>
      </c>
      <c r="C4976" t="s">
        <v>14</v>
      </c>
      <c r="D4976" t="s">
        <v>25</v>
      </c>
      <c r="E4976" s="2">
        <v>6.51</v>
      </c>
      <c r="F4976" s="3">
        <v>21.18</v>
      </c>
      <c r="G4976" s="4">
        <v>129.63</v>
      </c>
      <c r="H4976">
        <v>2</v>
      </c>
      <c r="I4976" s="4">
        <v>259.26</v>
      </c>
      <c r="J4976">
        <v>3.2</v>
      </c>
      <c r="K4976" t="s">
        <v>36</v>
      </c>
      <c r="L4976" t="s">
        <v>26</v>
      </c>
      <c r="O4976"/>
    </row>
    <row r="4977" spans="1:15" x14ac:dyDescent="0.3">
      <c r="A4977" t="s">
        <v>5001</v>
      </c>
      <c r="B4977" s="1">
        <v>45746</v>
      </c>
      <c r="C4977" t="s">
        <v>14</v>
      </c>
      <c r="D4977" t="s">
        <v>14</v>
      </c>
      <c r="E4977" s="2">
        <v>29.95</v>
      </c>
      <c r="F4977" s="3">
        <v>92.69</v>
      </c>
      <c r="G4977" s="4">
        <v>425.32</v>
      </c>
      <c r="H4977">
        <v>1.2</v>
      </c>
      <c r="I4977" s="4">
        <v>510.38</v>
      </c>
      <c r="J4977">
        <v>4</v>
      </c>
      <c r="K4977" t="s">
        <v>18</v>
      </c>
      <c r="L4977" t="s">
        <v>19</v>
      </c>
      <c r="O4977"/>
    </row>
    <row r="4978" spans="1:15" x14ac:dyDescent="0.3">
      <c r="A4978" t="s">
        <v>5002</v>
      </c>
      <c r="B4978" s="1">
        <v>45745</v>
      </c>
      <c r="C4978" t="s">
        <v>13</v>
      </c>
      <c r="D4978" t="s">
        <v>14</v>
      </c>
      <c r="E4978" s="2">
        <v>3.83</v>
      </c>
      <c r="F4978" s="3">
        <v>12.52</v>
      </c>
      <c r="G4978" s="4">
        <v>41.97</v>
      </c>
      <c r="H4978">
        <v>1.5</v>
      </c>
      <c r="I4978" s="4">
        <v>62.96</v>
      </c>
      <c r="J4978">
        <v>4.7</v>
      </c>
      <c r="K4978" t="s">
        <v>15</v>
      </c>
      <c r="L4978" t="s">
        <v>16</v>
      </c>
      <c r="O4978"/>
    </row>
    <row r="4979" spans="1:15" x14ac:dyDescent="0.3">
      <c r="A4979" t="s">
        <v>5003</v>
      </c>
      <c r="B4979" s="1">
        <v>45881</v>
      </c>
      <c r="C4979" t="s">
        <v>13</v>
      </c>
      <c r="D4979" t="s">
        <v>25</v>
      </c>
      <c r="E4979" s="2">
        <v>16.88</v>
      </c>
      <c r="F4979" s="3">
        <v>67.239999999999995</v>
      </c>
      <c r="G4979" s="4">
        <v>206.1</v>
      </c>
      <c r="H4979">
        <v>2</v>
      </c>
      <c r="I4979" s="4">
        <v>412.2</v>
      </c>
      <c r="J4979">
        <v>3.8</v>
      </c>
      <c r="K4979" t="s">
        <v>18</v>
      </c>
      <c r="L4979" t="s">
        <v>28</v>
      </c>
      <c r="O4979"/>
    </row>
    <row r="4980" spans="1:15" x14ac:dyDescent="0.3">
      <c r="A4980" t="s">
        <v>5004</v>
      </c>
      <c r="B4980" s="1">
        <v>45998</v>
      </c>
      <c r="C4980" t="s">
        <v>13</v>
      </c>
      <c r="D4980" t="s">
        <v>14</v>
      </c>
      <c r="E4980" s="2">
        <v>29.02</v>
      </c>
      <c r="F4980" s="3">
        <v>72.89</v>
      </c>
      <c r="G4980" s="4">
        <v>561.88</v>
      </c>
      <c r="H4980">
        <v>1</v>
      </c>
      <c r="I4980" s="4">
        <v>561.88</v>
      </c>
      <c r="J4980">
        <v>4.2</v>
      </c>
      <c r="K4980" t="s">
        <v>18</v>
      </c>
      <c r="L4980" t="s">
        <v>19</v>
      </c>
      <c r="O4980"/>
    </row>
    <row r="4981" spans="1:15" x14ac:dyDescent="0.3">
      <c r="A4981" t="s">
        <v>5005</v>
      </c>
      <c r="B4981" s="1">
        <v>45705</v>
      </c>
      <c r="C4981" t="s">
        <v>14</v>
      </c>
      <c r="D4981" t="s">
        <v>14</v>
      </c>
      <c r="E4981" s="2">
        <v>12.76</v>
      </c>
      <c r="F4981" s="3">
        <v>36.630000000000003</v>
      </c>
      <c r="G4981" s="4">
        <v>252.98</v>
      </c>
      <c r="H4981">
        <v>2</v>
      </c>
      <c r="I4981" s="4">
        <v>505.96</v>
      </c>
      <c r="J4981">
        <v>4.5999999999999996</v>
      </c>
      <c r="K4981" t="s">
        <v>30</v>
      </c>
      <c r="L4981" t="s">
        <v>26</v>
      </c>
      <c r="O4981"/>
    </row>
    <row r="4982" spans="1:15" x14ac:dyDescent="0.3">
      <c r="A4982" t="s">
        <v>5006</v>
      </c>
      <c r="B4982" s="1">
        <v>45996</v>
      </c>
      <c r="C4982" t="s">
        <v>13</v>
      </c>
      <c r="D4982" t="s">
        <v>21</v>
      </c>
      <c r="E4982" s="2">
        <v>26.77</v>
      </c>
      <c r="F4982" s="3">
        <v>92.92</v>
      </c>
      <c r="G4982" s="4">
        <v>509.54</v>
      </c>
      <c r="H4982">
        <v>1.5</v>
      </c>
      <c r="I4982" s="4">
        <v>764.31</v>
      </c>
      <c r="J4982">
        <v>3.3</v>
      </c>
      <c r="K4982" t="s">
        <v>36</v>
      </c>
      <c r="L4982" t="s">
        <v>26</v>
      </c>
      <c r="O4982"/>
    </row>
    <row r="4983" spans="1:15" x14ac:dyDescent="0.3">
      <c r="A4983" t="s">
        <v>5007</v>
      </c>
      <c r="B4983" s="1">
        <v>45717</v>
      </c>
      <c r="C4983" t="s">
        <v>25</v>
      </c>
      <c r="D4983" t="s">
        <v>25</v>
      </c>
      <c r="E4983" s="2">
        <v>22.66</v>
      </c>
      <c r="F4983" s="3">
        <v>71.75</v>
      </c>
      <c r="G4983" s="4">
        <v>266.29000000000002</v>
      </c>
      <c r="H4983">
        <v>1</v>
      </c>
      <c r="I4983" s="4">
        <v>266.29000000000002</v>
      </c>
      <c r="J4983">
        <v>3.5</v>
      </c>
      <c r="K4983" t="s">
        <v>30</v>
      </c>
      <c r="L4983" t="s">
        <v>26</v>
      </c>
      <c r="O4983"/>
    </row>
    <row r="4984" spans="1:15" x14ac:dyDescent="0.3">
      <c r="A4984" t="s">
        <v>5008</v>
      </c>
      <c r="B4984" s="1">
        <v>45845</v>
      </c>
      <c r="C4984" t="s">
        <v>22</v>
      </c>
      <c r="D4984" t="s">
        <v>22</v>
      </c>
      <c r="E4984" s="2">
        <v>10.95</v>
      </c>
      <c r="F4984" s="3">
        <v>33.18</v>
      </c>
      <c r="G4984" s="4">
        <v>203.11</v>
      </c>
      <c r="H4984">
        <v>1.5</v>
      </c>
      <c r="I4984" s="4">
        <v>304.67</v>
      </c>
      <c r="J4984">
        <v>3.1</v>
      </c>
      <c r="K4984" t="s">
        <v>18</v>
      </c>
      <c r="L4984" t="s">
        <v>26</v>
      </c>
      <c r="O4984"/>
    </row>
    <row r="4985" spans="1:15" x14ac:dyDescent="0.3">
      <c r="A4985" t="s">
        <v>5009</v>
      </c>
      <c r="B4985" s="1">
        <v>45902</v>
      </c>
      <c r="C4985" t="s">
        <v>14</v>
      </c>
      <c r="D4985" t="s">
        <v>21</v>
      </c>
      <c r="E4985" s="2">
        <v>2.38</v>
      </c>
      <c r="F4985" s="3">
        <v>8.1999999999999993</v>
      </c>
      <c r="G4985" s="4">
        <v>39.75</v>
      </c>
      <c r="H4985">
        <v>2</v>
      </c>
      <c r="I4985" s="4">
        <v>79.5</v>
      </c>
      <c r="J4985">
        <v>4.9000000000000004</v>
      </c>
      <c r="K4985" t="s">
        <v>33</v>
      </c>
      <c r="L4985" t="s">
        <v>28</v>
      </c>
      <c r="O4985"/>
    </row>
    <row r="4986" spans="1:15" x14ac:dyDescent="0.3">
      <c r="A4986" t="s">
        <v>5010</v>
      </c>
      <c r="B4986" s="1">
        <v>45899</v>
      </c>
      <c r="C4986" t="s">
        <v>21</v>
      </c>
      <c r="D4986" t="s">
        <v>14</v>
      </c>
      <c r="E4986" s="2">
        <v>27.62</v>
      </c>
      <c r="F4986" s="3">
        <v>55.97</v>
      </c>
      <c r="G4986" s="4">
        <v>431.78</v>
      </c>
      <c r="H4986">
        <v>1.5</v>
      </c>
      <c r="I4986" s="4">
        <v>647.66999999999996</v>
      </c>
      <c r="J4986">
        <v>3.8</v>
      </c>
      <c r="K4986" t="s">
        <v>30</v>
      </c>
      <c r="L4986" t="s">
        <v>16</v>
      </c>
      <c r="O4986"/>
    </row>
    <row r="4987" spans="1:15" x14ac:dyDescent="0.3">
      <c r="A4987" t="s">
        <v>5011</v>
      </c>
      <c r="B4987" s="1">
        <v>45847</v>
      </c>
      <c r="C4987" t="s">
        <v>25</v>
      </c>
      <c r="D4987" t="s">
        <v>25</v>
      </c>
      <c r="E4987" s="2">
        <v>17.96</v>
      </c>
      <c r="F4987" s="3">
        <v>49.61</v>
      </c>
      <c r="G4987" s="4">
        <v>197.36</v>
      </c>
      <c r="H4987">
        <v>1</v>
      </c>
      <c r="I4987" s="4">
        <v>197.36</v>
      </c>
      <c r="J4987">
        <v>5</v>
      </c>
      <c r="K4987" t="s">
        <v>15</v>
      </c>
      <c r="L4987" t="s">
        <v>19</v>
      </c>
      <c r="O4987"/>
    </row>
    <row r="4988" spans="1:15" x14ac:dyDescent="0.3">
      <c r="A4988" t="s">
        <v>5012</v>
      </c>
      <c r="B4988" s="1">
        <v>45726</v>
      </c>
      <c r="C4988" t="s">
        <v>25</v>
      </c>
      <c r="D4988" t="s">
        <v>22</v>
      </c>
      <c r="E4988" s="2">
        <v>1.48</v>
      </c>
      <c r="F4988" s="3">
        <v>5.58</v>
      </c>
      <c r="G4988" s="4">
        <v>23.5</v>
      </c>
      <c r="H4988">
        <v>1.5</v>
      </c>
      <c r="I4988" s="4">
        <v>35.25</v>
      </c>
      <c r="J4988">
        <v>3.9</v>
      </c>
      <c r="K4988" t="s">
        <v>36</v>
      </c>
      <c r="L4988" t="s">
        <v>16</v>
      </c>
      <c r="O4988"/>
    </row>
    <row r="4989" spans="1:15" x14ac:dyDescent="0.3">
      <c r="A4989" t="s">
        <v>5013</v>
      </c>
      <c r="B4989" s="1">
        <v>45879</v>
      </c>
      <c r="C4989" t="s">
        <v>22</v>
      </c>
      <c r="D4989" t="s">
        <v>22</v>
      </c>
      <c r="E4989" s="2">
        <v>18.23</v>
      </c>
      <c r="F4989" s="3">
        <v>37.76</v>
      </c>
      <c r="G4989" s="4">
        <v>324.49</v>
      </c>
      <c r="H4989">
        <v>2</v>
      </c>
      <c r="I4989" s="4">
        <v>648.98</v>
      </c>
      <c r="J4989">
        <v>4.5</v>
      </c>
      <c r="K4989" t="s">
        <v>30</v>
      </c>
      <c r="L4989" t="s">
        <v>28</v>
      </c>
      <c r="O4989"/>
    </row>
    <row r="4990" spans="1:15" x14ac:dyDescent="0.3">
      <c r="A4990" t="s">
        <v>5014</v>
      </c>
      <c r="B4990" s="1">
        <v>46006</v>
      </c>
      <c r="C4990" t="s">
        <v>22</v>
      </c>
      <c r="D4990" t="s">
        <v>25</v>
      </c>
      <c r="E4990" s="2">
        <v>22.28</v>
      </c>
      <c r="F4990" s="3">
        <v>82.74</v>
      </c>
      <c r="G4990" s="4">
        <v>358.87</v>
      </c>
      <c r="H4990">
        <v>1.2</v>
      </c>
      <c r="I4990" s="4">
        <v>430.64</v>
      </c>
      <c r="J4990">
        <v>4.7</v>
      </c>
      <c r="K4990" t="s">
        <v>15</v>
      </c>
      <c r="L4990" t="s">
        <v>16</v>
      </c>
      <c r="O4990"/>
    </row>
    <row r="4991" spans="1:15" x14ac:dyDescent="0.3">
      <c r="A4991" t="s">
        <v>5015</v>
      </c>
      <c r="B4991" s="1">
        <v>46012</v>
      </c>
      <c r="C4991" t="s">
        <v>25</v>
      </c>
      <c r="D4991" t="s">
        <v>14</v>
      </c>
      <c r="E4991" s="2">
        <v>13.15</v>
      </c>
      <c r="F4991" s="3">
        <v>48.18</v>
      </c>
      <c r="G4991" s="4">
        <v>143.41</v>
      </c>
      <c r="H4991">
        <v>2</v>
      </c>
      <c r="I4991" s="4">
        <v>286.82</v>
      </c>
      <c r="J4991">
        <v>4.2</v>
      </c>
      <c r="K4991" t="s">
        <v>18</v>
      </c>
      <c r="L4991" t="s">
        <v>16</v>
      </c>
      <c r="O4991"/>
    </row>
    <row r="4992" spans="1:15" x14ac:dyDescent="0.3">
      <c r="A4992" t="s">
        <v>5016</v>
      </c>
      <c r="B4992" s="1">
        <v>45955</v>
      </c>
      <c r="C4992" t="s">
        <v>22</v>
      </c>
      <c r="D4992" t="s">
        <v>25</v>
      </c>
      <c r="E4992" s="2">
        <v>22.89</v>
      </c>
      <c r="F4992" s="3">
        <v>80.459999999999994</v>
      </c>
      <c r="G4992" s="4">
        <v>242.76</v>
      </c>
      <c r="H4992">
        <v>1.5</v>
      </c>
      <c r="I4992" s="4">
        <v>364.14</v>
      </c>
      <c r="J4992">
        <v>4</v>
      </c>
      <c r="K4992" t="s">
        <v>18</v>
      </c>
      <c r="L4992" t="s">
        <v>26</v>
      </c>
      <c r="O4992"/>
    </row>
    <row r="4993" spans="1:15" x14ac:dyDescent="0.3">
      <c r="A4993" t="s">
        <v>5017</v>
      </c>
      <c r="B4993" s="1">
        <v>45965</v>
      </c>
      <c r="C4993" t="s">
        <v>22</v>
      </c>
      <c r="D4993" t="s">
        <v>25</v>
      </c>
      <c r="E4993" s="2">
        <v>11.68</v>
      </c>
      <c r="F4993" s="3">
        <v>32.96</v>
      </c>
      <c r="G4993" s="4">
        <v>208.07</v>
      </c>
      <c r="H4993">
        <v>2</v>
      </c>
      <c r="I4993" s="4">
        <v>416.14</v>
      </c>
      <c r="J4993">
        <v>4.2</v>
      </c>
      <c r="K4993" t="s">
        <v>30</v>
      </c>
      <c r="L4993" t="s">
        <v>16</v>
      </c>
      <c r="O4993"/>
    </row>
    <row r="4994" spans="1:15" x14ac:dyDescent="0.3">
      <c r="A4994" t="s">
        <v>5018</v>
      </c>
      <c r="B4994" s="1">
        <v>45660</v>
      </c>
      <c r="C4994" t="s">
        <v>25</v>
      </c>
      <c r="D4994" t="s">
        <v>22</v>
      </c>
      <c r="E4994" s="2">
        <v>1</v>
      </c>
      <c r="F4994" s="3">
        <v>2.13</v>
      </c>
      <c r="G4994" s="4">
        <v>14.08</v>
      </c>
      <c r="H4994">
        <v>1.5</v>
      </c>
      <c r="I4994" s="4">
        <v>21.12</v>
      </c>
      <c r="J4994">
        <v>4.4000000000000004</v>
      </c>
      <c r="K4994" t="s">
        <v>18</v>
      </c>
      <c r="L4994" t="s">
        <v>26</v>
      </c>
      <c r="O4994"/>
    </row>
    <row r="4995" spans="1:15" x14ac:dyDescent="0.3">
      <c r="A4995" t="s">
        <v>5019</v>
      </c>
      <c r="B4995" s="1">
        <v>45679</v>
      </c>
      <c r="C4995" t="s">
        <v>14</v>
      </c>
      <c r="D4995" t="s">
        <v>22</v>
      </c>
      <c r="E4995" s="2">
        <v>17.079999999999998</v>
      </c>
      <c r="F4995" s="3">
        <v>57.34</v>
      </c>
      <c r="G4995" s="4">
        <v>210</v>
      </c>
      <c r="H4995">
        <v>2</v>
      </c>
      <c r="I4995" s="4">
        <v>420</v>
      </c>
      <c r="J4995">
        <v>4.7</v>
      </c>
      <c r="K4995" t="s">
        <v>15</v>
      </c>
      <c r="L4995" t="s">
        <v>26</v>
      </c>
      <c r="O4995"/>
    </row>
    <row r="4996" spans="1:15" x14ac:dyDescent="0.3">
      <c r="A4996" t="s">
        <v>5020</v>
      </c>
      <c r="B4996" s="1">
        <v>45790</v>
      </c>
      <c r="C4996" t="s">
        <v>21</v>
      </c>
      <c r="D4996" t="s">
        <v>13</v>
      </c>
      <c r="E4996" s="2">
        <v>26.85</v>
      </c>
      <c r="F4996" s="3">
        <v>102.84</v>
      </c>
      <c r="G4996" s="4">
        <v>404.72</v>
      </c>
      <c r="H4996">
        <v>1.5</v>
      </c>
      <c r="I4996" s="4">
        <v>607.08000000000004</v>
      </c>
      <c r="J4996">
        <v>3.1</v>
      </c>
      <c r="K4996" t="s">
        <v>15</v>
      </c>
      <c r="L4996" t="s">
        <v>26</v>
      </c>
      <c r="O4996"/>
    </row>
    <row r="4997" spans="1:15" x14ac:dyDescent="0.3">
      <c r="A4997" t="s">
        <v>5021</v>
      </c>
      <c r="B4997" s="1">
        <v>45777</v>
      </c>
      <c r="C4997" t="s">
        <v>21</v>
      </c>
      <c r="D4997" t="s">
        <v>25</v>
      </c>
      <c r="E4997" s="2">
        <v>5.55</v>
      </c>
      <c r="F4997" s="3">
        <v>12.61</v>
      </c>
      <c r="G4997" s="4">
        <v>69.900000000000006</v>
      </c>
      <c r="H4997">
        <v>1.5</v>
      </c>
      <c r="I4997" s="4">
        <v>104.85</v>
      </c>
      <c r="J4997">
        <v>4.5</v>
      </c>
      <c r="K4997" t="s">
        <v>18</v>
      </c>
      <c r="L4997" t="s">
        <v>19</v>
      </c>
      <c r="O4997"/>
    </row>
    <row r="4998" spans="1:15" x14ac:dyDescent="0.3">
      <c r="A4998" t="s">
        <v>5022</v>
      </c>
      <c r="B4998" s="1">
        <v>45987</v>
      </c>
      <c r="C4998" t="s">
        <v>25</v>
      </c>
      <c r="D4998" t="s">
        <v>13</v>
      </c>
      <c r="E4998" s="2">
        <v>26.83</v>
      </c>
      <c r="F4998" s="3">
        <v>86.51</v>
      </c>
      <c r="G4998" s="4">
        <v>503.37</v>
      </c>
      <c r="H4998">
        <v>1</v>
      </c>
      <c r="I4998" s="4">
        <v>503.37</v>
      </c>
      <c r="J4998">
        <v>4.5</v>
      </c>
      <c r="K4998" t="s">
        <v>15</v>
      </c>
      <c r="L4998" t="s">
        <v>26</v>
      </c>
      <c r="O4998"/>
    </row>
    <row r="4999" spans="1:15" x14ac:dyDescent="0.3">
      <c r="A4999" t="s">
        <v>5023</v>
      </c>
      <c r="B4999" s="1">
        <v>45996</v>
      </c>
      <c r="C4999" t="s">
        <v>13</v>
      </c>
      <c r="D4999" t="s">
        <v>14</v>
      </c>
      <c r="E4999" s="2">
        <v>14.44</v>
      </c>
      <c r="F4999" s="3">
        <v>52.62</v>
      </c>
      <c r="G4999" s="4">
        <v>172.43</v>
      </c>
      <c r="H4999">
        <v>1</v>
      </c>
      <c r="I4999" s="4">
        <v>172.43</v>
      </c>
      <c r="J4999">
        <v>3.5</v>
      </c>
      <c r="K4999" t="s">
        <v>36</v>
      </c>
      <c r="L4999" t="s">
        <v>19</v>
      </c>
      <c r="O4999"/>
    </row>
    <row r="5000" spans="1:15" x14ac:dyDescent="0.3">
      <c r="A5000" t="s">
        <v>5024</v>
      </c>
      <c r="B5000" s="1">
        <v>45799</v>
      </c>
      <c r="C5000" t="s">
        <v>21</v>
      </c>
      <c r="D5000" t="s">
        <v>21</v>
      </c>
      <c r="E5000" s="2">
        <v>12.28</v>
      </c>
      <c r="F5000" s="3">
        <v>32.08</v>
      </c>
      <c r="G5000" s="4">
        <v>139.41</v>
      </c>
      <c r="H5000">
        <v>1.2</v>
      </c>
      <c r="I5000" s="4">
        <v>167.29</v>
      </c>
      <c r="J5000">
        <v>3.1</v>
      </c>
      <c r="K5000" t="s">
        <v>18</v>
      </c>
      <c r="L5000" t="s">
        <v>19</v>
      </c>
      <c r="O5000"/>
    </row>
    <row r="5001" spans="1:15" x14ac:dyDescent="0.3">
      <c r="A5001" t="s">
        <v>5025</v>
      </c>
      <c r="B5001" s="1">
        <v>45962</v>
      </c>
      <c r="C5001" t="s">
        <v>13</v>
      </c>
      <c r="D5001" t="s">
        <v>13</v>
      </c>
      <c r="E5001" s="2">
        <v>12.19</v>
      </c>
      <c r="F5001" s="3">
        <v>39.799999999999997</v>
      </c>
      <c r="G5001" s="4">
        <v>187.28</v>
      </c>
      <c r="H5001">
        <v>2</v>
      </c>
      <c r="I5001" s="4">
        <v>374.56</v>
      </c>
      <c r="J5001">
        <v>3.3</v>
      </c>
      <c r="K5001" t="s">
        <v>15</v>
      </c>
      <c r="L5001" t="s">
        <v>28</v>
      </c>
      <c r="O500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AB5CDF-9350-4CE1-BEE8-2C67898B37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uber_trip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KOUSHIK DINDA</dc:creator>
  <cp:lastModifiedBy>KOUSHIK DINDA</cp:lastModifiedBy>
  <dcterms:created xsi:type="dcterms:W3CDTF">2026-03-30T05:45:07Z</dcterms:created>
  <dcterms:modified xsi:type="dcterms:W3CDTF">2026-03-31T03:21:40Z</dcterms:modified>
</cp:coreProperties>
</file>